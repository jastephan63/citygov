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bteilungsleitung\Formulare\Neue Formulare 2026\"/>
    </mc:Choice>
  </mc:AlternateContent>
  <bookViews>
    <workbookView xWindow="0" yWindow="0" windowWidth="28800" windowHeight="11700"/>
  </bookViews>
  <sheets>
    <sheet name="Tabelle1" sheetId="1" r:id="rId1"/>
  </sheets>
  <definedNames>
    <definedName name="_xlnm.Print_Area" localSheetId="0">Tabelle1!$A$1:$AM$35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5" i="1" l="1"/>
  <c r="X16" i="1"/>
  <c r="X17" i="1"/>
  <c r="X18" i="1"/>
  <c r="X19" i="1"/>
  <c r="X20" i="1"/>
  <c r="X21" i="1"/>
  <c r="X22" i="1"/>
  <c r="X23" i="1"/>
  <c r="X14" i="1"/>
  <c r="AA14" i="1" s="1"/>
  <c r="AE14" i="1" s="1"/>
  <c r="AI14" i="1" s="1"/>
  <c r="AK14" i="1" s="1"/>
  <c r="AK16" i="1"/>
  <c r="AK17" i="1"/>
  <c r="AK18" i="1"/>
  <c r="AK19" i="1"/>
  <c r="AK20" i="1"/>
  <c r="AK21" i="1"/>
  <c r="AK22" i="1"/>
  <c r="AK23" i="1"/>
  <c r="AI16" i="1"/>
  <c r="AI17" i="1"/>
  <c r="AI18" i="1"/>
  <c r="AI19" i="1"/>
  <c r="AI20" i="1"/>
  <c r="AI21" i="1"/>
  <c r="AI22" i="1"/>
  <c r="AI23" i="1"/>
  <c r="AE16" i="1"/>
  <c r="AE17" i="1"/>
  <c r="AE18" i="1"/>
  <c r="AE19" i="1"/>
  <c r="AE20" i="1"/>
  <c r="AE21" i="1"/>
  <c r="AE22" i="1"/>
  <c r="AE23" i="1"/>
  <c r="AA16" i="1"/>
  <c r="AA17" i="1"/>
  <c r="AA18" i="1"/>
  <c r="AA19" i="1"/>
  <c r="AA20" i="1"/>
  <c r="AA21" i="1"/>
  <c r="AA22" i="1"/>
  <c r="AA23" i="1"/>
  <c r="AA15" i="1"/>
  <c r="AE15" i="1" s="1"/>
  <c r="AI15" i="1" s="1"/>
  <c r="AK15" i="1" s="1"/>
  <c r="AP15" i="1"/>
  <c r="AK24" i="1" l="1"/>
  <c r="AK25" i="1" l="1"/>
  <c r="AK26" i="1" s="1"/>
</calcChain>
</file>

<file path=xl/sharedStrings.xml><?xml version="1.0" encoding="utf-8"?>
<sst xmlns="http://schemas.openxmlformats.org/spreadsheetml/2006/main" count="39" uniqueCount="39">
  <si>
    <t>Abrechnung über die Quellensteuern</t>
  </si>
  <si>
    <t xml:space="preserve">UID-Nr. </t>
  </si>
  <si>
    <t>Firma</t>
  </si>
  <si>
    <t>Adresse</t>
  </si>
  <si>
    <t>PLZ / Ort / Kanton</t>
  </si>
  <si>
    <t>Kontaktperson</t>
  </si>
  <si>
    <t>Telefon</t>
  </si>
  <si>
    <t>E-Mail</t>
  </si>
  <si>
    <t>Abrechnungsperiode</t>
  </si>
  <si>
    <t>vom</t>
  </si>
  <si>
    <t>bis</t>
  </si>
  <si>
    <t>Kanton</t>
  </si>
  <si>
    <t>Total oder Übertrag</t>
  </si>
  <si>
    <t>abzüglich 2% Bezugsprovision</t>
  </si>
  <si>
    <t>ablieferungspflichtiger Betrag</t>
  </si>
  <si>
    <t>Bemerkungen:</t>
  </si>
  <si>
    <t>Die Richtigkeit und Vollständigkeit bescheinigt:</t>
  </si>
  <si>
    <t>Ort und Datum</t>
  </si>
  <si>
    <t>Stempel und Unterschrift</t>
  </si>
  <si>
    <t>Wohnsitzstaat</t>
  </si>
  <si>
    <t>Anz. Pers.</t>
  </si>
  <si>
    <r>
      <t xml:space="preserve">Steuersatz </t>
    </r>
    <r>
      <rPr>
        <sz val="9"/>
        <color theme="1"/>
        <rFont val="Arial"/>
        <family val="2"/>
      </rPr>
      <t>(%)</t>
    </r>
  </si>
  <si>
    <t>Steuerbare Leistung netto</t>
  </si>
  <si>
    <t>Tage</t>
  </si>
  <si>
    <t>Auftrittsort</t>
  </si>
  <si>
    <t>Die Steuer beträgt:</t>
  </si>
  <si>
    <t>- bei Tageseinkünften bis CHF 200</t>
  </si>
  <si>
    <t>- bei Tageseinkünften von CHF 201 bis CHF 1'000</t>
  </si>
  <si>
    <t>- bei Tageseinkünften von CHF 1'001 bis CHF 3'000</t>
  </si>
  <si>
    <t>- bei Tageseinkünften über CHF 3'000</t>
  </si>
  <si>
    <r>
      <t xml:space="preserve">Bruttoent-
schädigung
</t>
    </r>
    <r>
      <rPr>
        <sz val="9"/>
        <color theme="1"/>
        <rFont val="Arial"/>
        <family val="2"/>
      </rPr>
      <t>inkl. aller Zulagen</t>
    </r>
  </si>
  <si>
    <t>Quellensteuer (CHF)</t>
  </si>
  <si>
    <t>Durchschnittliche
 Tageseinkünfte</t>
  </si>
  <si>
    <t>von Sportlern und Referenten</t>
  </si>
  <si>
    <r>
      <rPr>
        <b/>
        <sz val="9"/>
        <color theme="1"/>
        <rFont val="Arial"/>
        <family val="2"/>
      </rPr>
      <t>Name und Vorname</t>
    </r>
    <r>
      <rPr>
        <sz val="9"/>
        <color theme="1"/>
        <rFont val="Arial"/>
        <family val="2"/>
      </rPr>
      <t xml:space="preserve">
der Sportler und Sportlerinnen / der Referenten und Referentinnen</t>
    </r>
  </si>
  <si>
    <t>abzüglich 20% Gewinnungskosten</t>
  </si>
  <si>
    <t>Gemeinde</t>
  </si>
  <si>
    <r>
      <t xml:space="preserve">SSL-Nr. </t>
    </r>
    <r>
      <rPr>
        <sz val="8"/>
        <color theme="1"/>
        <rFont val="Arial"/>
        <family val="2"/>
      </rPr>
      <t>(wenn bekannt)</t>
    </r>
  </si>
  <si>
    <r>
      <rPr>
        <b/>
        <sz val="9"/>
        <color theme="1"/>
        <rFont val="Arial"/>
        <family val="2"/>
      </rPr>
      <t>Einzahlung auf Rechnung, Einzahlungsschein folgt</t>
    </r>
    <r>
      <rPr>
        <sz val="9"/>
        <color theme="1"/>
        <rFont val="Arial"/>
        <family val="2"/>
      </rPr>
      <t xml:space="preserve">
Die Quellensteuerabrechnung ist innert 30 Tagen nach Ablauf der Abrechnungs-periode einzureichen. Bei verspäteter Einreichung wird ein Verzugszins erhoben.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</si>
</sst>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&quot;.&quot;0000&quot;.&quot;0000&quot;.&quot;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 applyProtection="1">
      <protection locked="0"/>
    </xf>
    <xf numFmtId="0" fontId="2" fillId="0" borderId="0" xfId="0" quotePrefix="1" applyFont="1"/>
    <xf numFmtId="0" fontId="3" fillId="2" borderId="3" xfId="0" applyFont="1" applyFill="1" applyBorder="1" applyAlignment="1">
      <alignment textRotation="90" wrapText="1"/>
    </xf>
    <xf numFmtId="165" fontId="2" fillId="0" borderId="0" xfId="0" applyNumberFormat="1" applyFont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2" fillId="0" borderId="5" xfId="0" applyFont="1" applyBorder="1" applyAlignment="1" applyProtection="1">
      <alignment horizontal="center" shrinkToFit="1"/>
      <protection locked="0"/>
    </xf>
    <xf numFmtId="0" fontId="2" fillId="0" borderId="6" xfId="0" applyFont="1" applyBorder="1" applyAlignment="1" applyProtection="1">
      <alignment horizontal="center" shrinkToFit="1"/>
      <protection locked="0"/>
    </xf>
    <xf numFmtId="4" fontId="2" fillId="0" borderId="4" xfId="0" applyNumberFormat="1" applyFont="1" applyBorder="1" applyAlignment="1" applyProtection="1">
      <alignment horizontal="right"/>
    </xf>
    <xf numFmtId="4" fontId="2" fillId="0" borderId="5" xfId="0" applyNumberFormat="1" applyFont="1" applyBorder="1" applyAlignment="1" applyProtection="1">
      <alignment horizontal="right"/>
    </xf>
    <xf numFmtId="4" fontId="2" fillId="0" borderId="6" xfId="0" applyNumberFormat="1" applyFont="1" applyBorder="1" applyAlignment="1" applyProtection="1">
      <alignment horizontal="right"/>
    </xf>
    <xf numFmtId="165" fontId="2" fillId="0" borderId="4" xfId="0" applyNumberFormat="1" applyFont="1" applyBorder="1" applyAlignment="1" applyProtection="1">
      <alignment horizontal="center"/>
    </xf>
    <xf numFmtId="165" fontId="2" fillId="0" borderId="6" xfId="0" applyNumberFormat="1" applyFont="1" applyBorder="1" applyAlignment="1" applyProtection="1">
      <alignment horizontal="center"/>
    </xf>
    <xf numFmtId="4" fontId="2" fillId="0" borderId="4" xfId="0" applyNumberFormat="1" applyFont="1" applyBorder="1" applyAlignment="1" applyProtection="1">
      <alignment horizontal="right"/>
      <protection locked="0"/>
    </xf>
    <xf numFmtId="4" fontId="2" fillId="0" borderId="5" xfId="0" applyNumberFormat="1" applyFont="1" applyBorder="1" applyAlignment="1" applyProtection="1">
      <alignment horizontal="right"/>
      <protection locked="0"/>
    </xf>
    <xf numFmtId="4" fontId="2" fillId="0" borderId="6" xfId="0" applyNumberFormat="1" applyFont="1" applyBorder="1" applyAlignment="1" applyProtection="1">
      <alignment horizontal="right"/>
      <protection locked="0"/>
    </xf>
    <xf numFmtId="1" fontId="2" fillId="0" borderId="4" xfId="0" applyNumberFormat="1" applyFont="1" applyBorder="1" applyAlignment="1" applyProtection="1">
      <alignment horizontal="center"/>
      <protection locked="0"/>
    </xf>
    <xf numFmtId="1" fontId="2" fillId="0" borderId="6" xfId="0" applyNumberFormat="1" applyFont="1" applyBorder="1" applyAlignment="1" applyProtection="1">
      <alignment horizontal="center"/>
      <protection locked="0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textRotation="90" wrapText="1"/>
    </xf>
    <xf numFmtId="0" fontId="3" fillId="2" borderId="10" xfId="0" applyFont="1" applyFill="1" applyBorder="1" applyAlignment="1">
      <alignment horizontal="center" textRotation="90" wrapText="1"/>
    </xf>
    <xf numFmtId="0" fontId="3" fillId="2" borderId="11" xfId="0" applyFont="1" applyFill="1" applyBorder="1" applyAlignment="1">
      <alignment horizontal="center" textRotation="90" wrapText="1"/>
    </xf>
    <xf numFmtId="0" fontId="3" fillId="2" borderId="12" xfId="0" applyFont="1" applyFill="1" applyBorder="1" applyAlignment="1">
      <alignment horizontal="center" textRotation="90" wrapText="1"/>
    </xf>
    <xf numFmtId="0" fontId="3" fillId="2" borderId="4" xfId="0" applyFont="1" applyFill="1" applyBorder="1" applyAlignment="1">
      <alignment horizontal="center" wrapText="1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2" fillId="0" borderId="4" xfId="0" applyNumberFormat="1" applyFont="1" applyBorder="1" applyAlignment="1" applyProtection="1">
      <alignment horizontal="center" shrinkToFit="1"/>
      <protection locked="0"/>
    </xf>
    <xf numFmtId="164" fontId="2" fillId="0" borderId="5" xfId="0" applyNumberFormat="1" applyFont="1" applyBorder="1" applyAlignment="1" applyProtection="1">
      <alignment horizontal="center" shrinkToFit="1"/>
      <protection locked="0"/>
    </xf>
    <xf numFmtId="164" fontId="2" fillId="0" borderId="6" xfId="0" applyNumberFormat="1" applyFont="1" applyBorder="1" applyAlignment="1" applyProtection="1">
      <alignment horizontal="center" shrinkToFit="1"/>
      <protection locked="0"/>
    </xf>
    <xf numFmtId="4" fontId="2" fillId="0" borderId="4" xfId="0" applyNumberFormat="1" applyFont="1" applyBorder="1" applyAlignment="1">
      <alignment horizontal="right"/>
    </xf>
    <xf numFmtId="4" fontId="2" fillId="0" borderId="5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11</xdr:col>
      <xdr:colOff>47625</xdr:colOff>
      <xdr:row>5</xdr:row>
      <xdr:rowOff>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2857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9"/>
  <sheetViews>
    <sheetView showGridLines="0" tabSelected="1" showWhiteSpace="0" zoomScaleNormal="100" workbookViewId="0">
      <selection activeCell="O19" sqref="O19:Q19"/>
    </sheetView>
  </sheetViews>
  <sheetFormatPr baseColWidth="10" defaultColWidth="11.44140625" defaultRowHeight="14.4" x14ac:dyDescent="0.3"/>
  <cols>
    <col min="1" max="29" width="3.5546875" customWidth="1"/>
    <col min="30" max="30" width="3" customWidth="1"/>
    <col min="31" max="33" width="3.5546875" customWidth="1"/>
    <col min="34" max="34" width="4.44140625" customWidth="1"/>
    <col min="35" max="36" width="3.33203125" customWidth="1"/>
    <col min="37" max="38" width="3.5546875" customWidth="1"/>
    <col min="39" max="39" width="5.33203125" customWidth="1"/>
    <col min="40" max="40" width="13.6640625" customWidth="1"/>
  </cols>
  <sheetData>
    <row r="1" spans="1:4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4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7" t="s">
        <v>33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4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 t="s">
        <v>37</v>
      </c>
      <c r="V3" s="3"/>
      <c r="W3" s="3"/>
      <c r="X3" s="3"/>
      <c r="Y3" s="3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1"/>
    </row>
    <row r="4" spans="1:4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4" t="s">
        <v>1</v>
      </c>
      <c r="V4" s="4"/>
      <c r="W4" s="4"/>
      <c r="X4" s="4"/>
      <c r="Y4" s="4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1"/>
    </row>
    <row r="5" spans="1:4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4" t="s">
        <v>2</v>
      </c>
      <c r="V5" s="4"/>
      <c r="W5" s="4"/>
      <c r="X5" s="4"/>
      <c r="Y5" s="4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1"/>
    </row>
    <row r="6" spans="1:4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 t="s">
        <v>3</v>
      </c>
      <c r="V6" s="4"/>
      <c r="W6" s="4"/>
      <c r="X6" s="4"/>
      <c r="Y6" s="4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1"/>
    </row>
    <row r="7" spans="1:42" x14ac:dyDescent="0.3">
      <c r="A7" s="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 t="s">
        <v>4</v>
      </c>
      <c r="V7" s="4"/>
      <c r="W7" s="4"/>
      <c r="X7" s="4"/>
      <c r="Y7" s="4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1"/>
    </row>
    <row r="8" spans="1:4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 t="s">
        <v>5</v>
      </c>
      <c r="V8" s="4"/>
      <c r="W8" s="4"/>
      <c r="X8" s="4"/>
      <c r="Y8" s="4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1"/>
    </row>
    <row r="9" spans="1:4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 t="s">
        <v>6</v>
      </c>
      <c r="V9" s="4"/>
      <c r="W9" s="4"/>
      <c r="X9" s="4"/>
      <c r="Y9" s="4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1"/>
    </row>
    <row r="10" spans="1:42" x14ac:dyDescent="0.3">
      <c r="A10" s="3" t="s">
        <v>9</v>
      </c>
      <c r="B10" s="54"/>
      <c r="C10" s="54"/>
      <c r="D10" s="54"/>
      <c r="E10" s="54"/>
      <c r="F10" s="54"/>
      <c r="G10" s="3"/>
      <c r="H10" s="3" t="s">
        <v>10</v>
      </c>
      <c r="I10" s="54"/>
      <c r="J10" s="54"/>
      <c r="K10" s="54"/>
      <c r="L10" s="54"/>
      <c r="M10" s="54"/>
      <c r="N10" s="2"/>
      <c r="O10" s="2"/>
      <c r="P10" s="2"/>
      <c r="Q10" s="2"/>
      <c r="R10" s="2"/>
      <c r="S10" s="2"/>
      <c r="T10" s="2"/>
      <c r="U10" s="4" t="s">
        <v>7</v>
      </c>
      <c r="V10" s="4"/>
      <c r="W10" s="4"/>
      <c r="X10" s="4"/>
      <c r="Y10" s="4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1"/>
    </row>
    <row r="11" spans="1:4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"/>
    </row>
    <row r="12" spans="1:42" ht="36.9" customHeight="1" x14ac:dyDescent="0.3">
      <c r="A12" s="30" t="s">
        <v>34</v>
      </c>
      <c r="B12" s="31"/>
      <c r="C12" s="31"/>
      <c r="D12" s="31"/>
      <c r="E12" s="31"/>
      <c r="F12" s="31"/>
      <c r="G12" s="32"/>
      <c r="H12" s="36" t="s">
        <v>19</v>
      </c>
      <c r="I12" s="37"/>
      <c r="J12" s="37"/>
      <c r="K12" s="38"/>
      <c r="L12" s="36" t="s">
        <v>20</v>
      </c>
      <c r="M12" s="38"/>
      <c r="N12" s="46" t="s">
        <v>24</v>
      </c>
      <c r="O12" s="16"/>
      <c r="P12" s="16"/>
      <c r="Q12" s="17"/>
      <c r="R12" s="36" t="s">
        <v>23</v>
      </c>
      <c r="S12" s="38"/>
      <c r="T12" s="36" t="s">
        <v>30</v>
      </c>
      <c r="U12" s="37"/>
      <c r="V12" s="37"/>
      <c r="W12" s="38"/>
      <c r="X12" s="30" t="s">
        <v>35</v>
      </c>
      <c r="Y12" s="31"/>
      <c r="Z12" s="32"/>
      <c r="AA12" s="36" t="s">
        <v>22</v>
      </c>
      <c r="AB12" s="37"/>
      <c r="AC12" s="37"/>
      <c r="AD12" s="38"/>
      <c r="AE12" s="36" t="s">
        <v>32</v>
      </c>
      <c r="AF12" s="37"/>
      <c r="AG12" s="37"/>
      <c r="AH12" s="38"/>
      <c r="AI12" s="42" t="s">
        <v>21</v>
      </c>
      <c r="AJ12" s="43"/>
      <c r="AK12" s="36" t="s">
        <v>31</v>
      </c>
      <c r="AL12" s="37"/>
      <c r="AM12" s="38"/>
      <c r="AN12" s="1"/>
    </row>
    <row r="13" spans="1:42" ht="36.9" customHeight="1" x14ac:dyDescent="0.3">
      <c r="A13" s="33"/>
      <c r="B13" s="34"/>
      <c r="C13" s="34"/>
      <c r="D13" s="34"/>
      <c r="E13" s="34"/>
      <c r="F13" s="34"/>
      <c r="G13" s="35"/>
      <c r="H13" s="39"/>
      <c r="I13" s="40"/>
      <c r="J13" s="40"/>
      <c r="K13" s="41"/>
      <c r="L13" s="39"/>
      <c r="M13" s="41"/>
      <c r="N13" s="14" t="s">
        <v>11</v>
      </c>
      <c r="O13" s="16" t="s">
        <v>36</v>
      </c>
      <c r="P13" s="16"/>
      <c r="Q13" s="17"/>
      <c r="R13" s="39"/>
      <c r="S13" s="41"/>
      <c r="T13" s="39"/>
      <c r="U13" s="40"/>
      <c r="V13" s="40"/>
      <c r="W13" s="41"/>
      <c r="X13" s="33"/>
      <c r="Y13" s="34"/>
      <c r="Z13" s="35"/>
      <c r="AA13" s="39"/>
      <c r="AB13" s="40"/>
      <c r="AC13" s="40"/>
      <c r="AD13" s="41"/>
      <c r="AE13" s="39"/>
      <c r="AF13" s="40"/>
      <c r="AG13" s="40"/>
      <c r="AH13" s="41"/>
      <c r="AI13" s="44"/>
      <c r="AJ13" s="45"/>
      <c r="AK13" s="39"/>
      <c r="AL13" s="40"/>
      <c r="AM13" s="41"/>
      <c r="AN13" s="1"/>
    </row>
    <row r="14" spans="1:42" x14ac:dyDescent="0.3">
      <c r="A14" s="55"/>
      <c r="B14" s="56"/>
      <c r="C14" s="56"/>
      <c r="D14" s="56"/>
      <c r="E14" s="56"/>
      <c r="F14" s="56"/>
      <c r="G14" s="57"/>
      <c r="H14" s="47"/>
      <c r="I14" s="48"/>
      <c r="J14" s="48"/>
      <c r="K14" s="49"/>
      <c r="L14" s="28"/>
      <c r="M14" s="29"/>
      <c r="N14" s="12"/>
      <c r="O14" s="18"/>
      <c r="P14" s="18"/>
      <c r="Q14" s="19"/>
      <c r="R14" s="28"/>
      <c r="S14" s="29"/>
      <c r="T14" s="25"/>
      <c r="U14" s="26"/>
      <c r="V14" s="26"/>
      <c r="W14" s="27"/>
      <c r="X14" s="20" t="str">
        <f>IF(T14=0,"",ROUND(T14*0.2*2,1)/2)</f>
        <v/>
      </c>
      <c r="Y14" s="21"/>
      <c r="Z14" s="22"/>
      <c r="AA14" s="20" t="str">
        <f>IF(T14=0,"",T14-X14)</f>
        <v/>
      </c>
      <c r="AB14" s="21"/>
      <c r="AC14" s="21"/>
      <c r="AD14" s="22"/>
      <c r="AE14" s="20" t="str">
        <f>IF(L14=0,"",ROUND(AA14/L14/R14,0))</f>
        <v/>
      </c>
      <c r="AF14" s="21"/>
      <c r="AG14" s="21"/>
      <c r="AH14" s="22"/>
      <c r="AI14" s="23" t="str">
        <f>IF(L14=0,"",IF(AE14=0,"",IF(AE14&gt;=3001,0.17,IF(AE14&lt;=200,0.108,IF(AE14&gt;=1001,0.15,IF(AE14&gt;=201,0.124,))))))</f>
        <v/>
      </c>
      <c r="AJ14" s="24"/>
      <c r="AK14" s="20" t="str">
        <f>IF(L14=0,"",ROUND(AA14*AI14*2,1)/2)</f>
        <v/>
      </c>
      <c r="AL14" s="21"/>
      <c r="AM14" s="22"/>
    </row>
    <row r="15" spans="1:42" x14ac:dyDescent="0.3">
      <c r="A15" s="55"/>
      <c r="B15" s="56"/>
      <c r="C15" s="56"/>
      <c r="D15" s="56"/>
      <c r="E15" s="56"/>
      <c r="F15" s="56"/>
      <c r="G15" s="57"/>
      <c r="H15" s="47"/>
      <c r="I15" s="48"/>
      <c r="J15" s="48"/>
      <c r="K15" s="49"/>
      <c r="L15" s="28"/>
      <c r="M15" s="29"/>
      <c r="N15" s="12"/>
      <c r="O15" s="18"/>
      <c r="P15" s="18"/>
      <c r="Q15" s="19"/>
      <c r="R15" s="28"/>
      <c r="S15" s="29"/>
      <c r="T15" s="25"/>
      <c r="U15" s="26"/>
      <c r="V15" s="26"/>
      <c r="W15" s="27"/>
      <c r="X15" s="20" t="str">
        <f t="shared" ref="X15:X23" si="0">IF(T15=0,"",ROUND(T15*0.2*2,1)/2)</f>
        <v/>
      </c>
      <c r="Y15" s="21"/>
      <c r="Z15" s="22"/>
      <c r="AA15" s="20" t="str">
        <f t="shared" ref="AA15:AA23" si="1">IF(T15=0,"",T15-X15)</f>
        <v/>
      </c>
      <c r="AB15" s="21"/>
      <c r="AC15" s="21"/>
      <c r="AD15" s="22"/>
      <c r="AE15" s="20" t="str">
        <f t="shared" ref="AE15:AE23" si="2">IF(L15=0,"",ROUND(AA15/L15/R15,0))</f>
        <v/>
      </c>
      <c r="AF15" s="21"/>
      <c r="AG15" s="21"/>
      <c r="AH15" s="22"/>
      <c r="AI15" s="23" t="str">
        <f t="shared" ref="AI15:AI23" si="3">IF(L15=0,"",IF(AE15=0,"",IF(AE15&gt;=3001,0.17,IF(AE15&lt;=200,0.108,IF(AE15&gt;=1001,0.15,IF(AE15&gt;=201,0.124,))))))</f>
        <v/>
      </c>
      <c r="AJ15" s="24"/>
      <c r="AK15" s="20" t="str">
        <f t="shared" ref="AK15:AK23" si="4">IF(L15=0,"",ROUND(AA15*AI15*2,1)/2)</f>
        <v/>
      </c>
      <c r="AL15" s="21"/>
      <c r="AM15" s="22"/>
      <c r="AP15" t="str">
        <f>IF(G13=0,"",ROUND(G13*0.2*2,1)/2)</f>
        <v/>
      </c>
    </row>
    <row r="16" spans="1:42" x14ac:dyDescent="0.3">
      <c r="A16" s="55"/>
      <c r="B16" s="56"/>
      <c r="C16" s="56"/>
      <c r="D16" s="56"/>
      <c r="E16" s="56"/>
      <c r="F16" s="56"/>
      <c r="G16" s="57"/>
      <c r="H16" s="47"/>
      <c r="I16" s="48"/>
      <c r="J16" s="48"/>
      <c r="K16" s="49"/>
      <c r="L16" s="28"/>
      <c r="M16" s="29"/>
      <c r="N16" s="12"/>
      <c r="O16" s="18"/>
      <c r="P16" s="18"/>
      <c r="Q16" s="19"/>
      <c r="R16" s="28"/>
      <c r="S16" s="29"/>
      <c r="T16" s="25"/>
      <c r="U16" s="26"/>
      <c r="V16" s="26"/>
      <c r="W16" s="27"/>
      <c r="X16" s="20" t="str">
        <f t="shared" si="0"/>
        <v/>
      </c>
      <c r="Y16" s="21"/>
      <c r="Z16" s="22"/>
      <c r="AA16" s="20" t="str">
        <f t="shared" si="1"/>
        <v/>
      </c>
      <c r="AB16" s="21"/>
      <c r="AC16" s="21"/>
      <c r="AD16" s="22"/>
      <c r="AE16" s="20" t="str">
        <f t="shared" si="2"/>
        <v/>
      </c>
      <c r="AF16" s="21"/>
      <c r="AG16" s="21"/>
      <c r="AH16" s="22"/>
      <c r="AI16" s="23" t="str">
        <f t="shared" si="3"/>
        <v/>
      </c>
      <c r="AJ16" s="24"/>
      <c r="AK16" s="20" t="str">
        <f t="shared" si="4"/>
        <v/>
      </c>
      <c r="AL16" s="21"/>
      <c r="AM16" s="22"/>
    </row>
    <row r="17" spans="1:57" x14ac:dyDescent="0.3">
      <c r="A17" s="55"/>
      <c r="B17" s="56"/>
      <c r="C17" s="56"/>
      <c r="D17" s="56"/>
      <c r="E17" s="56"/>
      <c r="F17" s="56"/>
      <c r="G17" s="57"/>
      <c r="H17" s="47"/>
      <c r="I17" s="48"/>
      <c r="J17" s="48"/>
      <c r="K17" s="49"/>
      <c r="L17" s="28"/>
      <c r="M17" s="29"/>
      <c r="N17" s="12"/>
      <c r="O17" s="18"/>
      <c r="P17" s="18"/>
      <c r="Q17" s="19"/>
      <c r="R17" s="28"/>
      <c r="S17" s="29"/>
      <c r="T17" s="25"/>
      <c r="U17" s="26"/>
      <c r="V17" s="26"/>
      <c r="W17" s="27"/>
      <c r="X17" s="20" t="str">
        <f t="shared" si="0"/>
        <v/>
      </c>
      <c r="Y17" s="21"/>
      <c r="Z17" s="22"/>
      <c r="AA17" s="20" t="str">
        <f t="shared" si="1"/>
        <v/>
      </c>
      <c r="AB17" s="21"/>
      <c r="AC17" s="21"/>
      <c r="AD17" s="22"/>
      <c r="AE17" s="20" t="str">
        <f t="shared" si="2"/>
        <v/>
      </c>
      <c r="AF17" s="21"/>
      <c r="AG17" s="21"/>
      <c r="AH17" s="22"/>
      <c r="AI17" s="23" t="str">
        <f t="shared" si="3"/>
        <v/>
      </c>
      <c r="AJ17" s="24"/>
      <c r="AK17" s="20" t="str">
        <f t="shared" si="4"/>
        <v/>
      </c>
      <c r="AL17" s="21"/>
      <c r="AM17" s="22"/>
    </row>
    <row r="18" spans="1:57" x14ac:dyDescent="0.3">
      <c r="A18" s="55"/>
      <c r="B18" s="56"/>
      <c r="C18" s="56"/>
      <c r="D18" s="56"/>
      <c r="E18" s="56"/>
      <c r="F18" s="56"/>
      <c r="G18" s="57"/>
      <c r="H18" s="47"/>
      <c r="I18" s="48"/>
      <c r="J18" s="48"/>
      <c r="K18" s="49"/>
      <c r="L18" s="28"/>
      <c r="M18" s="29"/>
      <c r="N18" s="12"/>
      <c r="O18" s="18"/>
      <c r="P18" s="18"/>
      <c r="Q18" s="19"/>
      <c r="R18" s="28"/>
      <c r="S18" s="29"/>
      <c r="T18" s="25"/>
      <c r="U18" s="26"/>
      <c r="V18" s="26"/>
      <c r="W18" s="27"/>
      <c r="X18" s="20" t="str">
        <f t="shared" si="0"/>
        <v/>
      </c>
      <c r="Y18" s="21"/>
      <c r="Z18" s="22"/>
      <c r="AA18" s="20" t="str">
        <f t="shared" si="1"/>
        <v/>
      </c>
      <c r="AB18" s="21"/>
      <c r="AC18" s="21"/>
      <c r="AD18" s="22"/>
      <c r="AE18" s="20" t="str">
        <f t="shared" si="2"/>
        <v/>
      </c>
      <c r="AF18" s="21"/>
      <c r="AG18" s="21"/>
      <c r="AH18" s="22"/>
      <c r="AI18" s="23" t="str">
        <f t="shared" si="3"/>
        <v/>
      </c>
      <c r="AJ18" s="24"/>
      <c r="AK18" s="20" t="str">
        <f t="shared" si="4"/>
        <v/>
      </c>
      <c r="AL18" s="21"/>
      <c r="AM18" s="22"/>
    </row>
    <row r="19" spans="1:57" x14ac:dyDescent="0.3">
      <c r="A19" s="55"/>
      <c r="B19" s="56"/>
      <c r="C19" s="56"/>
      <c r="D19" s="56"/>
      <c r="E19" s="56"/>
      <c r="F19" s="56"/>
      <c r="G19" s="57"/>
      <c r="H19" s="47"/>
      <c r="I19" s="48"/>
      <c r="J19" s="48"/>
      <c r="K19" s="49"/>
      <c r="L19" s="28"/>
      <c r="M19" s="29"/>
      <c r="N19" s="12"/>
      <c r="O19" s="18"/>
      <c r="P19" s="18"/>
      <c r="Q19" s="19"/>
      <c r="R19" s="28"/>
      <c r="S19" s="29"/>
      <c r="T19" s="25"/>
      <c r="U19" s="26"/>
      <c r="V19" s="26"/>
      <c r="W19" s="27"/>
      <c r="X19" s="20" t="str">
        <f t="shared" si="0"/>
        <v/>
      </c>
      <c r="Y19" s="21"/>
      <c r="Z19" s="22"/>
      <c r="AA19" s="20" t="str">
        <f t="shared" si="1"/>
        <v/>
      </c>
      <c r="AB19" s="21"/>
      <c r="AC19" s="21"/>
      <c r="AD19" s="22"/>
      <c r="AE19" s="20" t="str">
        <f t="shared" si="2"/>
        <v/>
      </c>
      <c r="AF19" s="21"/>
      <c r="AG19" s="21"/>
      <c r="AH19" s="22"/>
      <c r="AI19" s="23" t="str">
        <f t="shared" si="3"/>
        <v/>
      </c>
      <c r="AJ19" s="24"/>
      <c r="AK19" s="20" t="str">
        <f t="shared" si="4"/>
        <v/>
      </c>
      <c r="AL19" s="21"/>
      <c r="AM19" s="22"/>
    </row>
    <row r="20" spans="1:57" x14ac:dyDescent="0.3">
      <c r="A20" s="55"/>
      <c r="B20" s="56"/>
      <c r="C20" s="56"/>
      <c r="D20" s="56"/>
      <c r="E20" s="56"/>
      <c r="F20" s="56"/>
      <c r="G20" s="57"/>
      <c r="H20" s="47"/>
      <c r="I20" s="48"/>
      <c r="J20" s="48"/>
      <c r="K20" s="49"/>
      <c r="L20" s="28"/>
      <c r="M20" s="29"/>
      <c r="N20" s="12"/>
      <c r="O20" s="18"/>
      <c r="P20" s="18"/>
      <c r="Q20" s="19"/>
      <c r="R20" s="28"/>
      <c r="S20" s="29"/>
      <c r="T20" s="25"/>
      <c r="U20" s="26"/>
      <c r="V20" s="26"/>
      <c r="W20" s="27"/>
      <c r="X20" s="20" t="str">
        <f t="shared" si="0"/>
        <v/>
      </c>
      <c r="Y20" s="21"/>
      <c r="Z20" s="22"/>
      <c r="AA20" s="20" t="str">
        <f t="shared" si="1"/>
        <v/>
      </c>
      <c r="AB20" s="21"/>
      <c r="AC20" s="21"/>
      <c r="AD20" s="22"/>
      <c r="AE20" s="20" t="str">
        <f t="shared" si="2"/>
        <v/>
      </c>
      <c r="AF20" s="21"/>
      <c r="AG20" s="21"/>
      <c r="AH20" s="22"/>
      <c r="AI20" s="23" t="str">
        <f t="shared" si="3"/>
        <v/>
      </c>
      <c r="AJ20" s="24"/>
      <c r="AK20" s="20" t="str">
        <f t="shared" si="4"/>
        <v/>
      </c>
      <c r="AL20" s="21"/>
      <c r="AM20" s="22"/>
    </row>
    <row r="21" spans="1:57" x14ac:dyDescent="0.3">
      <c r="A21" s="55"/>
      <c r="B21" s="56"/>
      <c r="C21" s="56"/>
      <c r="D21" s="56"/>
      <c r="E21" s="56"/>
      <c r="F21" s="56"/>
      <c r="G21" s="57"/>
      <c r="H21" s="47"/>
      <c r="I21" s="48"/>
      <c r="J21" s="48"/>
      <c r="K21" s="49"/>
      <c r="L21" s="28"/>
      <c r="M21" s="29"/>
      <c r="N21" s="12"/>
      <c r="O21" s="18"/>
      <c r="P21" s="18"/>
      <c r="Q21" s="19"/>
      <c r="R21" s="28"/>
      <c r="S21" s="29"/>
      <c r="T21" s="25"/>
      <c r="U21" s="26"/>
      <c r="V21" s="26"/>
      <c r="W21" s="27"/>
      <c r="X21" s="20" t="str">
        <f t="shared" si="0"/>
        <v/>
      </c>
      <c r="Y21" s="21"/>
      <c r="Z21" s="22"/>
      <c r="AA21" s="20" t="str">
        <f t="shared" si="1"/>
        <v/>
      </c>
      <c r="AB21" s="21"/>
      <c r="AC21" s="21"/>
      <c r="AD21" s="22"/>
      <c r="AE21" s="20" t="str">
        <f t="shared" si="2"/>
        <v/>
      </c>
      <c r="AF21" s="21"/>
      <c r="AG21" s="21"/>
      <c r="AH21" s="22"/>
      <c r="AI21" s="23" t="str">
        <f t="shared" si="3"/>
        <v/>
      </c>
      <c r="AJ21" s="24"/>
      <c r="AK21" s="20" t="str">
        <f t="shared" si="4"/>
        <v/>
      </c>
      <c r="AL21" s="21"/>
      <c r="AM21" s="22"/>
    </row>
    <row r="22" spans="1:57" x14ac:dyDescent="0.3">
      <c r="A22" s="55"/>
      <c r="B22" s="56"/>
      <c r="C22" s="56"/>
      <c r="D22" s="56"/>
      <c r="E22" s="56"/>
      <c r="F22" s="56"/>
      <c r="G22" s="57"/>
      <c r="H22" s="47"/>
      <c r="I22" s="48"/>
      <c r="J22" s="48"/>
      <c r="K22" s="49"/>
      <c r="L22" s="28"/>
      <c r="M22" s="29"/>
      <c r="N22" s="12"/>
      <c r="O22" s="18"/>
      <c r="P22" s="18"/>
      <c r="Q22" s="19"/>
      <c r="R22" s="28"/>
      <c r="S22" s="29"/>
      <c r="T22" s="25"/>
      <c r="U22" s="26"/>
      <c r="V22" s="26"/>
      <c r="W22" s="27"/>
      <c r="X22" s="20" t="str">
        <f t="shared" si="0"/>
        <v/>
      </c>
      <c r="Y22" s="21"/>
      <c r="Z22" s="22"/>
      <c r="AA22" s="20" t="str">
        <f t="shared" si="1"/>
        <v/>
      </c>
      <c r="AB22" s="21"/>
      <c r="AC22" s="21"/>
      <c r="AD22" s="22"/>
      <c r="AE22" s="20" t="str">
        <f t="shared" si="2"/>
        <v/>
      </c>
      <c r="AF22" s="21"/>
      <c r="AG22" s="21"/>
      <c r="AH22" s="22"/>
      <c r="AI22" s="23" t="str">
        <f t="shared" si="3"/>
        <v/>
      </c>
      <c r="AJ22" s="24"/>
      <c r="AK22" s="20" t="str">
        <f t="shared" si="4"/>
        <v/>
      </c>
      <c r="AL22" s="21"/>
      <c r="AM22" s="22"/>
    </row>
    <row r="23" spans="1:57" x14ac:dyDescent="0.3">
      <c r="A23" s="55"/>
      <c r="B23" s="56"/>
      <c r="C23" s="56"/>
      <c r="D23" s="56"/>
      <c r="E23" s="56"/>
      <c r="F23" s="56"/>
      <c r="G23" s="57"/>
      <c r="H23" s="47"/>
      <c r="I23" s="48"/>
      <c r="J23" s="48"/>
      <c r="K23" s="49"/>
      <c r="L23" s="28"/>
      <c r="M23" s="29"/>
      <c r="N23" s="12"/>
      <c r="O23" s="18"/>
      <c r="P23" s="18"/>
      <c r="Q23" s="19"/>
      <c r="R23" s="28"/>
      <c r="S23" s="29"/>
      <c r="T23" s="25"/>
      <c r="U23" s="26"/>
      <c r="V23" s="26"/>
      <c r="W23" s="27"/>
      <c r="X23" s="20" t="str">
        <f t="shared" si="0"/>
        <v/>
      </c>
      <c r="Y23" s="21"/>
      <c r="Z23" s="22"/>
      <c r="AA23" s="20" t="str">
        <f t="shared" si="1"/>
        <v/>
      </c>
      <c r="AB23" s="21"/>
      <c r="AC23" s="21"/>
      <c r="AD23" s="22"/>
      <c r="AE23" s="20" t="str">
        <f t="shared" si="2"/>
        <v/>
      </c>
      <c r="AF23" s="21"/>
      <c r="AG23" s="21"/>
      <c r="AH23" s="22"/>
      <c r="AI23" s="23" t="str">
        <f t="shared" si="3"/>
        <v/>
      </c>
      <c r="AJ23" s="24"/>
      <c r="AK23" s="20" t="str">
        <f t="shared" si="4"/>
        <v/>
      </c>
      <c r="AL23" s="21"/>
      <c r="AM23" s="22"/>
      <c r="AP23" s="10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</row>
    <row r="24" spans="1:57" x14ac:dyDescent="0.3"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5" t="s">
        <v>12</v>
      </c>
      <c r="AK24" s="58">
        <f>SUM(AK14:AM23)</f>
        <v>0</v>
      </c>
      <c r="AL24" s="59"/>
      <c r="AM24" s="60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</row>
    <row r="25" spans="1:57" x14ac:dyDescent="0.3">
      <c r="A25" s="7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5" t="s">
        <v>13</v>
      </c>
      <c r="AK25" s="58">
        <f>ROUND(AK24*0.02*2,1)/2</f>
        <v>0</v>
      </c>
      <c r="AL25" s="59"/>
      <c r="AM25" s="60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</row>
    <row r="26" spans="1:57" x14ac:dyDescent="0.3">
      <c r="A26" s="13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5">
        <v>0.108</v>
      </c>
      <c r="O26" s="1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6" t="s">
        <v>14</v>
      </c>
      <c r="AK26" s="58">
        <f>AK24-AK25</f>
        <v>0</v>
      </c>
      <c r="AL26" s="59"/>
      <c r="AM26" s="60"/>
    </row>
    <row r="27" spans="1:57" ht="15" customHeight="1" x14ac:dyDescent="0.3">
      <c r="A27" s="13" t="s">
        <v>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5">
        <v>0.124</v>
      </c>
      <c r="O27" s="15"/>
      <c r="P27" s="2"/>
      <c r="Q27" s="2"/>
      <c r="R27" s="2"/>
      <c r="S27" s="2"/>
      <c r="T27" s="2"/>
      <c r="U27" s="10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2"/>
      <c r="AL27" s="2"/>
      <c r="AM27" s="2"/>
    </row>
    <row r="28" spans="1:57" ht="17.25" customHeight="1" x14ac:dyDescent="0.3">
      <c r="A28" s="13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5">
        <v>0.15</v>
      </c>
      <c r="O28" s="15"/>
      <c r="P28" s="2"/>
      <c r="Q28" s="2"/>
      <c r="R28" s="2"/>
      <c r="S28" s="2"/>
      <c r="T28" s="2"/>
      <c r="U28" s="61" t="s">
        <v>38</v>
      </c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11"/>
      <c r="AM28" s="2"/>
    </row>
    <row r="29" spans="1:57" x14ac:dyDescent="0.3">
      <c r="A29" s="13" t="s">
        <v>29</v>
      </c>
      <c r="N29" s="15">
        <v>0.17</v>
      </c>
      <c r="O29" s="15"/>
      <c r="P29" s="2"/>
      <c r="Q29" s="2"/>
      <c r="R29" s="2"/>
      <c r="S29" s="2"/>
      <c r="T29" s="2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11"/>
      <c r="AM29" s="2"/>
    </row>
    <row r="30" spans="1:5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2"/>
      <c r="AM30" s="2"/>
    </row>
    <row r="31" spans="1:57" x14ac:dyDescent="0.3">
      <c r="A31" s="8" t="s">
        <v>15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R31" s="2"/>
      <c r="S31" s="2"/>
      <c r="T31" s="2"/>
      <c r="U31" s="7" t="s">
        <v>16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57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2"/>
      <c r="Q32" s="2"/>
      <c r="R32" s="2"/>
      <c r="S32" s="2"/>
      <c r="T32" s="2"/>
      <c r="U32" s="3" t="s">
        <v>17</v>
      </c>
      <c r="V32" s="3"/>
      <c r="W32" s="3"/>
      <c r="X32" s="3"/>
      <c r="Y32" s="3"/>
      <c r="Z32" s="3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</row>
    <row r="33" spans="1:39" x14ac:dyDescent="0.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2"/>
      <c r="Q33" s="2"/>
      <c r="R33" s="2"/>
      <c r="S33" s="2"/>
      <c r="T33" s="2"/>
      <c r="U33" s="2" t="s">
        <v>18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3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3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</sheetData>
  <sheetProtection password="CD06" sheet="1" objects="1" scenarios="1" selectLockedCells="1"/>
  <mergeCells count="145">
    <mergeCell ref="A23:G23"/>
    <mergeCell ref="H23:K23"/>
    <mergeCell ref="H18:K18"/>
    <mergeCell ref="H17:K17"/>
    <mergeCell ref="H16:K16"/>
    <mergeCell ref="H15:K15"/>
    <mergeCell ref="AK26:AM26"/>
    <mergeCell ref="AK25:AM25"/>
    <mergeCell ref="AK24:AM24"/>
    <mergeCell ref="U28:AK30"/>
    <mergeCell ref="A35:O35"/>
    <mergeCell ref="A34:O34"/>
    <mergeCell ref="A33:O33"/>
    <mergeCell ref="A32:O32"/>
    <mergeCell ref="AA32:AM32"/>
    <mergeCell ref="B10:F10"/>
    <mergeCell ref="I10:M10"/>
    <mergeCell ref="A22:G22"/>
    <mergeCell ref="A21:G21"/>
    <mergeCell ref="A20:G20"/>
    <mergeCell ref="A19:G19"/>
    <mergeCell ref="A18:G18"/>
    <mergeCell ref="A17:G17"/>
    <mergeCell ref="A16:G16"/>
    <mergeCell ref="A15:G15"/>
    <mergeCell ref="A14:G14"/>
    <mergeCell ref="H22:K22"/>
    <mergeCell ref="H21:K21"/>
    <mergeCell ref="H20:K20"/>
    <mergeCell ref="H19:K19"/>
    <mergeCell ref="L14:M14"/>
    <mergeCell ref="H14:K14"/>
    <mergeCell ref="Z3:AM3"/>
    <mergeCell ref="Z10:AM10"/>
    <mergeCell ref="Z9:AM9"/>
    <mergeCell ref="Z8:AM8"/>
    <mergeCell ref="Z7:AM7"/>
    <mergeCell ref="Z6:AM6"/>
    <mergeCell ref="Z5:AM5"/>
    <mergeCell ref="Z4:AM4"/>
    <mergeCell ref="R14:S14"/>
    <mergeCell ref="T14:W14"/>
    <mergeCell ref="AE14:AH14"/>
    <mergeCell ref="AA14:AD14"/>
    <mergeCell ref="X14:Z14"/>
    <mergeCell ref="AK12:AM13"/>
    <mergeCell ref="A12:G13"/>
    <mergeCell ref="H12:K13"/>
    <mergeCell ref="L12:M13"/>
    <mergeCell ref="R12:S13"/>
    <mergeCell ref="T12:W13"/>
    <mergeCell ref="X12:Z13"/>
    <mergeCell ref="AA12:AD13"/>
    <mergeCell ref="AE12:AH13"/>
    <mergeCell ref="AI12:AJ13"/>
    <mergeCell ref="N12:Q12"/>
    <mergeCell ref="R23:S23"/>
    <mergeCell ref="R22:S22"/>
    <mergeCell ref="R21:S21"/>
    <mergeCell ref="R20:S20"/>
    <mergeCell ref="R19:S19"/>
    <mergeCell ref="R18:S18"/>
    <mergeCell ref="R17:S17"/>
    <mergeCell ref="R16:S16"/>
    <mergeCell ref="R15:S15"/>
    <mergeCell ref="L23:M23"/>
    <mergeCell ref="L22:M22"/>
    <mergeCell ref="L21:M21"/>
    <mergeCell ref="L20:M20"/>
    <mergeCell ref="L19:M19"/>
    <mergeCell ref="L18:M18"/>
    <mergeCell ref="L17:M17"/>
    <mergeCell ref="L16:M16"/>
    <mergeCell ref="L15:M15"/>
    <mergeCell ref="T23:W23"/>
    <mergeCell ref="T22:W22"/>
    <mergeCell ref="T21:W21"/>
    <mergeCell ref="T20:W20"/>
    <mergeCell ref="T19:W19"/>
    <mergeCell ref="T18:W18"/>
    <mergeCell ref="T17:W17"/>
    <mergeCell ref="T16:W16"/>
    <mergeCell ref="T15:W15"/>
    <mergeCell ref="AK23:AM23"/>
    <mergeCell ref="AK14:AM14"/>
    <mergeCell ref="AI23:AJ23"/>
    <mergeCell ref="AI22:AJ22"/>
    <mergeCell ref="AI21:AJ21"/>
    <mergeCell ref="AI20:AJ20"/>
    <mergeCell ref="AI19:AJ19"/>
    <mergeCell ref="AI18:AJ18"/>
    <mergeCell ref="AI17:AJ17"/>
    <mergeCell ref="AI16:AJ16"/>
    <mergeCell ref="AI15:AJ15"/>
    <mergeCell ref="AI14:AJ14"/>
    <mergeCell ref="AK22:AM22"/>
    <mergeCell ref="AK21:AM21"/>
    <mergeCell ref="AK20:AM20"/>
    <mergeCell ref="AK19:AM19"/>
    <mergeCell ref="AK18:AM18"/>
    <mergeCell ref="AK17:AM17"/>
    <mergeCell ref="AK16:AM16"/>
    <mergeCell ref="AK15:AM15"/>
    <mergeCell ref="AE23:AH23"/>
    <mergeCell ref="AE22:AH22"/>
    <mergeCell ref="AE21:AH21"/>
    <mergeCell ref="AE20:AH20"/>
    <mergeCell ref="AE19:AH19"/>
    <mergeCell ref="AE18:AH18"/>
    <mergeCell ref="AE17:AH17"/>
    <mergeCell ref="AE16:AH16"/>
    <mergeCell ref="AE15:AH15"/>
    <mergeCell ref="AA23:AD23"/>
    <mergeCell ref="AA22:AD22"/>
    <mergeCell ref="AA21:AD21"/>
    <mergeCell ref="AA20:AD20"/>
    <mergeCell ref="AA19:AD19"/>
    <mergeCell ref="AA18:AD18"/>
    <mergeCell ref="AA17:AD17"/>
    <mergeCell ref="AA16:AD16"/>
    <mergeCell ref="AA15:AD15"/>
    <mergeCell ref="X23:Z23"/>
    <mergeCell ref="X22:Z22"/>
    <mergeCell ref="X21:Z21"/>
    <mergeCell ref="X20:Z20"/>
    <mergeCell ref="X19:Z19"/>
    <mergeCell ref="X18:Z18"/>
    <mergeCell ref="X17:Z17"/>
    <mergeCell ref="X16:Z16"/>
    <mergeCell ref="X15:Z15"/>
    <mergeCell ref="N28:O28"/>
    <mergeCell ref="N27:O27"/>
    <mergeCell ref="N26:O26"/>
    <mergeCell ref="N29:O29"/>
    <mergeCell ref="O13:Q13"/>
    <mergeCell ref="O23:Q23"/>
    <mergeCell ref="O22:Q22"/>
    <mergeCell ref="O21:Q21"/>
    <mergeCell ref="O20:Q20"/>
    <mergeCell ref="O19:Q19"/>
    <mergeCell ref="O18:Q18"/>
    <mergeCell ref="O17:Q17"/>
    <mergeCell ref="O16:Q16"/>
    <mergeCell ref="O15:Q15"/>
    <mergeCell ref="O14:Q14"/>
  </mergeCells>
  <pageMargins left="0.32291666666666669" right="0.33333333333333331" top="0.29166666666666669" bottom="0.22916666666666666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>KSD Schaffhausen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Tenger Thomas</dc:creator>
  <cp:lastModifiedBy>Tenger Thomas</cp:lastModifiedBy>
  <cp:lastPrinted>2021-02-09T12:40:04Z</cp:lastPrinted>
  <dcterms:created xsi:type="dcterms:W3CDTF">2021-01-14T09:39:36Z</dcterms:created>
  <dcterms:modified xsi:type="dcterms:W3CDTF">2026-01-06T09:28:29Z</dcterms:modified>
</cp:coreProperties>
</file>