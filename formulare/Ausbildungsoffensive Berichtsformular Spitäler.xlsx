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abtdata.ktst.shnet.ch\HOMEDI\40_GESUNDHEITSAMT\50_Alter_Pflege\10_CH, SH Pflegeinitiative Umsetzung\14 Vollzug\Berichterstattung Einrichtungen\Berichtsformular Vorlage\"/>
    </mc:Choice>
  </mc:AlternateContent>
  <bookViews>
    <workbookView xWindow="0" yWindow="0" windowWidth="19200" windowHeight="7050"/>
  </bookViews>
  <sheets>
    <sheet name="Allgemeine Angaben" sheetId="2" r:id="rId1"/>
    <sheet name="Pflege FH-HF" sheetId="1" r:id="rId2"/>
    <sheet name="Sekundarstufe" sheetId="4" r:id="rId3"/>
    <sheet name="Erläuterungen" sheetId="5" r:id="rId4"/>
    <sheet name="Hintergrunddaten" sheetId="3" state="hidden" r:id="rId5"/>
  </sheets>
  <definedNames>
    <definedName name="Z_F2D67BD4_518B_4AA3_86DE_3FD6DF647BDB_.wvu.Rows" localSheetId="1" hidden="1">'Pflege FH-HF'!#REF!</definedName>
  </definedNames>
  <calcPr calcId="162913"/>
  <customWorkbookViews>
    <customWorkbookView name="Kroll Stefan - Persönliche Ansicht" guid="{F2D67BD4-518B-4AA3-86DE-3FD6DF647BDB}" mergeInterval="0" personalView="1" maximized="1" xWindow="-11" yWindow="-11" windowWidth="1942" windowHeight="1042" activeSheetId="1"/>
  </customWorkbookView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4" i="1" l="1"/>
  <c r="B4" i="4" l="1"/>
  <c r="B3" i="4"/>
  <c r="P15" i="4"/>
  <c r="P16" i="4"/>
  <c r="P14" i="4"/>
  <c r="I15" i="4"/>
  <c r="I16" i="4"/>
  <c r="I14" i="4"/>
  <c r="AN14" i="1"/>
  <c r="AM14" i="1"/>
  <c r="AL14" i="1"/>
  <c r="AI14" i="1"/>
  <c r="AF14" i="1"/>
  <c r="U14" i="1"/>
  <c r="R14" i="1"/>
  <c r="AO14" i="1" l="1"/>
  <c r="A14" i="1"/>
  <c r="C4" i="1"/>
  <c r="C3" i="1"/>
  <c r="AK14" i="1" l="1"/>
</calcChain>
</file>

<file path=xl/sharedStrings.xml><?xml version="1.0" encoding="utf-8"?>
<sst xmlns="http://schemas.openxmlformats.org/spreadsheetml/2006/main" count="254" uniqueCount="152">
  <si>
    <t>Erläuterung</t>
  </si>
  <si>
    <t>Ausbildungskapazitäten</t>
  </si>
  <si>
    <t>Name der erbringenden Einrichtung</t>
  </si>
  <si>
    <t>Beispieleinrichtung</t>
  </si>
  <si>
    <t>3) VZÄ = Vollzeitäquivalente</t>
  </si>
  <si>
    <t>jährlich 31. März</t>
  </si>
  <si>
    <t>Einrichtung</t>
  </si>
  <si>
    <t>Berichtszeitraum (Kalenderjahr)</t>
  </si>
  <si>
    <t>Kalenderjahr</t>
  </si>
  <si>
    <t xml:space="preserve">Anzahl beginnende Praktikumsvereinbarungen Pflege FH </t>
  </si>
  <si>
    <r>
      <t xml:space="preserve">Ausbildungsverträge Pflegefachpersonen </t>
    </r>
    <r>
      <rPr>
        <b/>
        <sz val="18"/>
        <color rgb="FFFF0000"/>
        <rFont val="Calibri"/>
        <family val="2"/>
        <scheme val="minor"/>
      </rPr>
      <t>Höhere Fachschule</t>
    </r>
  </si>
  <si>
    <t>Anzahl abgebrochene oder nicht angetretene Praktika FH</t>
  </si>
  <si>
    <t>Anzahl beginnende Ausbildungsverträge Pflege HF regulär (3-jährig)</t>
  </si>
  <si>
    <t>Anzahl beginnende Ausbildungsverträge Pflege HF verkürzt (2-jährig)</t>
  </si>
  <si>
    <t>Anzahl abgebrochene oder nicht angetretene Ausbildungsverträge</t>
  </si>
  <si>
    <t>2) Für 2023 gilt der Stichtag 31.12.; in Folgejahren gelten die effektiv im Berichtszeitraum besetzten Stellenprozente</t>
  </si>
  <si>
    <t>B.Sc. Soziale Arbeit</t>
  </si>
  <si>
    <t>nur Verwaltung</t>
  </si>
  <si>
    <t>nur Institutsleitung</t>
  </si>
  <si>
    <t>NDS IP</t>
  </si>
  <si>
    <t>Name der Einrichtung, für die die Ausbuiildungsleistung erbracht wurde</t>
  </si>
  <si>
    <t>Spitex ABC</t>
  </si>
  <si>
    <t>Pflegeheim ABC</t>
  </si>
  <si>
    <t>Spital ABC</t>
  </si>
  <si>
    <t>Anzahl geplante Praktikumswochen nach Abbruch oder Nichtantritt</t>
  </si>
  <si>
    <t>Bei Ausbildungsleistung im Verbund trägt nur die Einrichtung ein, mit der der Ausbildungsvertrag der/des Studierenden besteht; ansonsten "0" eintragen.</t>
  </si>
  <si>
    <t>Kommentar Ausbildungsleistung HF</t>
  </si>
  <si>
    <t>Kommentar Ausbildungsleistung FH</t>
  </si>
  <si>
    <r>
      <t xml:space="preserve">Praktikumsverträge Pflegefachpersonen </t>
    </r>
    <r>
      <rPr>
        <b/>
        <sz val="18"/>
        <color rgb="FFFF0000"/>
        <rFont val="Calibri"/>
        <family val="2"/>
        <scheme val="minor"/>
      </rPr>
      <t>Fachhochschule</t>
    </r>
  </si>
  <si>
    <t>Kommentar Ausbildungsverträge HF</t>
  </si>
  <si>
    <t xml:space="preserve">Name der Einrichtung </t>
  </si>
  <si>
    <t>Pflegeheim DEF</t>
  </si>
  <si>
    <t>Eigene Einrichtung</t>
  </si>
  <si>
    <t>bitte auswählen</t>
  </si>
  <si>
    <t>Erfüllung der Ausbildungsvorgabe</t>
  </si>
  <si>
    <t>Kommentar Ausbildungsleistung Pflege FH</t>
  </si>
  <si>
    <t>nicht zutreffend</t>
  </si>
  <si>
    <t>Spitex DEF</t>
  </si>
  <si>
    <t>Spitex GHI</t>
  </si>
  <si>
    <t xml:space="preserve">Name der erbringenden Einrichtung </t>
  </si>
  <si>
    <t>Assistent/in Gesundheit und Soziales EBA</t>
  </si>
  <si>
    <t>Fachfrau/Fachmann Betreuung EFZ</t>
  </si>
  <si>
    <t>Fachfrau/Fachmann Gesundheit EFZ</t>
  </si>
  <si>
    <t>Gesamt</t>
  </si>
  <si>
    <t>Abgebrochende Ausbildungen</t>
  </si>
  <si>
    <t>Anzahl der im Berichtsjahr abgebrochenen Ausbildungen nach Lehrjahr</t>
  </si>
  <si>
    <t>1. Lehrjahr</t>
  </si>
  <si>
    <t>2. Lehrjahr</t>
  </si>
  <si>
    <t>3. Lehrjahr</t>
  </si>
  <si>
    <t>Grund des Abbruchs</t>
  </si>
  <si>
    <t>Ausbildungsleistung Sekundarstufe</t>
  </si>
  <si>
    <t>Personalbestand Sekundarstufe</t>
  </si>
  <si>
    <t>1) VZÄ = Vollzeitäquivalente</t>
  </si>
  <si>
    <t>Kommentar Allgemeine Bemerkungen</t>
  </si>
  <si>
    <t xml:space="preserve">Anzahl Abschlüsse </t>
  </si>
  <si>
    <t>Anzahl der mit Berufsabschluss im Berichtsjahr beendeten Ausbildungen</t>
  </si>
  <si>
    <t>Kommentar Personalbestand</t>
  </si>
  <si>
    <t>Abgeschlossene Ausbildungsverträge</t>
  </si>
  <si>
    <r>
      <t>Beschäftigte VZÄ</t>
    </r>
    <r>
      <rPr>
        <vertAlign val="superscript"/>
        <sz val="11"/>
        <color theme="1"/>
        <rFont val="Calibri"/>
        <family val="2"/>
        <scheme val="minor"/>
      </rPr>
      <t>1)</t>
    </r>
    <r>
      <rPr>
        <b/>
        <sz val="11"/>
        <color theme="1"/>
        <rFont val="Calibri"/>
        <family val="2"/>
        <scheme val="minor"/>
      </rPr>
      <t xml:space="preserve"> im Berichtsjahr</t>
    </r>
    <r>
      <rPr>
        <b/>
        <vertAlign val="superscript"/>
        <sz val="11"/>
        <color theme="1"/>
        <rFont val="Calibri"/>
        <family val="2"/>
        <scheme val="minor"/>
      </rPr>
      <t>2)</t>
    </r>
  </si>
  <si>
    <t>Lernende im Betrieb</t>
  </si>
  <si>
    <t>Kommentar Ausbildungsleistung</t>
  </si>
  <si>
    <t>Kommentar Beschäftigte</t>
  </si>
  <si>
    <t>Wird automatisch berechnet.</t>
  </si>
  <si>
    <r>
      <t xml:space="preserve">Ausbildungsleistung Pflegefachpersonen </t>
    </r>
    <r>
      <rPr>
        <b/>
        <sz val="18"/>
        <color rgb="FFFF0000"/>
        <rFont val="Calibri"/>
        <family val="2"/>
        <scheme val="minor"/>
      </rPr>
      <t>Fachhochschule</t>
    </r>
  </si>
  <si>
    <r>
      <t xml:space="preserve">Ausbildungsleistung Pflegefachpersonen </t>
    </r>
    <r>
      <rPr>
        <b/>
        <sz val="18"/>
        <color rgb="FFFF0000"/>
        <rFont val="Calibri"/>
        <family val="2"/>
        <scheme val="minor"/>
      </rPr>
      <t>Höhere Fachschule</t>
    </r>
  </si>
  <si>
    <r>
      <rPr>
        <b/>
        <sz val="11"/>
        <color theme="1"/>
        <rFont val="Calibri"/>
        <family val="2"/>
        <scheme val="minor"/>
      </rPr>
      <t>Auszug GesBAV</t>
    </r>
    <r>
      <rPr>
        <sz val="11"/>
        <color theme="1"/>
        <rFont val="Calibri"/>
        <family val="2"/>
        <scheme val="minor"/>
      </rPr>
      <t xml:space="preserve"> (Verordnung über die Anerkennung ausländischer und die Gleichstellung inländischer Bildungsabschlüsse nach bisherigem Recht in den Gesundheitsberufen nach dem GesBG vom 13. Dezmber 2019; SR 811.214)</t>
    </r>
  </si>
  <si>
    <t>4) siehe Tabellenblatt "Erläuterungen"</t>
  </si>
  <si>
    <r>
      <t>Anzahl VZÄ</t>
    </r>
    <r>
      <rPr>
        <b/>
        <vertAlign val="superscript"/>
        <sz val="11"/>
        <color theme="1"/>
        <rFont val="Calibri"/>
        <family val="2"/>
        <scheme val="minor"/>
      </rPr>
      <t>3)</t>
    </r>
    <r>
      <rPr>
        <b/>
        <sz val="11"/>
        <color theme="1"/>
        <rFont val="Calibri"/>
        <family val="2"/>
        <scheme val="minor"/>
      </rPr>
      <t xml:space="preserve"> Pflege FH/HF insgesamt</t>
    </r>
  </si>
  <si>
    <t>Funktion</t>
  </si>
  <si>
    <t>Abzugsfähige VZÄ (sonstige Lernbegleitung)</t>
  </si>
  <si>
    <t>Bildungsgang der Lernbegleitung</t>
  </si>
  <si>
    <t xml:space="preserve">Rechtsgrundlagen der Erhebung: </t>
  </si>
  <si>
    <r>
      <t>Personalbestand Pflegefachpersonen FH/HF oder gleichwertig</t>
    </r>
    <r>
      <rPr>
        <b/>
        <vertAlign val="superscript"/>
        <sz val="11"/>
        <rFont val="Calibri"/>
        <family val="2"/>
        <scheme val="minor"/>
      </rPr>
      <t>1)</t>
    </r>
    <r>
      <rPr>
        <b/>
        <sz val="18"/>
        <rFont val="Calibri"/>
        <family val="2"/>
        <scheme val="minor"/>
      </rPr>
      <t xml:space="preserve"> </t>
    </r>
  </si>
  <si>
    <r>
      <t xml:space="preserve">Bezeichung der Bildungsgänge </t>
    </r>
    <r>
      <rPr>
        <b/>
        <i/>
        <sz val="9"/>
        <rFont val="Calibri"/>
        <family val="2"/>
        <scheme val="minor"/>
      </rPr>
      <t>aus Spalte E</t>
    </r>
    <r>
      <rPr>
        <i/>
        <sz val="9"/>
        <rFont val="Calibri"/>
        <family val="2"/>
        <scheme val="minor"/>
      </rPr>
      <t>.</t>
    </r>
  </si>
  <si>
    <t>6) Hierzu zählen nur Stellenprozente von Personen, die im Umfang vergleichbare Ausbildungsleistungen auf der gleichen Bildungsstufe erbringen. "In vergleichbarem Umfang" bezieht sich auf die praktische Lernbegleitung durch die Ausbildner (z.B. Lernbegleitung für Nachdiplomstudiengänge AIN im Spital). Die Ausbildung FA Langzeitpflege und -betreuung ist mit Blick auf den Umfang der praktischen Lernbegleitung nicht vergleichbar.</t>
  </si>
  <si>
    <t>Fussnoten</t>
  </si>
  <si>
    <t>Texteingabe</t>
  </si>
  <si>
    <t>Anleitung zur Eintragung</t>
  </si>
  <si>
    <t>Kaufmännische Rundung auf volle Wochen.</t>
  </si>
  <si>
    <r>
      <t xml:space="preserve">Name der Einrichtung, bei der der Vertrag </t>
    </r>
    <r>
      <rPr>
        <b/>
        <i/>
        <sz val="9"/>
        <rFont val="Calibri"/>
        <family val="2"/>
        <scheme val="minor"/>
      </rPr>
      <t>aus Spalte L</t>
    </r>
    <r>
      <rPr>
        <i/>
        <sz val="9"/>
        <rFont val="Calibri"/>
        <family val="2"/>
        <scheme val="minor"/>
      </rPr>
      <t xml:space="preserve"> bestanden hat.</t>
    </r>
  </si>
  <si>
    <t>Anzahl selbst erbrachte praktische Ausbildungswochen</t>
  </si>
  <si>
    <r>
      <t>Anzahl für andere erbrachte praktische Ausbildungswochen</t>
    </r>
    <r>
      <rPr>
        <b/>
        <sz val="11"/>
        <color rgb="FFFF0000"/>
        <rFont val="Calibri"/>
        <family val="2"/>
        <scheme val="minor"/>
      </rPr>
      <t/>
    </r>
  </si>
  <si>
    <t xml:space="preserve">Summe in der Einrichtung erbrachte praktische Ausbildungswochen </t>
  </si>
  <si>
    <t>Anzahl durch andere erbrachte praktische Ausbildungwochen</t>
  </si>
  <si>
    <t xml:space="preserve">Anzahl selbst erbrachte Ausbildungswochen im Berichtsjahr, die zwecks Erfüllung der Ausbildungsvorgaben der eigenen Einrichtung zugeordnet werden sollen. Der schulische Teil ist nicht einzuberechnen. </t>
  </si>
  <si>
    <t>Anzahl der Ausbildungswochen im Berichtsjahr, die für eine andere Einrichtung erbracht wurden (z.B. als bezahlte Dienstleistung oder im Studierendenaustausch) und zwecks Erfüllung der Ausbildungsvorgabe dieser anderen Einrichtung zugeordnet werden sollen. Der schulische Teil ist nicht einzuberechnen.</t>
  </si>
  <si>
    <t>Anzahl der Ausbildungswochen in anderen Einrichtungen, die zwecks Erfüllung der Ausbildungsvorgaben im Berichtsjahr der eigenen Einrichtung zugeordnet werden sollen. Der schulische Teil ist nicht einzuberechnen.</t>
  </si>
  <si>
    <t>Erbringende Einrichtung aus Spalte S.</t>
  </si>
  <si>
    <t>Texteingabe. Bei mehreren Einrichtungen bitte jeweils eigene Zeilen verwenden.</t>
  </si>
  <si>
    <t>Summe Eigen- + Fremderbringung</t>
  </si>
  <si>
    <t>Summe der Ausbildungsleistung innerhalb der eigenen Einrichtung.</t>
  </si>
  <si>
    <t>Name der Einrichtung, für die die Ausbildungsleistung erbracht wurde</t>
  </si>
  <si>
    <t>Abnehmende Einrichtung aus Spalte P.</t>
  </si>
  <si>
    <t>Start im Berichtsjahr.</t>
  </si>
  <si>
    <t>Abbruch oder Nichtantritt im Berichtsjahr.</t>
  </si>
  <si>
    <r>
      <t xml:space="preserve">Name der Einrichtung, bei der der Vertrag </t>
    </r>
    <r>
      <rPr>
        <b/>
        <i/>
        <sz val="9"/>
        <rFont val="Calibri"/>
        <family val="2"/>
        <scheme val="minor"/>
      </rPr>
      <t>aus Spalte Z</t>
    </r>
    <r>
      <rPr>
        <i/>
        <sz val="9"/>
        <rFont val="Calibri"/>
        <family val="2"/>
        <scheme val="minor"/>
      </rPr>
      <t xml:space="preserve"> bestanden hat.</t>
    </r>
  </si>
  <si>
    <t>Erbringende Einrichtung aus Spalte AG.</t>
  </si>
  <si>
    <t>Ausbildungswochen 
in der Einrichtung gesamt</t>
  </si>
  <si>
    <t>…davon Ausbildungswochen 
für die eigene Einrichtung</t>
  </si>
  <si>
    <t>…davon Ausbildungswochen für andere Einrichtungen</t>
  </si>
  <si>
    <t>Ausbildungswochen durch andere</t>
  </si>
  <si>
    <t>Summe Pflege FH und HF</t>
  </si>
  <si>
    <r>
      <t xml:space="preserve">Ausbildungsleistung Pflegefachpersonen </t>
    </r>
    <r>
      <rPr>
        <b/>
        <sz val="18"/>
        <color rgb="FFFF0000"/>
        <rFont val="Calibri"/>
        <family val="2"/>
        <scheme val="minor"/>
      </rPr>
      <t>FH/HF</t>
    </r>
    <r>
      <rPr>
        <b/>
        <sz val="18"/>
        <color theme="1"/>
        <rFont val="Calibri"/>
        <family val="2"/>
        <scheme val="minor"/>
      </rPr>
      <t xml:space="preserve"> gesamt</t>
    </r>
  </si>
  <si>
    <r>
      <t xml:space="preserve">Wenn zutreffend: Anzahl der aufgrund eines Studienabbruchs oder Nichtantritts von der Einrichtung nicht erbrachten Ausbildungswochen im Sinne der Ausbildungsverpflichtung. 
</t>
    </r>
    <r>
      <rPr>
        <i/>
        <sz val="9"/>
        <color rgb="FFFF0000"/>
        <rFont val="Calibri"/>
        <family val="2"/>
        <scheme val="minor"/>
      </rPr>
      <t>Eintragung gilt als Gesuch um Verzicht auf die Erhebung einer allfälligen Ersatzabgabe gemäss §13 Abs. 3 VEG FAP.</t>
    </r>
  </si>
  <si>
    <t>Eintragung durch jede Einrichtung, der im Ausbildungskonzept für diese/n Studierende/n praktische Ausbildungswochen zugeordnet sind und die aufgrund des Abbruchs Ausbildungsvorgaben (z.T.) nicht erfüllen kann. Bei mehreren Verträgen bitte jeweils eigene Zeilen verwenden. Kaufmännische Rundung auf volle Wochen.</t>
  </si>
  <si>
    <t>Ausbildungsleistung zur Erfüllung des Vorgabewertes</t>
  </si>
  <si>
    <t>Gesuch um Verzicht auf die Erhebung einer Ersatzabgabe</t>
  </si>
  <si>
    <t xml:space="preserve">Anzahl untererfüllter Wochen, für die keine Ersatzabgabe erhoben werden soll. </t>
  </si>
  <si>
    <t>Bei mehreren Ursachen bitte jeweils eigene Zeilen verwenden, entsprechend der Zuordnung zur Spalte AR. Kaufmännische Rundung auf volle Wochen.</t>
  </si>
  <si>
    <r>
      <t xml:space="preserve">Eintragung gilt als Gesuch um Verzicht auf die Erhebung einer allfälligen Ersatzabgabe gemäss §13 Abs. 3 VEG FAP.
</t>
    </r>
    <r>
      <rPr>
        <i/>
        <sz val="9"/>
        <rFont val="Calibri"/>
        <family val="2"/>
        <scheme val="minor"/>
      </rPr>
      <t xml:space="preserve">Nicht anzugeben ist die Anzahl Wochen, die aufgrund eines Studienabbruchs oder aufgrund von Nichtantritt der Stelle seitens der/des Studierenden nicht erbracht wurden. </t>
    </r>
  </si>
  <si>
    <t xml:space="preserve">Kommentar Gesuch </t>
  </si>
  <si>
    <t>Textgeingabe. Bei mehreren Gründen bitte jeweils eigene Spalten verwenden. jeweils mit Zuordnung der Anzahl untererfüllter Wochen zu Spalte AQ.</t>
  </si>
  <si>
    <t>Angabe des besonderen Umstands, der zur Untererfüllung führt. Branchenübliche Rekruiterungsbemühungen, geringe Ausbildungslöhne oder Aufbauarbeit zur Ausbildungsfähigkeit gelten nicht als begründeter Fall im Sinne von §13 Abs. 1 VEG FAP. Nachweise sind separat mitzuliefern.</t>
  </si>
  <si>
    <t>Begründung der Ausnahme</t>
  </si>
  <si>
    <t>VZÄ  Pflege FH/HF ohne Pflegeaufgaben</t>
  </si>
  <si>
    <t>Altersbetreuungs- und Pflegegesetz vom 2. Juli 2007 (AbPG; SHR 813.500), insbesondere Art. 8 AbPG</t>
  </si>
  <si>
    <t>Spitalgesetz vom 22. November 2004 (SHR 813.100), insbesondere Art. 5 Spitalgesetz</t>
  </si>
  <si>
    <r>
      <t>Bundesgesetz über die Krankenversicherung vom 18. März 1994 (KVG; SR 832.10), insbesondere Art. 36a Abs. 3 KVG und Art. 39 Abs. 1</t>
    </r>
    <r>
      <rPr>
        <vertAlign val="superscript"/>
        <sz val="11"/>
        <color theme="1"/>
        <rFont val="Calibri"/>
        <family val="2"/>
        <scheme val="minor"/>
      </rPr>
      <t>bis</t>
    </r>
    <r>
      <rPr>
        <sz val="11"/>
        <color theme="1"/>
        <rFont val="Calibri"/>
        <family val="2"/>
        <scheme val="minor"/>
      </rPr>
      <t xml:space="preserve"> KVG</t>
    </r>
  </si>
  <si>
    <t>Beiarbeitungshinweise:</t>
  </si>
  <si>
    <t>1. Bitte Name der Einrichtung und Berichtszeitraum im Dropdown-Menü oben ausfüllen.</t>
  </si>
  <si>
    <t>3. Bitte Tabellenblatt "Sekundarstufe" ausfüllen</t>
  </si>
  <si>
    <t>2. Bitte Tabellenblatt "Pflegefachpersonen FH-HF" ausfüllen (grüne, orange, rote Felder)</t>
  </si>
  <si>
    <t>Auszufüllen sind nur die farbigen Felder (grün, orange, rot). Kommentare jeweils unten nach Bedarf. Bitte für alle Berufsgruppen in den Zeilen 14-16 ausfüllen.</t>
  </si>
  <si>
    <t>Anzahl der im Berichtsjahr begonnenen bzw. laufenden Ausbildungen nach Lehrjahr</t>
  </si>
  <si>
    <t>Summe der VZÄ aller Mitarbeitenden mit den jeweiligen Berufsabschlüssen. Kaufmännische Rundung auf eine Nachkommastelle.</t>
  </si>
  <si>
    <t>5) Anzugeben sind hier die VZÄ von Personen, die keine Pflege- und Betreuungsaufgabe wahrnehmen. Folglich sind das Personen, die im Stellenplan auch nicht als Personal für Pflege und Betreuung einberechnet werden. Wenn z.B. eine PDL zur Erfüllung des Mindeststellenplans eingerechnet wird und/oder diese am Bett tätig ist, ist diese in der Ausbildungsoffensive nicht vom Personalbestand in Spalte B abzugsfähig und hier entsprechend nicht anzugeben. Ist eine Pflegefachperson ausschliesslich in der Verwaltung oder koordinierend tätig (folglich werden hier auch keine KLV-Std. abgerechnet), sind deren Stellenprozente hier anzugeben. Explizit nicht abzugsfähig und daher nicht hier anzugeben sind die Stellenprozente von Pflegefachpersonen, die eine berufspädagogische Qualifikation (wie das SVEB) erst noch erwerben müssen, die "nicht ausbilden möchten" und/oder die Teilprozente für Betreuungsaufgaben einsetzen. Es ist Aufgabe der Betriebe, die Ausbildungskapazitäten zur Erfüllung der Lehrpläne der Bildungsinstitutionen aufzubauen.</t>
  </si>
  <si>
    <t>... davon mit Anschlussbeschäftigung in der eigenen Einrichtung</t>
  </si>
  <si>
    <t>… davon mit anschliessendem Studium Pflege FH/HF</t>
  </si>
  <si>
    <t>Anzahl im Berichtsjahr neu abgeschlossenen Ausbildungsverträge mit Start im Folgejahr</t>
  </si>
  <si>
    <t>Bitte angeben, aus welchen Gründen die Zusammenarbeit beendet wurde. Texteingabe.</t>
  </si>
  <si>
    <t>1) Pflegefachpersonen FH oder HF gemäss Art. 1 Abs. 2 EG FAP i.V.m. Art. 29 Berufsbildungsgesetz (BBG) bzw. Art. 2 Abs. 2 a Ziff 1 Gesundheitsberufegesetz bzw. nach Art. 8 Gesundheitsberufeanerkennungsverordnung gleichgesetellte Berufe (siehe auch Tabellenblatt "Erläuterungen"). Es sind sämtliche Beschäftige unabhängig von der Funktion anzugeben.</t>
  </si>
  <si>
    <r>
      <t xml:space="preserve">Angabe der jeweiligen Funktionsbereiche </t>
    </r>
    <r>
      <rPr>
        <b/>
        <i/>
        <sz val="9"/>
        <color theme="1"/>
        <rFont val="Calibri"/>
        <family val="2"/>
        <scheme val="minor"/>
      </rPr>
      <t>aus Spalte C</t>
    </r>
    <r>
      <rPr>
        <i/>
        <sz val="9"/>
        <color theme="1"/>
        <rFont val="Calibri"/>
        <family val="2"/>
        <scheme val="minor"/>
      </rPr>
      <t>.</t>
    </r>
  </si>
  <si>
    <r>
      <t xml:space="preserve">Summe </t>
    </r>
    <r>
      <rPr>
        <b/>
        <i/>
        <sz val="9"/>
        <color theme="1"/>
        <rFont val="Calibri"/>
        <family val="2"/>
        <scheme val="minor"/>
      </rPr>
      <t>aller VZÄ</t>
    </r>
    <r>
      <rPr>
        <i/>
        <sz val="9"/>
        <color theme="1"/>
        <rFont val="Calibri"/>
        <family val="2"/>
        <scheme val="minor"/>
      </rPr>
      <t xml:space="preserve"> von</t>
    </r>
    <r>
      <rPr>
        <b/>
        <i/>
        <sz val="9"/>
        <color theme="1"/>
        <rFont val="Calibri"/>
        <family val="2"/>
        <scheme val="minor"/>
      </rPr>
      <t xml:space="preserve"> allen Mitarbeitenden</t>
    </r>
    <r>
      <rPr>
        <i/>
        <sz val="9"/>
        <color theme="1"/>
        <rFont val="Calibri"/>
        <family val="2"/>
        <scheme val="minor"/>
      </rPr>
      <t xml:space="preserve"> (Gesamtpensum laut Arbeitsvertrag) mit Abschluss als </t>
    </r>
    <r>
      <rPr>
        <b/>
        <i/>
        <sz val="9"/>
        <color theme="1"/>
        <rFont val="Calibri"/>
        <family val="2"/>
        <scheme val="minor"/>
      </rPr>
      <t>Pflegefachfrau /-mann HF oder FH bzw. gleichgestelltem Bildungsabschluss</t>
    </r>
    <r>
      <rPr>
        <i/>
        <sz val="9"/>
        <color theme="1"/>
        <rFont val="Calibri"/>
        <family val="2"/>
        <scheme val="minor"/>
      </rPr>
      <t xml:space="preserve"> nach Art. 8 GesBAV</t>
    </r>
    <r>
      <rPr>
        <i/>
        <vertAlign val="superscript"/>
        <sz val="9"/>
        <color theme="1"/>
        <rFont val="Calibri"/>
        <family val="2"/>
        <scheme val="minor"/>
      </rPr>
      <t>4)</t>
    </r>
    <r>
      <rPr>
        <i/>
        <sz val="9"/>
        <color theme="1"/>
        <rFont val="Calibri"/>
        <family val="2"/>
        <scheme val="minor"/>
      </rPr>
      <t xml:space="preserve">, </t>
    </r>
    <r>
      <rPr>
        <b/>
        <i/>
        <sz val="9"/>
        <color theme="1"/>
        <rFont val="Calibri"/>
        <family val="2"/>
        <scheme val="minor"/>
      </rPr>
      <t>einschliesslich</t>
    </r>
    <r>
      <rPr>
        <i/>
        <sz val="9"/>
        <color theme="1"/>
        <rFont val="Calibri"/>
        <family val="2"/>
        <scheme val="minor"/>
      </rPr>
      <t xml:space="preserve"> Pflegefachpersonen mit zusätzlichen Weiterbildungen (z.B. FA Ausbilder), Pflegedienstleitungen, Verwaltungspersonal mit entsprechendem Bildungsabschluss, besetze Poolstellen etc.</t>
    </r>
  </si>
  <si>
    <r>
      <t xml:space="preserve">Anzahl aller VZÄ derjenigen Mitarbeitenden </t>
    </r>
    <r>
      <rPr>
        <b/>
        <i/>
        <sz val="9"/>
        <color theme="1"/>
        <rFont val="Calibri"/>
        <family val="2"/>
        <scheme val="minor"/>
      </rPr>
      <t xml:space="preserve">aus </t>
    </r>
    <r>
      <rPr>
        <b/>
        <i/>
        <sz val="9"/>
        <rFont val="Calibri"/>
        <family val="2"/>
        <scheme val="minor"/>
      </rPr>
      <t>Feld B14</t>
    </r>
    <r>
      <rPr>
        <i/>
        <sz val="9"/>
        <rFont val="Calibri"/>
        <family val="2"/>
        <scheme val="minor"/>
      </rPr>
      <t>, die nicht</t>
    </r>
    <r>
      <rPr>
        <i/>
        <sz val="9"/>
        <color theme="1"/>
        <rFont val="Calibri"/>
        <family val="2"/>
        <scheme val="minor"/>
      </rPr>
      <t xml:space="preserve"> in der Pflege und Betreuung tätig sind und nicht zur Erfüllung von (Mindest-)Stellenplänen für Pflege und Betreuung angerechnet werden.</t>
    </r>
    <r>
      <rPr>
        <i/>
        <vertAlign val="superscript"/>
        <sz val="9"/>
        <color theme="1"/>
        <rFont val="Calibri"/>
        <family val="2"/>
        <scheme val="minor"/>
      </rPr>
      <t>5)</t>
    </r>
    <r>
      <rPr>
        <i/>
        <sz val="9"/>
        <color theme="1"/>
        <rFont val="Calibri"/>
        <family val="2"/>
        <scheme val="minor"/>
      </rPr>
      <t xml:space="preserve"> 
</t>
    </r>
  </si>
  <si>
    <t xml:space="preserve">Beispiel </t>
  </si>
  <si>
    <t>Berechnungsfaktor zur Ermittlung der künftigen Ausbildungsverpflichtung.</t>
  </si>
  <si>
    <t>VZÄ für sonstige Lernbegleitung (tertiär)</t>
  </si>
  <si>
    <t>Spital</t>
  </si>
  <si>
    <t>SSH</t>
  </si>
  <si>
    <t>Belair</t>
  </si>
  <si>
    <r>
      <t xml:space="preserve">Summe der VZÄ von Mitarbeitenden </t>
    </r>
    <r>
      <rPr>
        <b/>
        <i/>
        <sz val="9"/>
        <rFont val="Calibri"/>
        <family val="2"/>
        <scheme val="minor"/>
      </rPr>
      <t>aus Feld B14</t>
    </r>
    <r>
      <rPr>
        <i/>
        <sz val="9"/>
        <rFont val="Calibri"/>
        <family val="2"/>
        <scheme val="minor"/>
      </rPr>
      <t xml:space="preserve">, die für die </t>
    </r>
    <r>
      <rPr>
        <b/>
        <i/>
        <sz val="9"/>
        <rFont val="Calibri"/>
        <family val="2"/>
        <scheme val="minor"/>
      </rPr>
      <t>praktische Lernbegleitung</t>
    </r>
    <r>
      <rPr>
        <i/>
        <sz val="9"/>
        <rFont val="Calibri"/>
        <family val="2"/>
        <scheme val="minor"/>
      </rPr>
      <t xml:space="preserve"> in anderen Bildungsgängen auf der </t>
    </r>
    <r>
      <rPr>
        <b/>
        <i/>
        <sz val="9"/>
        <rFont val="Calibri"/>
        <family val="2"/>
        <scheme val="minor"/>
      </rPr>
      <t>Tertiärstufe</t>
    </r>
    <r>
      <rPr>
        <i/>
        <sz val="9"/>
        <rFont val="Calibri"/>
        <family val="2"/>
        <scheme val="minor"/>
      </rPr>
      <t xml:space="preserve"> eingesetzt werden.</t>
    </r>
    <r>
      <rPr>
        <i/>
        <vertAlign val="superscript"/>
        <sz val="9"/>
        <rFont val="Calibri"/>
        <family val="2"/>
        <scheme val="minor"/>
      </rPr>
      <t>6)</t>
    </r>
    <r>
      <rPr>
        <i/>
        <sz val="9"/>
        <rFont val="Calibri"/>
        <family val="2"/>
        <scheme val="minor"/>
      </rPr>
      <t xml:space="preserve"> </t>
    </r>
  </si>
  <si>
    <t>Auszufüllen sind nur die farbigen Felder (grün, orange, rot; violett bedarfsweise). Kommentare jeweils unten nach Bedarf. Weitere Erläuterungen siehe Fussnoten und Beispiel unten.</t>
  </si>
  <si>
    <t>Ist-Wert VZÄ</t>
  </si>
  <si>
    <t>Einführungsgesetz zum Bundesgesetz über die Förderung der Ausbildung im Bereich der Pflege vom 1. Juli 2024 (EG FAP; SHR 811.100), insbesondere Art. 3, 4 und 9 EG FAP.</t>
  </si>
  <si>
    <t>Verordnung zum Einführungsgesetz zum Bundesgesetz über die Förderung der Ausbildung im Bereich der Pflege vom 27. August 2024 (VEG FAP; SHR 811.111), insbesondere §11 VEG FAP</t>
  </si>
  <si>
    <t>Kaufmännische Rundung auf eine Nachkommastelle.</t>
  </si>
  <si>
    <t>Kaufmännische Rundung auf eine Nachkommastelle. Bei mehreren Funktionsbereichen bitte jeweils eigene Zeilen für die jeweiligen VZÄ verwenden.</t>
  </si>
  <si>
    <t>Kaufmännische Rundung auf eine Nachkommastelle. Bei mehreren Ausbildungen bitte jeweils eigene Zeilen für die jeweiligen VZÄ verwenden</t>
  </si>
  <si>
    <r>
      <t xml:space="preserve">Ausbildungsoffensive: Berichtsformular Ausbildungskapazitäten und -leistung Spitäler; </t>
    </r>
    <r>
      <rPr>
        <b/>
        <sz val="11"/>
        <color theme="1"/>
        <rFont val="Calibri"/>
        <family val="2"/>
        <scheme val="minor"/>
      </rPr>
      <t>GA Schaffhausen, rev. Dez.2024</t>
    </r>
  </si>
  <si>
    <r>
      <t xml:space="preserve">Anzahl der Absolventinnen und Absolventen aus </t>
    </r>
    <r>
      <rPr>
        <i/>
        <sz val="9"/>
        <rFont val="Calibri"/>
        <family val="2"/>
        <scheme val="minor"/>
      </rPr>
      <t>Spalte</t>
    </r>
    <r>
      <rPr>
        <i/>
        <sz val="9"/>
        <color rgb="FFFF0000"/>
        <rFont val="Calibri"/>
        <family val="2"/>
        <scheme val="minor"/>
      </rPr>
      <t xml:space="preserve"> </t>
    </r>
    <r>
      <rPr>
        <i/>
        <sz val="9"/>
        <rFont val="Calibri"/>
        <family val="2"/>
        <scheme val="minor"/>
      </rPr>
      <t>J,</t>
    </r>
    <r>
      <rPr>
        <i/>
        <sz val="9"/>
        <color theme="1"/>
        <rFont val="Calibri"/>
        <family val="2"/>
        <scheme val="minor"/>
      </rPr>
      <t xml:space="preserve"> die im Anschluss ein Studium Pflege FH/HF begonnen haben.</t>
    </r>
  </si>
  <si>
    <r>
      <t xml:space="preserve">Anzahl der Absolventinnen und Absolventen aus </t>
    </r>
    <r>
      <rPr>
        <sz val="9"/>
        <rFont val="Calibri"/>
        <family val="2"/>
        <scheme val="minor"/>
      </rPr>
      <t>Spalte</t>
    </r>
    <r>
      <rPr>
        <i/>
        <sz val="9"/>
        <color rgb="FFFF0000"/>
        <rFont val="Calibri"/>
        <family val="2"/>
        <scheme val="minor"/>
      </rPr>
      <t xml:space="preserve"> </t>
    </r>
    <r>
      <rPr>
        <i/>
        <sz val="9"/>
        <rFont val="Calibri"/>
        <family val="2"/>
        <scheme val="minor"/>
      </rPr>
      <t>J,</t>
    </r>
    <r>
      <rPr>
        <i/>
        <sz val="9"/>
        <color theme="1"/>
        <rFont val="Calibri"/>
        <family val="2"/>
        <scheme val="minor"/>
      </rPr>
      <t xml:space="preserve"> die eine Folgeanstellung erhalten haben</t>
    </r>
  </si>
  <si>
    <t>Einreichungsfrist: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</si>
</sst>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8" x14ac:knownFonts="1">
    <font>
      <sz val="11"/>
      <color theme="1"/>
      <name val="Calibri"/>
      <family val="2"/>
      <scheme val="minor"/>
    </font>
    <font>
      <b/>
      <sz val="11"/>
      <color theme="1"/>
      <name val="Calibri"/>
      <family val="2"/>
      <scheme val="minor"/>
    </font>
    <font>
      <i/>
      <sz val="9"/>
      <color theme="1"/>
      <name val="Calibri"/>
      <family val="2"/>
      <scheme val="minor"/>
    </font>
    <font>
      <i/>
      <sz val="9"/>
      <color rgb="FFFF0000"/>
      <name val="Calibri"/>
      <family val="2"/>
      <scheme val="minor"/>
    </font>
    <font>
      <b/>
      <vertAlign val="superscript"/>
      <sz val="11"/>
      <color theme="1"/>
      <name val="Calibri"/>
      <family val="2"/>
      <scheme val="minor"/>
    </font>
    <font>
      <b/>
      <sz val="11"/>
      <color rgb="FFFF0000"/>
      <name val="Calibri"/>
      <family val="2"/>
      <scheme val="minor"/>
    </font>
    <font>
      <sz val="11"/>
      <color rgb="FFFF0000"/>
      <name val="Calibri"/>
      <family val="2"/>
      <scheme val="minor"/>
    </font>
    <font>
      <i/>
      <sz val="9"/>
      <name val="Calibri"/>
      <family val="2"/>
      <scheme val="minor"/>
    </font>
    <font>
      <b/>
      <sz val="18"/>
      <color theme="1"/>
      <name val="Calibri"/>
      <family val="2"/>
      <scheme val="minor"/>
    </font>
    <font>
      <b/>
      <sz val="20"/>
      <color theme="1"/>
      <name val="Calibri"/>
      <family val="2"/>
      <scheme val="minor"/>
    </font>
    <font>
      <sz val="18"/>
      <color theme="1"/>
      <name val="Calibri"/>
      <family val="2"/>
      <scheme val="minor"/>
    </font>
    <font>
      <b/>
      <sz val="18"/>
      <color rgb="FFFF0000"/>
      <name val="Calibri"/>
      <family val="2"/>
      <scheme val="minor"/>
    </font>
    <font>
      <b/>
      <i/>
      <sz val="11"/>
      <color theme="1"/>
      <name val="Calibri"/>
      <family val="2"/>
      <scheme val="minor"/>
    </font>
    <font>
      <b/>
      <sz val="11"/>
      <name val="Calibri"/>
      <family val="2"/>
      <scheme val="minor"/>
    </font>
    <font>
      <sz val="9"/>
      <color theme="1"/>
      <name val="Calibri"/>
      <family val="2"/>
      <scheme val="minor"/>
    </font>
    <font>
      <vertAlign val="superscript"/>
      <sz val="11"/>
      <color theme="1"/>
      <name val="Calibri"/>
      <family val="2"/>
      <scheme val="minor"/>
    </font>
    <font>
      <i/>
      <vertAlign val="superscript"/>
      <sz val="9"/>
      <color theme="1"/>
      <name val="Calibri"/>
      <family val="2"/>
      <scheme val="minor"/>
    </font>
    <font>
      <b/>
      <i/>
      <sz val="11"/>
      <name val="Calibri"/>
      <family val="2"/>
      <scheme val="minor"/>
    </font>
    <font>
      <i/>
      <sz val="11"/>
      <name val="Calibri"/>
      <family val="2"/>
      <scheme val="minor"/>
    </font>
    <font>
      <i/>
      <sz val="11"/>
      <color rgb="FFFF0000"/>
      <name val="Calibri"/>
      <family val="2"/>
      <scheme val="minor"/>
    </font>
    <font>
      <b/>
      <i/>
      <sz val="9"/>
      <color theme="1"/>
      <name val="Calibri"/>
      <family val="2"/>
      <scheme val="minor"/>
    </font>
    <font>
      <b/>
      <i/>
      <sz val="9"/>
      <name val="Calibri"/>
      <family val="2"/>
      <scheme val="minor"/>
    </font>
    <font>
      <b/>
      <sz val="18"/>
      <name val="Calibri"/>
      <family val="2"/>
      <scheme val="minor"/>
    </font>
    <font>
      <b/>
      <vertAlign val="superscript"/>
      <sz val="11"/>
      <name val="Calibri"/>
      <family val="2"/>
      <scheme val="minor"/>
    </font>
    <font>
      <i/>
      <vertAlign val="superscript"/>
      <sz val="9"/>
      <name val="Calibri"/>
      <family val="2"/>
      <scheme val="minor"/>
    </font>
    <font>
      <i/>
      <sz val="11"/>
      <color theme="1"/>
      <name val="Calibri"/>
      <family val="2"/>
      <scheme val="minor"/>
    </font>
    <font>
      <b/>
      <u/>
      <sz val="11"/>
      <color theme="1"/>
      <name val="Calibri"/>
      <family val="2"/>
      <scheme val="minor"/>
    </font>
    <font>
      <sz val="9"/>
      <name val="Calibri"/>
      <family val="2"/>
      <scheme val="minor"/>
    </font>
  </fonts>
  <fills count="18">
    <fill>
      <patternFill patternType="none"/>
    </fill>
    <fill>
      <patternFill patternType="gray125"/>
    </fill>
    <fill>
      <patternFill patternType="lightUp"/>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14996795556505021"/>
        <bgColor indexed="64"/>
      </patternFill>
    </fill>
    <fill>
      <patternFill patternType="solid">
        <fgColor theme="0"/>
        <bgColor indexed="64"/>
      </patternFill>
    </fill>
    <fill>
      <patternFill patternType="solid">
        <fgColor indexed="65"/>
        <bgColor indexed="64"/>
      </patternFill>
    </fill>
    <fill>
      <patternFill patternType="solid">
        <fgColor theme="4" tint="0.79995117038483843"/>
        <bgColor indexed="64"/>
      </patternFill>
    </fill>
    <fill>
      <patternFill patternType="solid">
        <fgColor theme="0" tint="-0.14999847407452621"/>
        <bgColor indexed="64"/>
      </patternFill>
    </fill>
    <fill>
      <patternFill patternType="lightUp">
        <bgColor theme="0" tint="-0.14999847407452621"/>
      </patternFill>
    </fill>
    <fill>
      <patternFill patternType="solid">
        <fgColor rgb="FFF1E1EF"/>
        <bgColor indexed="64"/>
      </patternFill>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style="medium">
        <color indexed="64"/>
      </right>
      <top/>
      <bottom/>
      <diagonal/>
    </border>
    <border>
      <left style="thin">
        <color theme="0"/>
      </left>
      <right style="medium">
        <color indexed="64"/>
      </right>
      <top style="thin">
        <color theme="0"/>
      </top>
      <bottom style="thin">
        <color theme="0"/>
      </bottom>
      <diagonal/>
    </border>
    <border>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medium">
        <color indexed="64"/>
      </left>
      <right/>
      <top/>
      <bottom/>
      <diagonal/>
    </border>
    <border>
      <left style="medium">
        <color indexed="64"/>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left>
      <right/>
      <top style="thin">
        <color theme="0"/>
      </top>
      <bottom style="thin">
        <color theme="0"/>
      </bottom>
      <diagonal/>
    </border>
    <border>
      <left style="medium">
        <color indexed="64"/>
      </left>
      <right/>
      <top style="thin">
        <color theme="0"/>
      </top>
      <bottom style="thin">
        <color theme="0"/>
      </bottom>
      <diagonal/>
    </border>
    <border>
      <left/>
      <right style="medium">
        <color indexed="64"/>
      </right>
      <top style="thin">
        <color theme="0"/>
      </top>
      <bottom style="thin">
        <color theme="0"/>
      </bottom>
      <diagonal/>
    </border>
    <border>
      <left style="medium">
        <color indexed="64"/>
      </left>
      <right/>
      <top style="thin">
        <color theme="0"/>
      </top>
      <bottom style="medium">
        <color indexed="64"/>
      </bottom>
      <diagonal/>
    </border>
    <border>
      <left style="thin">
        <color theme="0"/>
      </left>
      <right/>
      <top style="thin">
        <color theme="0"/>
      </top>
      <bottom style="medium">
        <color indexed="64"/>
      </bottom>
      <diagonal/>
    </border>
    <border>
      <left/>
      <right style="medium">
        <color indexed="64"/>
      </right>
      <top style="thin">
        <color theme="0"/>
      </top>
      <bottom style="medium">
        <color indexed="64"/>
      </bottom>
      <diagonal/>
    </border>
    <border>
      <left style="thin">
        <color theme="0"/>
      </left>
      <right style="thin">
        <color theme="0"/>
      </right>
      <top style="thin">
        <color theme="0"/>
      </top>
      <bottom/>
      <diagonal/>
    </border>
    <border>
      <left style="thin">
        <color theme="0"/>
      </left>
      <right style="medium">
        <color indexed="64"/>
      </right>
      <top style="thin">
        <color theme="0"/>
      </top>
      <bottom/>
      <diagonal/>
    </border>
    <border>
      <left style="medium">
        <color indexed="64"/>
      </left>
      <right style="thin">
        <color theme="0"/>
      </right>
      <top style="thin">
        <color theme="0"/>
      </top>
      <bottom style="medium">
        <color indexed="64"/>
      </bottom>
      <diagonal/>
    </border>
    <border>
      <left style="medium">
        <color indexed="64"/>
      </left>
      <right style="thin">
        <color theme="0"/>
      </right>
      <top style="thin">
        <color theme="0"/>
      </top>
      <bottom/>
      <diagonal/>
    </border>
  </borders>
  <cellStyleXfs count="1">
    <xf numFmtId="0" fontId="0" fillId="0" borderId="0"/>
  </cellStyleXfs>
  <cellXfs count="213">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Border="1" applyAlignment="1">
      <alignment vertical="top"/>
    </xf>
    <xf numFmtId="0" fontId="6" fillId="0" borderId="0" xfId="0" applyFont="1" applyAlignment="1">
      <alignment vertical="top"/>
    </xf>
    <xf numFmtId="0" fontId="6" fillId="0" borderId="0" xfId="0" applyFont="1" applyAlignment="1">
      <alignment vertical="top" wrapText="1"/>
    </xf>
    <xf numFmtId="0" fontId="0" fillId="9" borderId="2" xfId="0" applyFill="1" applyBorder="1" applyAlignment="1">
      <alignment vertical="top"/>
    </xf>
    <xf numFmtId="0" fontId="9" fillId="9" borderId="3" xfId="0" applyFont="1" applyFill="1" applyBorder="1" applyAlignment="1">
      <alignment vertical="top"/>
    </xf>
    <xf numFmtId="0" fontId="0" fillId="9" borderId="3" xfId="0" applyFill="1" applyBorder="1" applyAlignment="1">
      <alignment vertical="top"/>
    </xf>
    <xf numFmtId="0" fontId="0" fillId="9" borderId="3" xfId="0" applyFill="1" applyBorder="1" applyAlignment="1">
      <alignment vertical="top" wrapText="1"/>
    </xf>
    <xf numFmtId="0" fontId="0" fillId="9" borderId="4" xfId="0" applyFill="1" applyBorder="1" applyAlignment="1">
      <alignment vertical="top"/>
    </xf>
    <xf numFmtId="0" fontId="12" fillId="10" borderId="4" xfId="0" applyFont="1" applyFill="1" applyBorder="1" applyAlignment="1" applyProtection="1">
      <alignment horizontal="right" vertical="top"/>
      <protection locked="0"/>
    </xf>
    <xf numFmtId="0" fontId="1" fillId="10" borderId="4" xfId="0" applyFont="1" applyFill="1" applyBorder="1" applyAlignment="1">
      <alignment horizontal="right" vertical="top"/>
    </xf>
    <xf numFmtId="0" fontId="12" fillId="11" borderId="1" xfId="0" applyFont="1" applyFill="1" applyBorder="1" applyAlignment="1" applyProtection="1">
      <alignment horizontal="right" vertical="top"/>
    </xf>
    <xf numFmtId="0" fontId="1" fillId="11" borderId="1" xfId="0" applyFont="1" applyFill="1" applyBorder="1" applyAlignment="1" applyProtection="1">
      <alignment horizontal="right" vertical="top"/>
    </xf>
    <xf numFmtId="0" fontId="12" fillId="10" borderId="1" xfId="0" applyFont="1" applyFill="1" applyBorder="1" applyAlignment="1" applyProtection="1">
      <alignment horizontal="right" vertical="top"/>
    </xf>
    <xf numFmtId="0" fontId="1" fillId="10" borderId="1" xfId="0" applyFont="1" applyFill="1" applyBorder="1" applyAlignment="1" applyProtection="1">
      <alignment horizontal="right" vertical="top"/>
    </xf>
    <xf numFmtId="0" fontId="0" fillId="9" borderId="2" xfId="0" applyFill="1" applyBorder="1" applyAlignment="1" applyProtection="1">
      <alignment vertical="top"/>
    </xf>
    <xf numFmtId="0" fontId="9" fillId="9" borderId="3" xfId="0" applyFont="1" applyFill="1" applyBorder="1" applyAlignment="1" applyProtection="1">
      <alignment vertical="top"/>
    </xf>
    <xf numFmtId="0" fontId="0" fillId="9" borderId="3" xfId="0" applyFill="1" applyBorder="1" applyAlignment="1" applyProtection="1">
      <alignment vertical="top"/>
    </xf>
    <xf numFmtId="0" fontId="0" fillId="9" borderId="3" xfId="0" applyFill="1" applyBorder="1" applyAlignment="1" applyProtection="1">
      <alignment vertical="top" wrapText="1"/>
    </xf>
    <xf numFmtId="0" fontId="0" fillId="0" borderId="0" xfId="0" applyAlignment="1" applyProtection="1">
      <alignment vertical="top"/>
    </xf>
    <xf numFmtId="0" fontId="0" fillId="0" borderId="0" xfId="0" applyAlignment="1" applyProtection="1">
      <alignment vertical="top" wrapText="1"/>
    </xf>
    <xf numFmtId="0" fontId="6" fillId="0" borderId="0" xfId="0" applyFont="1" applyAlignment="1" applyProtection="1">
      <alignment vertical="top" wrapText="1"/>
    </xf>
    <xf numFmtId="0" fontId="6" fillId="0" borderId="0" xfId="0" applyFont="1" applyAlignment="1" applyProtection="1">
      <alignment vertical="top"/>
    </xf>
    <xf numFmtId="0" fontId="0" fillId="9" borderId="4" xfId="0" applyFill="1" applyBorder="1" applyAlignment="1" applyProtection="1">
      <alignment vertical="top"/>
    </xf>
    <xf numFmtId="0" fontId="2" fillId="2" borderId="0" xfId="0" applyFont="1" applyFill="1" applyBorder="1" applyAlignment="1" applyProtection="1">
      <alignment vertical="top" wrapText="1"/>
    </xf>
    <xf numFmtId="0" fontId="8" fillId="0" borderId="0" xfId="0" applyFont="1" applyAlignment="1" applyProtection="1">
      <alignment vertical="top"/>
    </xf>
    <xf numFmtId="0" fontId="10" fillId="0" borderId="0" xfId="0" applyFont="1" applyAlignment="1" applyProtection="1">
      <alignment vertical="top"/>
    </xf>
    <xf numFmtId="0" fontId="10" fillId="0" borderId="0" xfId="0" applyFont="1" applyAlignment="1" applyProtection="1">
      <alignment vertical="top" wrapText="1"/>
    </xf>
    <xf numFmtId="0" fontId="0" fillId="0" borderId="0" xfId="0" applyFont="1" applyAlignment="1" applyProtection="1">
      <alignment vertical="top"/>
    </xf>
    <xf numFmtId="0" fontId="1" fillId="0" borderId="0" xfId="0" applyFont="1" applyAlignment="1" applyProtection="1">
      <alignment vertical="top"/>
    </xf>
    <xf numFmtId="164" fontId="0" fillId="0" borderId="0" xfId="0" applyNumberFormat="1" applyFont="1" applyAlignment="1" applyProtection="1">
      <alignment vertical="top"/>
    </xf>
    <xf numFmtId="0" fontId="2" fillId="0" borderId="0" xfId="0" applyFont="1" applyBorder="1" applyAlignment="1" applyProtection="1">
      <alignment vertical="top" wrapText="1"/>
    </xf>
    <xf numFmtId="0" fontId="1" fillId="5" borderId="2" xfId="0" applyFont="1" applyFill="1" applyBorder="1" applyAlignment="1" applyProtection="1">
      <alignment vertical="top" wrapText="1"/>
    </xf>
    <xf numFmtId="0" fontId="1" fillId="5" borderId="3" xfId="0" applyFont="1" applyFill="1" applyBorder="1" applyAlignment="1" applyProtection="1">
      <alignment vertical="top" wrapText="1"/>
    </xf>
    <xf numFmtId="0" fontId="1" fillId="5" borderId="4" xfId="0" applyFont="1" applyFill="1" applyBorder="1" applyAlignment="1" applyProtection="1">
      <alignment vertical="top" wrapText="1"/>
    </xf>
    <xf numFmtId="0" fontId="2" fillId="0" borderId="8" xfId="0" applyFont="1" applyBorder="1" applyAlignment="1" applyProtection="1">
      <alignment vertical="top" wrapText="1"/>
    </xf>
    <xf numFmtId="0" fontId="2" fillId="0" borderId="13" xfId="0" applyFont="1" applyBorder="1" applyAlignment="1" applyProtection="1">
      <alignment vertical="top" wrapText="1"/>
    </xf>
    <xf numFmtId="1" fontId="0" fillId="8" borderId="11" xfId="0" applyNumberFormat="1" applyFill="1" applyBorder="1" applyAlignment="1" applyProtection="1">
      <alignment vertical="top"/>
      <protection locked="0"/>
    </xf>
    <xf numFmtId="0" fontId="1" fillId="5" borderId="15" xfId="0" applyFont="1" applyFill="1" applyBorder="1" applyAlignment="1" applyProtection="1">
      <alignment vertical="top" wrapText="1"/>
    </xf>
    <xf numFmtId="0" fontId="1" fillId="5" borderId="16" xfId="0" applyFont="1" applyFill="1" applyBorder="1" applyAlignment="1" applyProtection="1">
      <alignment vertical="top" wrapText="1"/>
    </xf>
    <xf numFmtId="0" fontId="1" fillId="5" borderId="17" xfId="0" applyFont="1" applyFill="1" applyBorder="1" applyAlignment="1" applyProtection="1">
      <alignment vertical="top" wrapText="1"/>
    </xf>
    <xf numFmtId="0" fontId="1" fillId="5" borderId="0" xfId="0" applyFont="1" applyFill="1" applyBorder="1" applyAlignment="1" applyProtection="1">
      <alignment vertical="top" wrapText="1"/>
    </xf>
    <xf numFmtId="164" fontId="0" fillId="3" borderId="0" xfId="0" applyNumberFormat="1" applyFill="1" applyBorder="1" applyAlignment="1" applyProtection="1">
      <alignment vertical="top" wrapText="1"/>
      <protection locked="0"/>
    </xf>
    <xf numFmtId="1" fontId="0" fillId="7" borderId="0" xfId="0" applyNumberFormat="1" applyFill="1" applyBorder="1" applyAlignment="1" applyProtection="1">
      <alignment vertical="top"/>
      <protection locked="0"/>
    </xf>
    <xf numFmtId="0" fontId="13" fillId="5" borderId="15" xfId="0" applyFont="1" applyFill="1" applyBorder="1" applyAlignment="1" applyProtection="1">
      <alignment vertical="top" wrapText="1"/>
    </xf>
    <xf numFmtId="0" fontId="13" fillId="5" borderId="16" xfId="0" applyFont="1" applyFill="1" applyBorder="1" applyAlignment="1" applyProtection="1">
      <alignment vertical="top" wrapText="1"/>
    </xf>
    <xf numFmtId="49" fontId="0" fillId="3" borderId="0" xfId="0" applyNumberFormat="1" applyFill="1" applyBorder="1" applyAlignment="1" applyProtection="1">
      <alignment horizontal="right" vertical="top" wrapText="1"/>
      <protection locked="0"/>
    </xf>
    <xf numFmtId="164" fontId="0" fillId="3" borderId="6" xfId="0" applyNumberFormat="1" applyFill="1" applyBorder="1" applyAlignment="1" applyProtection="1">
      <alignment vertical="top" wrapText="1"/>
      <protection locked="0"/>
    </xf>
    <xf numFmtId="49" fontId="0" fillId="3" borderId="6" xfId="0" applyNumberFormat="1" applyFill="1" applyBorder="1" applyAlignment="1" applyProtection="1">
      <alignment horizontal="right" vertical="top" wrapText="1"/>
      <protection locked="0"/>
    </xf>
    <xf numFmtId="1" fontId="0" fillId="7" borderId="6" xfId="0" applyNumberFormat="1" applyFill="1" applyBorder="1" applyAlignment="1" applyProtection="1">
      <alignment vertical="top"/>
      <protection locked="0"/>
    </xf>
    <xf numFmtId="49" fontId="0" fillId="7" borderId="0" xfId="0" applyNumberFormat="1" applyFill="1" applyBorder="1" applyAlignment="1" applyProtection="1">
      <alignment horizontal="right" vertical="top"/>
      <protection locked="0"/>
    </xf>
    <xf numFmtId="49" fontId="0" fillId="7" borderId="6" xfId="0" applyNumberFormat="1" applyFill="1" applyBorder="1" applyAlignment="1" applyProtection="1">
      <alignment horizontal="right" vertical="top"/>
      <protection locked="0"/>
    </xf>
    <xf numFmtId="164" fontId="0" fillId="3" borderId="14" xfId="0" applyNumberFormat="1" applyFill="1" applyBorder="1" applyAlignment="1" applyProtection="1">
      <alignment vertical="top" wrapText="1"/>
      <protection locked="0"/>
    </xf>
    <xf numFmtId="164" fontId="0" fillId="4" borderId="8" xfId="0" applyNumberFormat="1" applyFill="1" applyBorder="1" applyAlignment="1" applyProtection="1">
      <alignment horizontal="right" vertical="top" wrapText="1"/>
      <protection hidden="1"/>
    </xf>
    <xf numFmtId="0" fontId="2" fillId="2" borderId="13" xfId="0" applyFont="1" applyFill="1" applyBorder="1" applyAlignment="1" applyProtection="1">
      <alignment vertical="top" wrapText="1"/>
    </xf>
    <xf numFmtId="0" fontId="2" fillId="2" borderId="8" xfId="0" applyFont="1" applyFill="1" applyBorder="1" applyAlignment="1" applyProtection="1">
      <alignment vertical="top" wrapText="1"/>
    </xf>
    <xf numFmtId="0" fontId="1" fillId="12" borderId="1" xfId="0" applyFont="1" applyFill="1" applyBorder="1" applyAlignment="1" applyProtection="1">
      <alignment vertical="top" wrapText="1"/>
    </xf>
    <xf numFmtId="0" fontId="12" fillId="0" borderId="0" xfId="0" applyFont="1" applyAlignment="1">
      <alignment vertical="top"/>
    </xf>
    <xf numFmtId="1" fontId="0" fillId="6" borderId="0" xfId="0" applyNumberFormat="1" applyFill="1" applyBorder="1" applyAlignment="1" applyProtection="1">
      <alignment vertical="top" wrapText="1"/>
      <protection hidden="1"/>
    </xf>
    <xf numFmtId="0" fontId="1" fillId="12" borderId="2" xfId="0" applyFont="1" applyFill="1" applyBorder="1" applyAlignment="1" applyProtection="1">
      <alignment vertical="top" wrapText="1"/>
    </xf>
    <xf numFmtId="0" fontId="13" fillId="5" borderId="17" xfId="0" applyFont="1" applyFill="1" applyBorder="1" applyAlignment="1" applyProtection="1">
      <alignment vertical="top" wrapText="1"/>
    </xf>
    <xf numFmtId="1" fontId="0" fillId="7" borderId="14" xfId="0" applyNumberFormat="1" applyFill="1" applyBorder="1" applyAlignment="1" applyProtection="1">
      <alignment vertical="top"/>
      <protection locked="0"/>
    </xf>
    <xf numFmtId="49" fontId="0" fillId="7" borderId="9" xfId="0" applyNumberFormat="1" applyFill="1" applyBorder="1" applyAlignment="1" applyProtection="1">
      <alignment horizontal="right" vertical="top"/>
      <protection locked="0"/>
    </xf>
    <xf numFmtId="0" fontId="0" fillId="0" borderId="18" xfId="0" applyBorder="1" applyAlignment="1" applyProtection="1">
      <alignment vertical="top"/>
    </xf>
    <xf numFmtId="0" fontId="0" fillId="0" borderId="19" xfId="0" applyBorder="1" applyAlignment="1" applyProtection="1">
      <alignment vertical="top"/>
    </xf>
    <xf numFmtId="0" fontId="0" fillId="0" borderId="20" xfId="0" applyBorder="1" applyAlignment="1" applyProtection="1">
      <alignment vertical="top"/>
    </xf>
    <xf numFmtId="1" fontId="0" fillId="6" borderId="8" xfId="0" applyNumberFormat="1" applyFill="1" applyBorder="1" applyAlignment="1" applyProtection="1">
      <alignment vertical="top" wrapText="1"/>
      <protection hidden="1"/>
    </xf>
    <xf numFmtId="1" fontId="0" fillId="8" borderId="14" xfId="0" applyNumberFormat="1" applyFill="1" applyBorder="1" applyAlignment="1" applyProtection="1">
      <alignment vertical="top"/>
      <protection locked="0"/>
    </xf>
    <xf numFmtId="1" fontId="0" fillId="8" borderId="6" xfId="0" applyNumberFormat="1" applyFill="1" applyBorder="1" applyAlignment="1" applyProtection="1">
      <alignment vertical="top"/>
      <protection locked="0"/>
    </xf>
    <xf numFmtId="49" fontId="0" fillId="8" borderId="9" xfId="0" applyNumberFormat="1" applyFill="1" applyBorder="1" applyAlignment="1" applyProtection="1">
      <alignment horizontal="right" vertical="top"/>
      <protection locked="0"/>
    </xf>
    <xf numFmtId="49" fontId="0" fillId="8" borderId="6" xfId="0" applyNumberFormat="1" applyFill="1" applyBorder="1" applyAlignment="1" applyProtection="1">
      <alignment horizontal="right" vertical="top"/>
      <protection locked="0"/>
    </xf>
    <xf numFmtId="1" fontId="1" fillId="6" borderId="13" xfId="0" applyNumberFormat="1" applyFont="1" applyFill="1" applyBorder="1" applyAlignment="1" applyProtection="1">
      <alignment vertical="top" wrapText="1"/>
      <protection hidden="1"/>
    </xf>
    <xf numFmtId="1" fontId="1" fillId="6" borderId="0" xfId="0" applyNumberFormat="1" applyFont="1" applyFill="1" applyBorder="1" applyAlignment="1" applyProtection="1">
      <alignment vertical="top" wrapText="1"/>
      <protection hidden="1"/>
    </xf>
    <xf numFmtId="1" fontId="1" fillId="6" borderId="8" xfId="0" applyNumberFormat="1" applyFont="1" applyFill="1" applyBorder="1" applyAlignment="1" applyProtection="1">
      <alignment vertical="top" wrapText="1"/>
      <protection hidden="1"/>
    </xf>
    <xf numFmtId="0" fontId="1" fillId="0" borderId="1" xfId="0" applyFont="1" applyBorder="1" applyAlignment="1" applyProtection="1">
      <alignment vertical="top" wrapText="1"/>
    </xf>
    <xf numFmtId="0" fontId="1" fillId="12" borderId="5" xfId="0" applyFont="1" applyFill="1" applyBorder="1" applyAlignment="1" applyProtection="1">
      <alignment vertical="top" wrapText="1"/>
    </xf>
    <xf numFmtId="1" fontId="0" fillId="8" borderId="21" xfId="0" applyNumberFormat="1" applyFill="1" applyBorder="1" applyAlignment="1" applyProtection="1">
      <alignment vertical="top"/>
      <protection locked="0"/>
    </xf>
    <xf numFmtId="1" fontId="0" fillId="8" borderId="7" xfId="0" applyNumberFormat="1" applyFill="1" applyBorder="1" applyAlignment="1" applyProtection="1">
      <alignment vertical="top"/>
      <protection locked="0"/>
    </xf>
    <xf numFmtId="0" fontId="12" fillId="0" borderId="0" xfId="0" applyFont="1" applyFill="1" applyBorder="1" applyAlignment="1" applyProtection="1">
      <alignment horizontal="right" vertical="top"/>
    </xf>
    <xf numFmtId="0" fontId="1" fillId="0" borderId="0" xfId="0" applyFont="1" applyFill="1" applyBorder="1" applyAlignment="1" applyProtection="1">
      <alignment horizontal="right" vertical="top"/>
    </xf>
    <xf numFmtId="0" fontId="0" fillId="0" borderId="0" xfId="0" applyFill="1" applyBorder="1" applyAlignment="1" applyProtection="1">
      <alignment vertical="top"/>
    </xf>
    <xf numFmtId="0" fontId="12" fillId="10" borderId="4" xfId="0" applyFont="1" applyFill="1" applyBorder="1" applyAlignment="1" applyProtection="1">
      <alignment horizontal="right" vertical="top"/>
    </xf>
    <xf numFmtId="0" fontId="1" fillId="10" borderId="4" xfId="0" applyFont="1" applyFill="1" applyBorder="1" applyAlignment="1" applyProtection="1">
      <alignment horizontal="right" vertical="top"/>
    </xf>
    <xf numFmtId="0" fontId="14" fillId="0" borderId="0" xfId="0" applyFont="1" applyAlignment="1" applyProtection="1">
      <alignment vertical="top" wrapText="1"/>
    </xf>
    <xf numFmtId="1" fontId="0" fillId="4" borderId="0" xfId="0" applyNumberFormat="1" applyFill="1" applyBorder="1" applyAlignment="1" applyProtection="1">
      <alignment horizontal="right" vertical="top" wrapText="1"/>
      <protection hidden="1"/>
    </xf>
    <xf numFmtId="0" fontId="1" fillId="0" borderId="0" xfId="0" applyFont="1" applyBorder="1" applyAlignment="1" applyProtection="1">
      <alignment vertical="top" wrapText="1"/>
    </xf>
    <xf numFmtId="1" fontId="0" fillId="7" borderId="22" xfId="0" applyNumberFormat="1" applyFill="1" applyBorder="1" applyAlignment="1" applyProtection="1">
      <alignment vertical="top"/>
      <protection locked="0"/>
    </xf>
    <xf numFmtId="1" fontId="0" fillId="7" borderId="24" xfId="0" applyNumberFormat="1" applyFill="1" applyBorder="1" applyAlignment="1" applyProtection="1">
      <alignment vertical="top"/>
      <protection locked="0"/>
    </xf>
    <xf numFmtId="1" fontId="0" fillId="8" borderId="10" xfId="0" applyNumberFormat="1" applyFill="1" applyBorder="1" applyAlignment="1" applyProtection="1">
      <alignment vertical="top"/>
      <protection locked="0"/>
    </xf>
    <xf numFmtId="1" fontId="0" fillId="4" borderId="19" xfId="0" applyNumberFormat="1" applyFill="1" applyBorder="1" applyAlignment="1" applyProtection="1">
      <alignment horizontal="right" vertical="top" wrapText="1"/>
      <protection hidden="1"/>
    </xf>
    <xf numFmtId="1" fontId="0" fillId="8" borderId="25" xfId="0" applyNumberFormat="1" applyFill="1" applyBorder="1" applyAlignment="1" applyProtection="1">
      <alignment vertical="top"/>
      <protection locked="0"/>
    </xf>
    <xf numFmtId="49" fontId="0" fillId="8" borderId="23" xfId="0" applyNumberFormat="1" applyFill="1" applyBorder="1" applyAlignment="1" applyProtection="1">
      <alignment vertical="top"/>
      <protection locked="0"/>
    </xf>
    <xf numFmtId="49" fontId="0" fillId="8" borderId="26" xfId="0" applyNumberFormat="1" applyFill="1" applyBorder="1" applyAlignment="1" applyProtection="1">
      <alignment vertical="top"/>
      <protection locked="0"/>
    </xf>
    <xf numFmtId="0" fontId="1" fillId="0" borderId="1" xfId="0" applyFont="1" applyBorder="1" applyAlignment="1" applyProtection="1">
      <alignment horizontal="left" vertical="top" wrapText="1"/>
    </xf>
    <xf numFmtId="49" fontId="1" fillId="0" borderId="4" xfId="0" applyNumberFormat="1" applyFont="1" applyBorder="1" applyAlignment="1" applyProtection="1">
      <alignment horizontal="left" vertical="top"/>
      <protection locked="0"/>
    </xf>
    <xf numFmtId="0" fontId="2" fillId="13" borderId="0" xfId="0" applyFont="1" applyFill="1" applyBorder="1" applyAlignment="1" applyProtection="1">
      <alignment vertical="top" wrapText="1"/>
    </xf>
    <xf numFmtId="0" fontId="2" fillId="13" borderId="8" xfId="0" applyFont="1" applyFill="1" applyBorder="1" applyAlignment="1" applyProtection="1">
      <alignment vertical="top" wrapText="1"/>
    </xf>
    <xf numFmtId="0" fontId="2" fillId="13" borderId="13" xfId="0" applyFont="1" applyFill="1" applyBorder="1" applyAlignment="1" applyProtection="1">
      <alignment vertical="top" wrapText="1"/>
    </xf>
    <xf numFmtId="1" fontId="0" fillId="7" borderId="27" xfId="0" applyNumberFormat="1" applyFill="1" applyBorder="1" applyAlignment="1" applyProtection="1">
      <alignment vertical="top"/>
      <protection locked="0"/>
    </xf>
    <xf numFmtId="49" fontId="0" fillId="7" borderId="28" xfId="0" applyNumberFormat="1" applyFill="1" applyBorder="1" applyAlignment="1" applyProtection="1">
      <alignment horizontal="right" vertical="top"/>
      <protection locked="0"/>
    </xf>
    <xf numFmtId="1" fontId="0" fillId="8" borderId="27" xfId="0" applyNumberFormat="1" applyFill="1" applyBorder="1" applyAlignment="1" applyProtection="1">
      <alignment vertical="top"/>
      <protection locked="0"/>
    </xf>
    <xf numFmtId="49" fontId="0" fillId="8" borderId="28" xfId="0" applyNumberFormat="1" applyFill="1" applyBorder="1" applyAlignment="1" applyProtection="1">
      <alignment horizontal="right" vertical="top"/>
      <protection locked="0"/>
    </xf>
    <xf numFmtId="0" fontId="2" fillId="13" borderId="19" xfId="0" applyFont="1" applyFill="1" applyBorder="1" applyAlignment="1" applyProtection="1">
      <alignment vertical="top" wrapText="1"/>
    </xf>
    <xf numFmtId="0" fontId="2" fillId="13" borderId="18" xfId="0" applyFont="1" applyFill="1" applyBorder="1" applyAlignment="1" applyProtection="1">
      <alignment vertical="top" wrapText="1"/>
    </xf>
    <xf numFmtId="0" fontId="2" fillId="13" borderId="20" xfId="0" applyFont="1" applyFill="1" applyBorder="1" applyAlignment="1" applyProtection="1">
      <alignment vertical="top" wrapText="1"/>
    </xf>
    <xf numFmtId="0" fontId="2" fillId="12" borderId="13" xfId="0" applyFont="1" applyFill="1" applyBorder="1" applyAlignment="1" applyProtection="1">
      <alignment vertical="top" wrapText="1"/>
    </xf>
    <xf numFmtId="0" fontId="2" fillId="12" borderId="0" xfId="0" applyFont="1" applyFill="1" applyBorder="1" applyAlignment="1" applyProtection="1">
      <alignment vertical="top" wrapText="1"/>
    </xf>
    <xf numFmtId="0" fontId="7" fillId="13" borderId="13" xfId="0" applyFont="1" applyFill="1" applyBorder="1" applyAlignment="1" applyProtection="1">
      <alignment vertical="top" wrapText="1"/>
    </xf>
    <xf numFmtId="0" fontId="7" fillId="2" borderId="0" xfId="0" applyFont="1" applyFill="1" applyBorder="1" applyAlignment="1" applyProtection="1">
      <alignment vertical="top" wrapText="1"/>
    </xf>
    <xf numFmtId="0" fontId="7" fillId="16" borderId="13" xfId="0" applyFont="1" applyFill="1" applyBorder="1" applyAlignment="1" applyProtection="1">
      <alignment vertical="top" wrapText="1"/>
    </xf>
    <xf numFmtId="0" fontId="7" fillId="16" borderId="0" xfId="0" applyFont="1" applyFill="1" applyBorder="1" applyAlignment="1" applyProtection="1">
      <alignment vertical="top" wrapText="1"/>
    </xf>
    <xf numFmtId="0" fontId="7" fillId="15" borderId="13" xfId="0" applyFont="1" applyFill="1" applyBorder="1" applyAlignment="1" applyProtection="1">
      <alignment vertical="top" wrapText="1"/>
    </xf>
    <xf numFmtId="0" fontId="7" fillId="13" borderId="0" xfId="0" applyFont="1" applyFill="1" applyBorder="1" applyAlignment="1" applyProtection="1">
      <alignment vertical="top" wrapText="1"/>
    </xf>
    <xf numFmtId="0" fontId="7" fillId="13" borderId="20" xfId="0" applyFont="1" applyFill="1" applyBorder="1" applyAlignment="1" applyProtection="1">
      <alignment vertical="top" wrapText="1"/>
    </xf>
    <xf numFmtId="0" fontId="7" fillId="13" borderId="18" xfId="0" applyFont="1" applyFill="1" applyBorder="1" applyAlignment="1" applyProtection="1">
      <alignment vertical="top" wrapText="1"/>
    </xf>
    <xf numFmtId="0" fontId="7" fillId="13" borderId="19" xfId="0" applyFont="1" applyFill="1" applyBorder="1" applyAlignment="1" applyProtection="1">
      <alignment vertical="top" wrapText="1"/>
    </xf>
    <xf numFmtId="0" fontId="17" fillId="5" borderId="0" xfId="0" applyFont="1" applyFill="1" applyBorder="1" applyAlignment="1" applyProtection="1">
      <alignment vertical="top" wrapText="1"/>
    </xf>
    <xf numFmtId="164" fontId="18" fillId="15" borderId="13" xfId="0" applyNumberFormat="1" applyFont="1" applyFill="1" applyBorder="1" applyAlignment="1" applyProtection="1">
      <alignment vertical="top" wrapText="1"/>
    </xf>
    <xf numFmtId="164" fontId="18" fillId="15" borderId="0" xfId="0" applyNumberFormat="1" applyFont="1" applyFill="1" applyBorder="1" applyAlignment="1" applyProtection="1">
      <alignment vertical="top" wrapText="1"/>
    </xf>
    <xf numFmtId="0" fontId="18" fillId="15" borderId="0" xfId="0" applyFont="1" applyFill="1" applyBorder="1" applyAlignment="1" applyProtection="1">
      <alignment horizontal="right" vertical="top" wrapText="1"/>
    </xf>
    <xf numFmtId="0" fontId="18" fillId="15" borderId="0" xfId="0" applyFont="1" applyFill="1" applyBorder="1" applyAlignment="1" applyProtection="1">
      <alignment vertical="top" wrapText="1"/>
    </xf>
    <xf numFmtId="164" fontId="18" fillId="4" borderId="8" xfId="0" applyNumberFormat="1" applyFont="1" applyFill="1" applyBorder="1" applyAlignment="1" applyProtection="1">
      <alignment horizontal="right" vertical="top" wrapText="1"/>
      <protection hidden="1"/>
    </xf>
    <xf numFmtId="1" fontId="18" fillId="15" borderId="15" xfId="0" applyNumberFormat="1" applyFont="1" applyFill="1" applyBorder="1" applyAlignment="1" applyProtection="1">
      <alignment vertical="top" wrapText="1"/>
    </xf>
    <xf numFmtId="1" fontId="18" fillId="15" borderId="16" xfId="0" applyNumberFormat="1" applyFont="1" applyFill="1" applyBorder="1" applyAlignment="1" applyProtection="1">
      <alignment vertical="top" wrapText="1"/>
    </xf>
    <xf numFmtId="1" fontId="18" fillId="15" borderId="17" xfId="0" applyNumberFormat="1" applyFont="1" applyFill="1" applyBorder="1" applyAlignment="1" applyProtection="1">
      <alignment horizontal="right" vertical="top" wrapText="1"/>
    </xf>
    <xf numFmtId="1" fontId="18" fillId="15" borderId="16" xfId="0" applyNumberFormat="1" applyFont="1" applyFill="1" applyBorder="1" applyAlignment="1" applyProtection="1">
      <alignment horizontal="right" vertical="top" wrapText="1"/>
    </xf>
    <xf numFmtId="1" fontId="18" fillId="6" borderId="16" xfId="0" applyNumberFormat="1" applyFont="1" applyFill="1" applyBorder="1" applyAlignment="1" applyProtection="1">
      <alignment vertical="top" wrapText="1"/>
      <protection hidden="1"/>
    </xf>
    <xf numFmtId="1" fontId="18" fillId="6" borderId="17" xfId="0" applyNumberFormat="1" applyFont="1" applyFill="1" applyBorder="1" applyAlignment="1" applyProtection="1">
      <alignment vertical="top" wrapText="1"/>
      <protection hidden="1"/>
    </xf>
    <xf numFmtId="1" fontId="18" fillId="14" borderId="15" xfId="0" applyNumberFormat="1" applyFont="1" applyFill="1" applyBorder="1" applyAlignment="1" applyProtection="1">
      <alignment vertical="top" wrapText="1"/>
      <protection hidden="1"/>
    </xf>
    <xf numFmtId="1" fontId="18" fillId="14" borderId="16" xfId="0" applyNumberFormat="1" applyFont="1" applyFill="1" applyBorder="1" applyAlignment="1" applyProtection="1">
      <alignment vertical="top" wrapText="1"/>
      <protection hidden="1"/>
    </xf>
    <xf numFmtId="1" fontId="18" fillId="14" borderId="17" xfId="0" applyNumberFormat="1" applyFont="1" applyFill="1" applyBorder="1" applyAlignment="1" applyProtection="1">
      <alignment vertical="top" wrapText="1"/>
      <protection hidden="1"/>
    </xf>
    <xf numFmtId="0" fontId="19" fillId="0" borderId="0" xfId="0" applyFont="1" applyAlignment="1">
      <alignment vertical="top" wrapText="1"/>
    </xf>
    <xf numFmtId="1" fontId="18" fillId="15" borderId="19" xfId="0" applyNumberFormat="1" applyFont="1" applyFill="1" applyBorder="1" applyAlignment="1" applyProtection="1">
      <alignment vertical="top" wrapText="1"/>
    </xf>
    <xf numFmtId="1" fontId="18" fillId="15" borderId="20" xfId="0" applyNumberFormat="1" applyFont="1" applyFill="1" applyBorder="1" applyAlignment="1" applyProtection="1">
      <alignment horizontal="right" vertical="top" wrapText="1"/>
    </xf>
    <xf numFmtId="1" fontId="18" fillId="15" borderId="19" xfId="0" applyNumberFormat="1" applyFont="1" applyFill="1" applyBorder="1" applyAlignment="1" applyProtection="1">
      <alignment horizontal="right" vertical="top" wrapText="1"/>
    </xf>
    <xf numFmtId="1" fontId="18" fillId="12" borderId="18" xfId="0" applyNumberFormat="1" applyFont="1" applyFill="1" applyBorder="1" applyAlignment="1" applyProtection="1">
      <alignment vertical="top" wrapText="1"/>
    </xf>
    <xf numFmtId="1" fontId="18" fillId="12" borderId="19" xfId="0" applyNumberFormat="1" applyFont="1" applyFill="1" applyBorder="1" applyAlignment="1" applyProtection="1">
      <alignment vertical="top" wrapText="1"/>
    </xf>
    <xf numFmtId="1" fontId="18" fillId="12" borderId="20" xfId="0" applyNumberFormat="1" applyFont="1" applyFill="1" applyBorder="1" applyAlignment="1" applyProtection="1">
      <alignment horizontal="right" vertical="top" wrapText="1"/>
    </xf>
    <xf numFmtId="0" fontId="7" fillId="0" borderId="0" xfId="0" applyFont="1" applyBorder="1" applyAlignment="1" applyProtection="1">
      <alignment vertical="top" wrapText="1"/>
    </xf>
    <xf numFmtId="0" fontId="2" fillId="0" borderId="13" xfId="0" applyFont="1" applyBorder="1" applyAlignment="1" applyProtection="1">
      <alignment horizontal="left" vertical="top" wrapText="1"/>
    </xf>
    <xf numFmtId="0" fontId="7" fillId="0" borderId="8" xfId="0" applyFont="1" applyBorder="1" applyAlignment="1" applyProtection="1">
      <alignment vertical="top" wrapText="1"/>
    </xf>
    <xf numFmtId="0" fontId="7" fillId="0" borderId="13" xfId="0" applyFont="1" applyBorder="1" applyAlignment="1" applyProtection="1">
      <alignment vertical="top" wrapText="1"/>
    </xf>
    <xf numFmtId="49" fontId="18" fillId="15" borderId="16" xfId="0" applyNumberFormat="1" applyFont="1" applyFill="1" applyBorder="1" applyAlignment="1" applyProtection="1">
      <alignment horizontal="right" vertical="top" wrapText="1"/>
    </xf>
    <xf numFmtId="49" fontId="18" fillId="15" borderId="19" xfId="0" applyNumberFormat="1" applyFont="1" applyFill="1" applyBorder="1" applyAlignment="1" applyProtection="1">
      <alignment horizontal="right" vertical="top" wrapText="1"/>
    </xf>
    <xf numFmtId="0" fontId="3" fillId="0" borderId="13" xfId="0" applyFont="1" applyBorder="1" applyAlignment="1">
      <alignment vertical="top" wrapText="1"/>
    </xf>
    <xf numFmtId="0" fontId="0" fillId="0" borderId="0" xfId="0" applyBorder="1" applyAlignment="1" applyProtection="1">
      <alignment horizontal="center" vertical="top" wrapText="1"/>
    </xf>
    <xf numFmtId="49" fontId="0" fillId="12" borderId="1" xfId="0" applyNumberFormat="1" applyFill="1" applyBorder="1" applyAlignment="1" applyProtection="1">
      <alignment horizontal="center" vertical="top" wrapText="1"/>
      <protection locked="0"/>
    </xf>
    <xf numFmtId="0" fontId="25" fillId="0" borderId="0" xfId="0" applyFont="1" applyAlignment="1">
      <alignment vertical="top"/>
    </xf>
    <xf numFmtId="0" fontId="26" fillId="0" borderId="0" xfId="0" applyFont="1" applyAlignment="1" applyProtection="1">
      <alignment vertical="top"/>
    </xf>
    <xf numFmtId="0" fontId="1" fillId="0" borderId="0" xfId="0" applyFont="1" applyBorder="1" applyAlignment="1" applyProtection="1">
      <alignment horizontal="center" vertical="top" wrapText="1"/>
    </xf>
    <xf numFmtId="49" fontId="0" fillId="8" borderId="11" xfId="0" applyNumberFormat="1" applyFill="1" applyBorder="1" applyAlignment="1" applyProtection="1">
      <alignment horizontal="right" vertical="top"/>
      <protection locked="0"/>
    </xf>
    <xf numFmtId="0" fontId="1" fillId="12" borderId="0" xfId="0" applyFont="1" applyFill="1" applyBorder="1" applyAlignment="1" applyProtection="1">
      <alignment vertical="top" wrapText="1"/>
    </xf>
    <xf numFmtId="0" fontId="26" fillId="0" borderId="0" xfId="0" applyFont="1" applyAlignment="1">
      <alignment vertical="top"/>
    </xf>
    <xf numFmtId="0" fontId="2" fillId="0" borderId="15" xfId="0" applyFont="1" applyBorder="1" applyAlignment="1" applyProtection="1">
      <alignment horizontal="left" vertical="top" wrapText="1"/>
    </xf>
    <xf numFmtId="0" fontId="2" fillId="0" borderId="16" xfId="0" applyFont="1" applyBorder="1" applyAlignment="1" applyProtection="1">
      <alignment horizontal="left" vertical="top" wrapText="1"/>
    </xf>
    <xf numFmtId="0" fontId="2" fillId="0" borderId="17" xfId="0" applyFont="1" applyBorder="1" applyAlignment="1" applyProtection="1">
      <alignment vertical="top" wrapText="1"/>
    </xf>
    <xf numFmtId="1" fontId="0" fillId="17" borderId="14" xfId="0" applyNumberFormat="1" applyFill="1" applyBorder="1" applyAlignment="1" applyProtection="1">
      <alignment vertical="top"/>
      <protection locked="0"/>
    </xf>
    <xf numFmtId="1" fontId="0" fillId="17" borderId="9" xfId="0" applyNumberFormat="1" applyFill="1" applyBorder="1" applyAlignment="1" applyProtection="1">
      <alignment vertical="top"/>
      <protection locked="0"/>
    </xf>
    <xf numFmtId="1" fontId="0" fillId="17" borderId="29" xfId="0" applyNumberFormat="1" applyFill="1" applyBorder="1" applyAlignment="1" applyProtection="1">
      <alignment vertical="top"/>
      <protection locked="0"/>
    </xf>
    <xf numFmtId="1" fontId="0" fillId="17" borderId="12" xfId="0" applyNumberFormat="1" applyFill="1" applyBorder="1" applyAlignment="1" applyProtection="1">
      <alignment vertical="top"/>
      <protection locked="0"/>
    </xf>
    <xf numFmtId="49" fontId="0" fillId="8" borderId="27" xfId="0" applyNumberFormat="1" applyFill="1" applyBorder="1" applyAlignment="1" applyProtection="1">
      <alignment horizontal="right" vertical="top"/>
      <protection locked="0"/>
    </xf>
    <xf numFmtId="1" fontId="0" fillId="17" borderId="30" xfId="0" applyNumberFormat="1" applyFill="1" applyBorder="1" applyAlignment="1" applyProtection="1">
      <alignment vertical="top"/>
      <protection locked="0"/>
    </xf>
    <xf numFmtId="1" fontId="0" fillId="17" borderId="28" xfId="0" applyNumberFormat="1" applyFill="1" applyBorder="1" applyAlignment="1" applyProtection="1">
      <alignment vertical="top"/>
      <protection locked="0"/>
    </xf>
    <xf numFmtId="0" fontId="0" fillId="0" borderId="0" xfId="0" applyAlignment="1">
      <alignment horizontal="left"/>
    </xf>
    <xf numFmtId="0" fontId="1" fillId="0" borderId="0" xfId="0" applyFont="1" applyAlignment="1">
      <alignment horizontal="left"/>
    </xf>
    <xf numFmtId="0" fontId="0" fillId="0" borderId="0" xfId="0" applyFont="1" applyAlignment="1">
      <alignment horizontal="left" vertical="top"/>
    </xf>
    <xf numFmtId="49" fontId="0" fillId="0" borderId="2" xfId="0" applyNumberFormat="1" applyBorder="1" applyAlignment="1" applyProtection="1">
      <alignment horizontal="left" vertical="top" wrapText="1"/>
      <protection locked="0"/>
    </xf>
    <xf numFmtId="49" fontId="0" fillId="0" borderId="3" xfId="0" applyNumberFormat="1" applyBorder="1" applyAlignment="1" applyProtection="1">
      <alignment horizontal="left" vertical="top" wrapText="1"/>
      <protection locked="0"/>
    </xf>
    <xf numFmtId="49" fontId="0" fillId="0" borderId="4" xfId="0" applyNumberFormat="1"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2" xfId="0" applyBorder="1" applyAlignment="1" applyProtection="1">
      <alignment horizontal="left" vertical="top" wrapText="1"/>
    </xf>
    <xf numFmtId="0" fontId="0" fillId="0" borderId="3" xfId="0" applyBorder="1" applyAlignment="1" applyProtection="1">
      <alignment horizontal="left" vertical="top" wrapText="1"/>
    </xf>
    <xf numFmtId="0" fontId="0" fillId="0" borderId="4" xfId="0" applyBorder="1" applyAlignment="1" applyProtection="1">
      <alignment horizontal="left" vertical="top" wrapText="1"/>
    </xf>
    <xf numFmtId="0" fontId="0" fillId="0" borderId="18" xfId="0" applyBorder="1" applyAlignment="1" applyProtection="1">
      <alignment horizontal="left" vertical="top" wrapText="1"/>
      <protection locked="0"/>
    </xf>
    <xf numFmtId="0" fontId="0" fillId="0" borderId="19"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0" xfId="0" applyAlignment="1">
      <alignment horizontal="left" vertical="top" wrapText="1"/>
    </xf>
    <xf numFmtId="0" fontId="0" fillId="0" borderId="0" xfId="0" applyAlignment="1">
      <alignment horizontal="left" vertical="top"/>
    </xf>
    <xf numFmtId="0" fontId="8" fillId="0" borderId="15" xfId="0" applyFont="1" applyBorder="1" applyAlignment="1" applyProtection="1">
      <alignment horizontal="center" vertical="top"/>
    </xf>
    <xf numFmtId="0" fontId="8" fillId="0" borderId="16" xfId="0" applyFont="1" applyBorder="1" applyAlignment="1" applyProtection="1">
      <alignment horizontal="center" vertical="top"/>
    </xf>
    <xf numFmtId="0" fontId="8" fillId="0" borderId="17" xfId="0" applyFont="1" applyBorder="1" applyAlignment="1" applyProtection="1">
      <alignment horizontal="center" vertical="top"/>
    </xf>
    <xf numFmtId="0" fontId="8" fillId="0" borderId="18" xfId="0" applyFont="1" applyBorder="1" applyAlignment="1" applyProtection="1">
      <alignment horizontal="center" vertical="top"/>
    </xf>
    <xf numFmtId="0" fontId="8" fillId="0" borderId="19" xfId="0" applyFont="1" applyBorder="1" applyAlignment="1" applyProtection="1">
      <alignment horizontal="center" vertical="top"/>
    </xf>
    <xf numFmtId="0" fontId="8" fillId="0" borderId="20" xfId="0" applyFont="1" applyBorder="1" applyAlignment="1" applyProtection="1">
      <alignment horizontal="center" vertical="top"/>
    </xf>
    <xf numFmtId="0" fontId="22" fillId="0" borderId="15" xfId="0" applyFont="1" applyBorder="1" applyAlignment="1" applyProtection="1">
      <alignment horizontal="center" vertical="top"/>
    </xf>
    <xf numFmtId="0" fontId="22" fillId="0" borderId="16" xfId="0" applyFont="1" applyBorder="1" applyAlignment="1" applyProtection="1">
      <alignment horizontal="center" vertical="top"/>
    </xf>
    <xf numFmtId="0" fontId="22" fillId="0" borderId="17" xfId="0" applyFont="1" applyBorder="1" applyAlignment="1" applyProtection="1">
      <alignment horizontal="center" vertical="top"/>
    </xf>
    <xf numFmtId="0" fontId="22" fillId="0" borderId="18" xfId="0" applyFont="1" applyBorder="1" applyAlignment="1" applyProtection="1">
      <alignment horizontal="center" vertical="top"/>
    </xf>
    <xf numFmtId="0" fontId="22" fillId="0" borderId="19" xfId="0" applyFont="1" applyBorder="1" applyAlignment="1" applyProtection="1">
      <alignment horizontal="center" vertical="top"/>
    </xf>
    <xf numFmtId="0" fontId="22" fillId="0" borderId="20" xfId="0" applyFont="1" applyBorder="1" applyAlignment="1" applyProtection="1">
      <alignment horizontal="center" vertical="top"/>
    </xf>
    <xf numFmtId="49" fontId="0" fillId="0" borderId="2" xfId="0" applyNumberFormat="1" applyBorder="1" applyAlignment="1" applyProtection="1">
      <alignment horizontal="left" vertical="top"/>
      <protection locked="0"/>
    </xf>
    <xf numFmtId="49" fontId="0" fillId="0" borderId="3" xfId="0" applyNumberFormat="1" applyBorder="1" applyAlignment="1" applyProtection="1">
      <alignment horizontal="left" vertical="top"/>
      <protection locked="0"/>
    </xf>
    <xf numFmtId="49" fontId="0" fillId="0" borderId="4" xfId="0" applyNumberFormat="1" applyBorder="1" applyAlignment="1" applyProtection="1">
      <alignment horizontal="left" vertical="top"/>
      <protection locked="0"/>
    </xf>
    <xf numFmtId="0" fontId="10" fillId="0" borderId="15" xfId="0" applyFont="1" applyBorder="1" applyAlignment="1" applyProtection="1">
      <alignment horizontal="left" vertical="top" wrapText="1"/>
    </xf>
    <xf numFmtId="0" fontId="10" fillId="0" borderId="17" xfId="0" applyFont="1" applyBorder="1" applyAlignment="1" applyProtection="1">
      <alignment horizontal="left" vertical="top" wrapText="1"/>
    </xf>
    <xf numFmtId="0" fontId="1" fillId="5" borderId="16" xfId="0" applyFont="1" applyFill="1" applyBorder="1" applyAlignment="1" applyProtection="1">
      <alignment horizontal="center" vertical="top" wrapText="1"/>
    </xf>
    <xf numFmtId="0" fontId="1" fillId="5" borderId="15" xfId="0" applyFont="1" applyFill="1" applyBorder="1" applyAlignment="1" applyProtection="1">
      <alignment horizontal="left" vertical="top" wrapText="1"/>
    </xf>
    <xf numFmtId="0" fontId="1" fillId="5" borderId="17" xfId="0" applyFont="1" applyFill="1" applyBorder="1" applyAlignment="1" applyProtection="1">
      <alignment horizontal="left" vertical="top" wrapText="1"/>
    </xf>
    <xf numFmtId="0" fontId="2" fillId="0" borderId="13" xfId="0" applyFont="1" applyBorder="1" applyAlignment="1" applyProtection="1">
      <alignment horizontal="left" vertical="top" wrapText="1"/>
    </xf>
    <xf numFmtId="0" fontId="2" fillId="0" borderId="8" xfId="0" applyFont="1" applyBorder="1" applyAlignment="1" applyProtection="1">
      <alignment horizontal="left" vertical="top" wrapText="1"/>
    </xf>
    <xf numFmtId="164" fontId="0" fillId="3" borderId="22" xfId="0" applyNumberFormat="1" applyFill="1" applyBorder="1" applyAlignment="1" applyProtection="1">
      <alignment horizontal="right" vertical="top" wrapText="1"/>
      <protection locked="0"/>
    </xf>
    <xf numFmtId="164" fontId="0" fillId="3" borderId="23" xfId="0" applyNumberFormat="1" applyFill="1" applyBorder="1" applyAlignment="1" applyProtection="1">
      <alignment horizontal="right" vertical="top" wrapText="1"/>
      <protection locked="0"/>
    </xf>
    <xf numFmtId="164" fontId="0" fillId="3" borderId="24" xfId="0" applyNumberFormat="1" applyFill="1" applyBorder="1" applyAlignment="1" applyProtection="1">
      <alignment horizontal="right" vertical="top" wrapText="1"/>
      <protection locked="0"/>
    </xf>
    <xf numFmtId="164" fontId="0" fillId="3" borderId="26" xfId="0" applyNumberFormat="1" applyFill="1" applyBorder="1" applyAlignment="1" applyProtection="1">
      <alignment horizontal="right" vertical="top" wrapText="1"/>
      <protection locked="0"/>
    </xf>
    <xf numFmtId="0" fontId="2" fillId="0" borderId="16" xfId="0" applyFont="1" applyBorder="1" applyAlignment="1" applyProtection="1">
      <alignment horizontal="center" vertical="top" wrapText="1"/>
    </xf>
    <xf numFmtId="0" fontId="10" fillId="0" borderId="15" xfId="0" applyFont="1" applyBorder="1" applyAlignment="1" applyProtection="1">
      <alignment horizontal="center" vertical="top"/>
    </xf>
    <xf numFmtId="0" fontId="10" fillId="0" borderId="16" xfId="0" applyFont="1" applyBorder="1" applyAlignment="1" applyProtection="1">
      <alignment horizontal="center" vertical="top"/>
    </xf>
    <xf numFmtId="0" fontId="10" fillId="0" borderId="17" xfId="0" applyFont="1" applyBorder="1" applyAlignment="1" applyProtection="1">
      <alignment horizontal="center" vertical="top"/>
    </xf>
  </cellXfs>
  <cellStyles count="1">
    <cellStyle name="Standard" xfId="0" builtinId="0"/>
  </cellStyles>
  <dxfs count="3">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s>
  <tableStyles count="0" defaultTableStyle="TableStyleMedium2" defaultPivotStyle="PivotStyleLight16"/>
  <colors>
    <mruColors>
      <color rgb="FFF1E1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11</xdr:col>
      <xdr:colOff>50800</xdr:colOff>
      <xdr:row>48</xdr:row>
      <xdr:rowOff>19050</xdr:rowOff>
    </xdr:to>
    <xdr:pic>
      <xdr:nvPicPr>
        <xdr:cNvPr id="2" name="Grafik 2" descr="image00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52450"/>
          <a:ext cx="8432800" cy="830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id="1" name="Tabelle1" displayName="Tabelle1" ref="D3:E13" totalsRowShown="0" dataDxfId="2">
  <autoFilter ref="D3:E13"/>
  <tableColumns count="2">
    <tableColumn id="1" name="Spital" dataDxfId="1"/>
    <tableColumn id="2" name="Kalenderjahr"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8"/>
  <sheetViews>
    <sheetView tabSelected="1" zoomScale="137" zoomScaleNormal="70" workbookViewId="0">
      <selection activeCell="C3" sqref="C3"/>
    </sheetView>
  </sheetViews>
  <sheetFormatPr baseColWidth="10" defaultRowHeight="14.5" x14ac:dyDescent="0.35"/>
  <cols>
    <col min="2" max="2" width="30.7265625" customWidth="1"/>
    <col min="3" max="3" width="24.6328125" customWidth="1"/>
    <col min="11" max="11" width="20.90625" customWidth="1"/>
  </cols>
  <sheetData>
    <row r="1" spans="1:29" s="1" customFormat="1" ht="26.5" thickBot="1" x14ac:dyDescent="0.4">
      <c r="A1" s="7"/>
      <c r="B1" s="8" t="s">
        <v>148</v>
      </c>
      <c r="C1" s="9"/>
      <c r="D1" s="10"/>
      <c r="E1" s="9"/>
      <c r="F1" s="10"/>
      <c r="G1" s="9"/>
      <c r="H1" s="9"/>
      <c r="I1" s="9"/>
      <c r="J1" s="9"/>
      <c r="K1" s="9"/>
      <c r="L1" s="9"/>
      <c r="M1" s="9"/>
      <c r="N1" s="9"/>
      <c r="O1" s="9"/>
      <c r="P1" s="9"/>
      <c r="Q1" s="9"/>
      <c r="R1" s="9"/>
      <c r="S1" s="9"/>
      <c r="T1" s="9"/>
      <c r="U1" s="9"/>
      <c r="V1" s="9"/>
      <c r="W1" s="9"/>
      <c r="X1" s="9"/>
      <c r="Y1" s="9"/>
      <c r="Z1" s="9"/>
      <c r="AA1" s="9"/>
      <c r="AB1" s="9"/>
      <c r="AC1" s="11"/>
    </row>
    <row r="2" spans="1:29" s="1" customFormat="1" ht="15" thickBot="1" x14ac:dyDescent="0.4">
      <c r="D2" s="2"/>
      <c r="F2" s="2"/>
    </row>
    <row r="3" spans="1:29" s="1" customFormat="1" ht="15" thickBot="1" x14ac:dyDescent="0.4">
      <c r="B3" s="14" t="s">
        <v>6</v>
      </c>
      <c r="C3" s="12" t="s">
        <v>33</v>
      </c>
      <c r="D3" s="6"/>
      <c r="F3" s="2"/>
    </row>
    <row r="4" spans="1:29" s="1" customFormat="1" ht="15" thickBot="1" x14ac:dyDescent="0.4">
      <c r="A4" s="5"/>
      <c r="B4" s="14" t="s">
        <v>7</v>
      </c>
      <c r="C4" s="12" t="s">
        <v>33</v>
      </c>
      <c r="D4" s="6"/>
      <c r="F4" s="2"/>
    </row>
    <row r="5" spans="1:29" s="1" customFormat="1" ht="15" thickBot="1" x14ac:dyDescent="0.4">
      <c r="A5" s="5"/>
      <c r="B5" s="15" t="s">
        <v>151</v>
      </c>
      <c r="C5" s="13" t="s">
        <v>5</v>
      </c>
      <c r="D5" s="2"/>
      <c r="F5" s="2"/>
    </row>
    <row r="7" spans="1:29" x14ac:dyDescent="0.35">
      <c r="B7" s="167" t="s">
        <v>118</v>
      </c>
      <c r="C7" s="167"/>
      <c r="D7" s="167"/>
      <c r="E7" s="167"/>
    </row>
    <row r="8" spans="1:29" x14ac:dyDescent="0.35">
      <c r="B8" s="166" t="s">
        <v>119</v>
      </c>
      <c r="C8" s="166"/>
      <c r="D8" s="166"/>
      <c r="E8" s="166"/>
    </row>
    <row r="9" spans="1:29" x14ac:dyDescent="0.35">
      <c r="B9" s="166" t="s">
        <v>121</v>
      </c>
      <c r="C9" s="166"/>
      <c r="D9" s="166"/>
      <c r="E9" s="166"/>
    </row>
    <row r="10" spans="1:29" x14ac:dyDescent="0.35">
      <c r="B10" s="166" t="s">
        <v>120</v>
      </c>
      <c r="C10" s="166"/>
      <c r="D10" s="166"/>
      <c r="E10" s="166"/>
    </row>
    <row r="13" spans="1:29" x14ac:dyDescent="0.35">
      <c r="B13" s="167" t="s">
        <v>71</v>
      </c>
      <c r="C13" s="167"/>
      <c r="D13" s="167"/>
      <c r="E13" s="167"/>
      <c r="F13" s="167"/>
      <c r="G13" s="167"/>
      <c r="H13" s="167"/>
      <c r="I13" s="167"/>
      <c r="J13" s="167"/>
      <c r="K13" s="167"/>
    </row>
    <row r="14" spans="1:29" x14ac:dyDescent="0.35">
      <c r="B14" s="168" t="s">
        <v>143</v>
      </c>
      <c r="C14" s="168"/>
      <c r="D14" s="168"/>
      <c r="E14" s="168"/>
      <c r="F14" s="168"/>
      <c r="G14" s="168"/>
      <c r="H14" s="168"/>
      <c r="I14" s="168"/>
      <c r="J14" s="168"/>
      <c r="K14" s="168"/>
    </row>
    <row r="15" spans="1:29" x14ac:dyDescent="0.35">
      <c r="B15" s="166" t="s">
        <v>144</v>
      </c>
      <c r="C15" s="166"/>
      <c r="D15" s="166"/>
      <c r="E15" s="166"/>
      <c r="F15" s="166"/>
      <c r="G15" s="166"/>
      <c r="H15" s="166"/>
      <c r="I15" s="166"/>
      <c r="J15" s="166"/>
      <c r="K15" s="166"/>
    </row>
    <row r="16" spans="1:29" x14ac:dyDescent="0.35">
      <c r="B16" s="166" t="s">
        <v>115</v>
      </c>
      <c r="C16" s="166"/>
      <c r="D16" s="166"/>
      <c r="E16" s="166"/>
      <c r="F16" s="166"/>
      <c r="G16" s="166"/>
      <c r="H16" s="166"/>
      <c r="I16" s="166"/>
      <c r="J16" s="166"/>
      <c r="K16" s="166"/>
    </row>
    <row r="17" spans="2:11" x14ac:dyDescent="0.35">
      <c r="B17" s="166" t="s">
        <v>116</v>
      </c>
      <c r="C17" s="166"/>
      <c r="D17" s="166"/>
      <c r="E17" s="166"/>
      <c r="F17" s="166"/>
      <c r="G17" s="166"/>
      <c r="H17" s="166"/>
      <c r="I17" s="166"/>
      <c r="J17" s="166"/>
      <c r="K17" s="166"/>
    </row>
    <row r="18" spans="2:11" ht="16.5" x14ac:dyDescent="0.35">
      <c r="B18" s="166" t="s">
        <v>117</v>
      </c>
      <c r="C18" s="166"/>
      <c r="D18" s="166"/>
      <c r="E18" s="166"/>
      <c r="F18" s="166"/>
      <c r="G18" s="166"/>
      <c r="H18" s="166"/>
      <c r="I18" s="166"/>
      <c r="J18" s="166"/>
      <c r="K18" s="166"/>
    </row>
  </sheetData>
  <sheetProtection password="CFC5" sheet="1" objects="1" scenarios="1" selectLockedCells="1"/>
  <mergeCells count="10">
    <mergeCell ref="B7:E7"/>
    <mergeCell ref="B8:E8"/>
    <mergeCell ref="B9:E9"/>
    <mergeCell ref="B10:E10"/>
    <mergeCell ref="B14:K14"/>
    <mergeCell ref="B15:K15"/>
    <mergeCell ref="B16:K16"/>
    <mergeCell ref="B17:K17"/>
    <mergeCell ref="B18:K18"/>
    <mergeCell ref="B13:K13"/>
  </mergeCells>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Hintergrunddaten!$E$4:$E$13</xm:f>
          </x14:formula1>
          <xm:sqref>C4</xm:sqref>
        </x14:dataValidation>
        <x14:dataValidation type="list" allowBlank="1" showInputMessage="1" showErrorMessage="1">
          <x14:formula1>
            <xm:f>Hintergrunddaten!$D$4:$D$6</xm:f>
          </x14:formula1>
          <xm:sqref>C3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51"/>
  <sheetViews>
    <sheetView zoomScale="120" zoomScaleNormal="120" workbookViewId="0">
      <pane xSplit="1" topLeftCell="B1" activePane="topRight" state="frozen"/>
      <selection pane="topRight" activeCell="B14" sqref="B14"/>
    </sheetView>
  </sheetViews>
  <sheetFormatPr baseColWidth="10" defaultRowHeight="14.5" outlineLevelRow="1" outlineLevelCol="1" x14ac:dyDescent="0.35"/>
  <cols>
    <col min="1" max="1" width="17.7265625" style="1" customWidth="1"/>
    <col min="2" max="2" width="43.08984375" style="1" customWidth="1" outlineLevel="1"/>
    <col min="3" max="3" width="32" style="1" customWidth="1" outlineLevel="1"/>
    <col min="4" max="4" width="24.1796875" style="2" customWidth="1" outlineLevel="1"/>
    <col min="5" max="5" width="21.81640625" style="1" customWidth="1" outlineLevel="1"/>
    <col min="6" max="6" width="21" style="2" customWidth="1" outlineLevel="1"/>
    <col min="7" max="7" width="21.7265625" style="1" customWidth="1" outlineLevel="1"/>
    <col min="8" max="8" width="21.36328125" style="1" customWidth="1"/>
    <col min="9" max="9" width="26.54296875" style="1" customWidth="1" outlineLevel="1"/>
    <col min="10" max="11" width="26.6328125" style="1" customWidth="1" outlineLevel="1"/>
    <col min="12" max="12" width="36.08984375" style="1" customWidth="1" outlineLevel="1"/>
    <col min="13" max="13" width="28.08984375" style="1" customWidth="1" outlineLevel="1"/>
    <col min="14" max="14" width="26.6328125" style="1" customWidth="1"/>
    <col min="15" max="15" width="26.6328125" style="1" customWidth="1" outlineLevel="1"/>
    <col min="16" max="17" width="28.08984375" style="1" customWidth="1" outlineLevel="1"/>
    <col min="18" max="18" width="22.453125" style="1" customWidth="1" outlineLevel="1"/>
    <col min="19" max="19" width="21.26953125" style="1" customWidth="1" outlineLevel="1"/>
    <col min="20" max="21" width="28.08984375" style="1" customWidth="1" outlineLevel="1"/>
    <col min="22" max="22" width="26.81640625" style="1" customWidth="1"/>
    <col min="23" max="23" width="25.26953125" style="1" customWidth="1" outlineLevel="1"/>
    <col min="24" max="25" width="23.26953125" style="1" customWidth="1" outlineLevel="1"/>
    <col min="26" max="26" width="36.1796875" style="1" customWidth="1" outlineLevel="1"/>
    <col min="27" max="27" width="23.26953125" style="1" customWidth="1" outlineLevel="1"/>
    <col min="28" max="28" width="26.81640625" style="1" customWidth="1"/>
    <col min="29" max="29" width="22.08984375" style="1" customWidth="1" outlineLevel="1"/>
    <col min="30" max="30" width="24.6328125" style="1" customWidth="1" outlineLevel="1"/>
    <col min="31" max="31" width="26.54296875" style="1" customWidth="1" outlineLevel="1"/>
    <col min="32" max="32" width="22.90625" style="1" customWidth="1" outlineLevel="1"/>
    <col min="33" max="33" width="20.90625" style="1" customWidth="1" outlineLevel="1"/>
    <col min="34" max="35" width="28" style="1" customWidth="1" outlineLevel="1"/>
    <col min="36" max="36" width="18.6328125" style="1" customWidth="1"/>
    <col min="37" max="37" width="21.6328125" style="1" customWidth="1" outlineLevel="1"/>
    <col min="38" max="38" width="24.54296875" style="1" customWidth="1" outlineLevel="1"/>
    <col min="39" max="39" width="26.08984375" style="1" customWidth="1" outlineLevel="1"/>
    <col min="40" max="40" width="20.453125" style="1" customWidth="1" outlineLevel="1"/>
    <col min="41" max="41" width="28.08984375" style="1" customWidth="1" outlineLevel="1"/>
    <col min="42" max="42" width="10.90625" style="1" customWidth="1"/>
    <col min="43" max="43" width="36" style="1" customWidth="1" outlineLevel="1" collapsed="1"/>
    <col min="44" max="44" width="78" style="1" customWidth="1" outlineLevel="1"/>
    <col min="45" max="16384" width="10.90625" style="1"/>
  </cols>
  <sheetData>
    <row r="1" spans="1:44" ht="26.5" thickBot="1" x14ac:dyDescent="0.4">
      <c r="A1" s="18"/>
      <c r="B1" s="19" t="s">
        <v>148</v>
      </c>
      <c r="C1" s="20"/>
      <c r="D1" s="21"/>
      <c r="E1" s="20"/>
      <c r="F1" s="21"/>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6"/>
    </row>
    <row r="2" spans="1:44" ht="15" thickBot="1" x14ac:dyDescent="0.4">
      <c r="A2" s="22"/>
      <c r="B2" s="22"/>
      <c r="C2" s="22"/>
      <c r="D2" s="23"/>
      <c r="E2" s="22"/>
      <c r="F2" s="23"/>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row>
    <row r="3" spans="1:44" ht="15" thickBot="1" x14ac:dyDescent="0.4">
      <c r="A3" s="22"/>
      <c r="B3" s="14" t="s">
        <v>6</v>
      </c>
      <c r="C3" s="16" t="str">
        <f>'Allgemeine Angaben'!C3</f>
        <v>bitte auswählen</v>
      </c>
      <c r="D3" s="24"/>
      <c r="E3" s="22"/>
      <c r="F3" s="23"/>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row>
    <row r="4" spans="1:44" ht="15" thickBot="1" x14ac:dyDescent="0.4">
      <c r="A4" s="25"/>
      <c r="B4" s="14" t="s">
        <v>7</v>
      </c>
      <c r="C4" s="16" t="str">
        <f>'Allgemeine Angaben'!C4</f>
        <v>bitte auswählen</v>
      </c>
      <c r="D4" s="24"/>
      <c r="E4" s="22"/>
      <c r="F4" s="23"/>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row>
    <row r="5" spans="1:44" ht="15" thickBot="1" x14ac:dyDescent="0.4">
      <c r="A5" s="25"/>
      <c r="B5" s="15" t="s">
        <v>151</v>
      </c>
      <c r="C5" s="17" t="s">
        <v>5</v>
      </c>
      <c r="D5" s="23"/>
      <c r="E5" s="22"/>
      <c r="F5" s="23"/>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row>
    <row r="6" spans="1:44" x14ac:dyDescent="0.35">
      <c r="A6" s="22"/>
      <c r="B6" s="22"/>
      <c r="C6" s="22"/>
      <c r="D6" s="23"/>
      <c r="E6" s="22"/>
      <c r="F6" s="23"/>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row>
    <row r="7" spans="1:44" x14ac:dyDescent="0.35">
      <c r="B7" s="150" t="s">
        <v>141</v>
      </c>
    </row>
    <row r="8" spans="1:44" ht="18" customHeight="1" thickBot="1" x14ac:dyDescent="0.4">
      <c r="A8" s="22"/>
      <c r="B8" s="28"/>
      <c r="C8" s="29"/>
      <c r="D8" s="30"/>
      <c r="E8" s="22"/>
      <c r="F8" s="23"/>
      <c r="G8" s="22"/>
      <c r="H8" s="98"/>
      <c r="I8" s="28"/>
      <c r="J8" s="28"/>
      <c r="K8" s="28"/>
      <c r="L8" s="28"/>
      <c r="M8" s="28"/>
      <c r="N8" s="98"/>
      <c r="O8" s="22"/>
      <c r="P8" s="28"/>
      <c r="Q8" s="28"/>
      <c r="R8" s="22"/>
      <c r="S8" s="22"/>
      <c r="T8" s="22"/>
      <c r="U8" s="22"/>
      <c r="V8" s="22"/>
      <c r="W8" s="28"/>
      <c r="X8" s="28"/>
      <c r="Y8" s="28"/>
      <c r="Z8" s="28"/>
      <c r="AA8" s="28"/>
      <c r="AB8" s="22"/>
      <c r="AC8" s="22"/>
      <c r="AD8" s="22"/>
      <c r="AE8" s="22"/>
      <c r="AF8" s="22"/>
      <c r="AG8" s="22"/>
      <c r="AH8" s="22"/>
      <c r="AI8" s="22"/>
      <c r="AJ8" s="22"/>
      <c r="AK8" s="28"/>
      <c r="AL8" s="22"/>
      <c r="AM8" s="22"/>
      <c r="AN8" s="22"/>
      <c r="AO8" s="22"/>
      <c r="AP8" s="22"/>
    </row>
    <row r="9" spans="1:44" ht="23.5" customHeight="1" x14ac:dyDescent="0.35">
      <c r="A9" s="44"/>
      <c r="B9" s="189" t="s">
        <v>72</v>
      </c>
      <c r="C9" s="190"/>
      <c r="D9" s="190"/>
      <c r="E9" s="190"/>
      <c r="F9" s="190"/>
      <c r="G9" s="191"/>
      <c r="H9" s="27"/>
      <c r="I9" s="183" t="s">
        <v>10</v>
      </c>
      <c r="J9" s="184"/>
      <c r="K9" s="184"/>
      <c r="L9" s="184"/>
      <c r="M9" s="185"/>
      <c r="N9" s="27"/>
      <c r="O9" s="183" t="s">
        <v>64</v>
      </c>
      <c r="P9" s="184"/>
      <c r="Q9" s="184"/>
      <c r="R9" s="184"/>
      <c r="S9" s="184"/>
      <c r="T9" s="184"/>
      <c r="U9" s="185"/>
      <c r="V9" s="27"/>
      <c r="W9" s="183" t="s">
        <v>28</v>
      </c>
      <c r="X9" s="184"/>
      <c r="Y9" s="184"/>
      <c r="Z9" s="184"/>
      <c r="AA9" s="185"/>
      <c r="AB9" s="27"/>
      <c r="AC9" s="183" t="s">
        <v>63</v>
      </c>
      <c r="AD9" s="184"/>
      <c r="AE9" s="184"/>
      <c r="AF9" s="184"/>
      <c r="AG9" s="184"/>
      <c r="AH9" s="184"/>
      <c r="AI9" s="185"/>
      <c r="AJ9" s="27"/>
      <c r="AK9" s="183" t="s">
        <v>102</v>
      </c>
      <c r="AL9" s="184"/>
      <c r="AM9" s="184"/>
      <c r="AN9" s="184"/>
      <c r="AO9" s="185"/>
      <c r="AP9" s="27"/>
      <c r="AQ9" s="183" t="s">
        <v>106</v>
      </c>
      <c r="AR9" s="185"/>
    </row>
    <row r="10" spans="1:44" ht="15" thickBot="1" x14ac:dyDescent="0.4">
      <c r="A10" s="44"/>
      <c r="B10" s="192"/>
      <c r="C10" s="193"/>
      <c r="D10" s="193"/>
      <c r="E10" s="193"/>
      <c r="F10" s="193"/>
      <c r="G10" s="194"/>
      <c r="H10" s="27"/>
      <c r="I10" s="186"/>
      <c r="J10" s="187"/>
      <c r="K10" s="187"/>
      <c r="L10" s="187"/>
      <c r="M10" s="188"/>
      <c r="N10" s="27"/>
      <c r="O10" s="186"/>
      <c r="P10" s="187"/>
      <c r="Q10" s="187"/>
      <c r="R10" s="187"/>
      <c r="S10" s="187"/>
      <c r="T10" s="187"/>
      <c r="U10" s="188"/>
      <c r="V10" s="27"/>
      <c r="W10" s="186"/>
      <c r="X10" s="187"/>
      <c r="Y10" s="187"/>
      <c r="Z10" s="187"/>
      <c r="AA10" s="188"/>
      <c r="AB10" s="27"/>
      <c r="AC10" s="186"/>
      <c r="AD10" s="187"/>
      <c r="AE10" s="187"/>
      <c r="AF10" s="187"/>
      <c r="AG10" s="187"/>
      <c r="AH10" s="187"/>
      <c r="AI10" s="188"/>
      <c r="AJ10" s="27"/>
      <c r="AK10" s="186"/>
      <c r="AL10" s="187"/>
      <c r="AM10" s="187"/>
      <c r="AN10" s="187"/>
      <c r="AO10" s="188"/>
      <c r="AP10" s="27"/>
      <c r="AQ10" s="186"/>
      <c r="AR10" s="188"/>
    </row>
    <row r="11" spans="1:44" s="2" customFormat="1" ht="57" customHeight="1" thickBot="1" x14ac:dyDescent="0.4">
      <c r="A11" s="44"/>
      <c r="B11" s="35" t="s">
        <v>67</v>
      </c>
      <c r="C11" s="36" t="s">
        <v>114</v>
      </c>
      <c r="D11" s="36" t="s">
        <v>68</v>
      </c>
      <c r="E11" s="36" t="s">
        <v>136</v>
      </c>
      <c r="F11" s="36" t="s">
        <v>70</v>
      </c>
      <c r="G11" s="37" t="s">
        <v>142</v>
      </c>
      <c r="H11" s="27"/>
      <c r="I11" s="47" t="s">
        <v>12</v>
      </c>
      <c r="J11" s="48" t="s">
        <v>13</v>
      </c>
      <c r="K11" s="48" t="s">
        <v>14</v>
      </c>
      <c r="L11" s="48" t="s">
        <v>24</v>
      </c>
      <c r="M11" s="63" t="s">
        <v>30</v>
      </c>
      <c r="N11" s="27"/>
      <c r="O11" s="47" t="s">
        <v>80</v>
      </c>
      <c r="P11" s="48" t="s">
        <v>81</v>
      </c>
      <c r="Q11" s="48" t="s">
        <v>91</v>
      </c>
      <c r="R11" s="48" t="s">
        <v>82</v>
      </c>
      <c r="S11" s="48" t="s">
        <v>83</v>
      </c>
      <c r="T11" s="48" t="s">
        <v>2</v>
      </c>
      <c r="U11" s="63" t="s">
        <v>34</v>
      </c>
      <c r="V11" s="27"/>
      <c r="W11" s="41" t="s">
        <v>9</v>
      </c>
      <c r="X11" s="48" t="s">
        <v>11</v>
      </c>
      <c r="Y11" s="48" t="s">
        <v>14</v>
      </c>
      <c r="Z11" s="48" t="s">
        <v>24</v>
      </c>
      <c r="AA11" s="63" t="s">
        <v>30</v>
      </c>
      <c r="AB11" s="27"/>
      <c r="AC11" s="47" t="s">
        <v>80</v>
      </c>
      <c r="AD11" s="48" t="s">
        <v>81</v>
      </c>
      <c r="AE11" s="48" t="s">
        <v>20</v>
      </c>
      <c r="AF11" s="48" t="s">
        <v>82</v>
      </c>
      <c r="AG11" s="48" t="s">
        <v>83</v>
      </c>
      <c r="AH11" s="48" t="s">
        <v>39</v>
      </c>
      <c r="AI11" s="63" t="s">
        <v>34</v>
      </c>
      <c r="AJ11" s="27"/>
      <c r="AK11" s="47" t="s">
        <v>97</v>
      </c>
      <c r="AL11" s="48" t="s">
        <v>98</v>
      </c>
      <c r="AM11" s="48" t="s">
        <v>99</v>
      </c>
      <c r="AN11" s="48" t="s">
        <v>100</v>
      </c>
      <c r="AO11" s="43" t="s">
        <v>105</v>
      </c>
      <c r="AP11" s="27"/>
      <c r="AQ11" s="47" t="s">
        <v>107</v>
      </c>
      <c r="AR11" s="43" t="s">
        <v>113</v>
      </c>
    </row>
    <row r="12" spans="1:44" s="2" customFormat="1" ht="128" customHeight="1" x14ac:dyDescent="0.35">
      <c r="A12" s="44" t="s">
        <v>0</v>
      </c>
      <c r="B12" s="142" t="s">
        <v>132</v>
      </c>
      <c r="C12" s="34" t="s">
        <v>133</v>
      </c>
      <c r="D12" s="34" t="s">
        <v>131</v>
      </c>
      <c r="E12" s="141" t="s">
        <v>140</v>
      </c>
      <c r="F12" s="141" t="s">
        <v>73</v>
      </c>
      <c r="G12" s="38" t="s">
        <v>135</v>
      </c>
      <c r="H12" s="27"/>
      <c r="I12" s="39" t="s">
        <v>93</v>
      </c>
      <c r="J12" s="34" t="s">
        <v>93</v>
      </c>
      <c r="K12" s="34" t="s">
        <v>94</v>
      </c>
      <c r="L12" s="34" t="s">
        <v>103</v>
      </c>
      <c r="M12" s="143" t="s">
        <v>79</v>
      </c>
      <c r="N12" s="27"/>
      <c r="O12" s="144" t="s">
        <v>84</v>
      </c>
      <c r="P12" s="141" t="s">
        <v>85</v>
      </c>
      <c r="Q12" s="141" t="s">
        <v>92</v>
      </c>
      <c r="R12" s="141" t="s">
        <v>90</v>
      </c>
      <c r="S12" s="141" t="s">
        <v>86</v>
      </c>
      <c r="T12" s="141" t="s">
        <v>87</v>
      </c>
      <c r="U12" s="143" t="s">
        <v>89</v>
      </c>
      <c r="V12" s="27"/>
      <c r="W12" s="39" t="s">
        <v>93</v>
      </c>
      <c r="X12" s="34" t="s">
        <v>93</v>
      </c>
      <c r="Y12" s="34" t="s">
        <v>94</v>
      </c>
      <c r="Z12" s="34" t="s">
        <v>103</v>
      </c>
      <c r="AA12" s="143" t="s">
        <v>95</v>
      </c>
      <c r="AB12" s="27"/>
      <c r="AC12" s="144" t="s">
        <v>84</v>
      </c>
      <c r="AD12" s="141" t="s">
        <v>85</v>
      </c>
      <c r="AE12" s="141" t="s">
        <v>92</v>
      </c>
      <c r="AF12" s="141" t="s">
        <v>90</v>
      </c>
      <c r="AG12" s="141" t="s">
        <v>86</v>
      </c>
      <c r="AH12" s="141" t="s">
        <v>96</v>
      </c>
      <c r="AI12" s="143" t="s">
        <v>89</v>
      </c>
      <c r="AJ12" s="27"/>
      <c r="AK12" s="39" t="s">
        <v>101</v>
      </c>
      <c r="AL12" s="34" t="s">
        <v>101</v>
      </c>
      <c r="AM12" s="34" t="s">
        <v>101</v>
      </c>
      <c r="AN12" s="34" t="s">
        <v>101</v>
      </c>
      <c r="AO12" s="38" t="s">
        <v>101</v>
      </c>
      <c r="AP12" s="27"/>
      <c r="AQ12" s="147" t="s">
        <v>109</v>
      </c>
      <c r="AR12" s="38" t="s">
        <v>112</v>
      </c>
    </row>
    <row r="13" spans="1:44" s="2" customFormat="1" ht="71" customHeight="1" x14ac:dyDescent="0.35">
      <c r="A13" s="44" t="s">
        <v>77</v>
      </c>
      <c r="B13" s="34" t="s">
        <v>145</v>
      </c>
      <c r="C13" s="34" t="s">
        <v>146</v>
      </c>
      <c r="D13" s="34" t="s">
        <v>76</v>
      </c>
      <c r="E13" s="141" t="s">
        <v>147</v>
      </c>
      <c r="F13" s="34" t="s">
        <v>76</v>
      </c>
      <c r="G13" s="38" t="s">
        <v>62</v>
      </c>
      <c r="H13" s="27"/>
      <c r="I13" s="39" t="s">
        <v>25</v>
      </c>
      <c r="J13" s="34" t="s">
        <v>25</v>
      </c>
      <c r="K13" s="34" t="s">
        <v>25</v>
      </c>
      <c r="L13" s="34" t="s">
        <v>104</v>
      </c>
      <c r="M13" s="38" t="s">
        <v>76</v>
      </c>
      <c r="N13" s="27"/>
      <c r="O13" s="39" t="s">
        <v>78</v>
      </c>
      <c r="P13" s="34" t="s">
        <v>78</v>
      </c>
      <c r="Q13" s="141" t="s">
        <v>88</v>
      </c>
      <c r="R13" s="34" t="s">
        <v>62</v>
      </c>
      <c r="S13" s="34" t="s">
        <v>78</v>
      </c>
      <c r="T13" s="34" t="s">
        <v>88</v>
      </c>
      <c r="U13" s="38" t="s">
        <v>62</v>
      </c>
      <c r="V13" s="27"/>
      <c r="W13" s="39" t="s">
        <v>25</v>
      </c>
      <c r="X13" s="34" t="s">
        <v>25</v>
      </c>
      <c r="Y13" s="34" t="s">
        <v>25</v>
      </c>
      <c r="Z13" s="34" t="s">
        <v>104</v>
      </c>
      <c r="AA13" s="38" t="s">
        <v>76</v>
      </c>
      <c r="AB13" s="27"/>
      <c r="AC13" s="39" t="s">
        <v>78</v>
      </c>
      <c r="AD13" s="34" t="s">
        <v>78</v>
      </c>
      <c r="AE13" s="141" t="s">
        <v>88</v>
      </c>
      <c r="AF13" s="34" t="s">
        <v>62</v>
      </c>
      <c r="AG13" s="34" t="s">
        <v>78</v>
      </c>
      <c r="AH13" s="34" t="s">
        <v>88</v>
      </c>
      <c r="AI13" s="38" t="s">
        <v>62</v>
      </c>
      <c r="AJ13" s="27"/>
      <c r="AK13" s="39" t="s">
        <v>62</v>
      </c>
      <c r="AL13" s="34" t="s">
        <v>62</v>
      </c>
      <c r="AM13" s="34" t="s">
        <v>62</v>
      </c>
      <c r="AN13" s="34" t="s">
        <v>62</v>
      </c>
      <c r="AO13" s="38" t="s">
        <v>62</v>
      </c>
      <c r="AP13" s="27"/>
      <c r="AQ13" s="39" t="s">
        <v>108</v>
      </c>
      <c r="AR13" s="38" t="s">
        <v>111</v>
      </c>
    </row>
    <row r="14" spans="1:44" ht="27.5" customHeight="1" x14ac:dyDescent="0.35">
      <c r="A14" s="44" t="str">
        <f>'Allgemeine Angaben'!C3</f>
        <v>bitte auswählen</v>
      </c>
      <c r="B14" s="55"/>
      <c r="C14" s="50"/>
      <c r="D14" s="51"/>
      <c r="E14" s="50"/>
      <c r="F14" s="51"/>
      <c r="G14" s="56">
        <f>B14-(SUM(C14:C27))-(SUM(E14:E27))</f>
        <v>0</v>
      </c>
      <c r="H14" s="27"/>
      <c r="I14" s="64"/>
      <c r="J14" s="52"/>
      <c r="K14" s="52"/>
      <c r="L14" s="52"/>
      <c r="M14" s="65"/>
      <c r="N14" s="27"/>
      <c r="O14" s="64"/>
      <c r="P14" s="52"/>
      <c r="Q14" s="52"/>
      <c r="R14" s="61">
        <f>O14+(SUM(P14:P27))</f>
        <v>0</v>
      </c>
      <c r="S14" s="52"/>
      <c r="T14" s="54"/>
      <c r="U14" s="69">
        <f>O14+(SUM(S14:S27))</f>
        <v>0</v>
      </c>
      <c r="V14" s="27"/>
      <c r="W14" s="70"/>
      <c r="X14" s="71"/>
      <c r="Y14" s="71"/>
      <c r="Z14" s="71"/>
      <c r="AA14" s="72"/>
      <c r="AB14" s="27"/>
      <c r="AC14" s="70"/>
      <c r="AD14" s="71"/>
      <c r="AE14" s="73"/>
      <c r="AF14" s="61">
        <f>AC14+(SUM(AD14:AD27))</f>
        <v>0</v>
      </c>
      <c r="AG14" s="71"/>
      <c r="AH14" s="73"/>
      <c r="AI14" s="69">
        <f>AC14+(SUM(AG14:AG27))</f>
        <v>0</v>
      </c>
      <c r="AJ14" s="27"/>
      <c r="AK14" s="74">
        <f>R14+AF14</f>
        <v>0</v>
      </c>
      <c r="AL14" s="75">
        <f>O14+AC14</f>
        <v>0</v>
      </c>
      <c r="AM14" s="75">
        <f>(SUM(P14:P27))+(SUM(AD14:AD27))</f>
        <v>0</v>
      </c>
      <c r="AN14" s="75">
        <f>(SUM(S14:S27))+(SUM(AG14:AG27))</f>
        <v>0</v>
      </c>
      <c r="AO14" s="76">
        <f>U14+AI14</f>
        <v>0</v>
      </c>
      <c r="AP14" s="27"/>
      <c r="AQ14" s="159"/>
      <c r="AR14" s="160"/>
    </row>
    <row r="15" spans="1:44" ht="27.5" customHeight="1" x14ac:dyDescent="0.35">
      <c r="A15" s="44"/>
      <c r="B15" s="100"/>
      <c r="C15" s="50"/>
      <c r="D15" s="51"/>
      <c r="E15" s="50"/>
      <c r="F15" s="51"/>
      <c r="G15" s="99"/>
      <c r="H15" s="27"/>
      <c r="I15" s="100"/>
      <c r="J15" s="98"/>
      <c r="K15" s="98"/>
      <c r="L15" s="52"/>
      <c r="M15" s="65"/>
      <c r="N15" s="27"/>
      <c r="O15" s="100"/>
      <c r="P15" s="52"/>
      <c r="Q15" s="52"/>
      <c r="R15" s="98"/>
      <c r="S15" s="52"/>
      <c r="T15" s="54"/>
      <c r="U15" s="99"/>
      <c r="V15" s="27"/>
      <c r="W15" s="108"/>
      <c r="X15" s="109"/>
      <c r="Y15" s="109"/>
      <c r="Z15" s="71"/>
      <c r="AA15" s="72"/>
      <c r="AB15" s="27"/>
      <c r="AC15" s="100"/>
      <c r="AD15" s="71"/>
      <c r="AE15" s="73"/>
      <c r="AF15" s="98"/>
      <c r="AG15" s="71"/>
      <c r="AH15" s="73"/>
      <c r="AI15" s="99"/>
      <c r="AJ15" s="27"/>
      <c r="AK15" s="100"/>
      <c r="AL15" s="98"/>
      <c r="AM15" s="98"/>
      <c r="AN15" s="98"/>
      <c r="AO15" s="99"/>
      <c r="AP15" s="27"/>
      <c r="AQ15" s="159"/>
      <c r="AR15" s="160"/>
    </row>
    <row r="16" spans="1:44" ht="27.5" customHeight="1" x14ac:dyDescent="0.35">
      <c r="A16" s="44"/>
      <c r="B16" s="100"/>
      <c r="C16" s="50"/>
      <c r="D16" s="51"/>
      <c r="E16" s="50"/>
      <c r="F16" s="51"/>
      <c r="G16" s="99"/>
      <c r="H16" s="27"/>
      <c r="I16" s="100"/>
      <c r="J16" s="98"/>
      <c r="K16" s="98"/>
      <c r="L16" s="52"/>
      <c r="M16" s="65"/>
      <c r="N16" s="27"/>
      <c r="O16" s="100"/>
      <c r="P16" s="52"/>
      <c r="Q16" s="52"/>
      <c r="R16" s="98"/>
      <c r="S16" s="52"/>
      <c r="T16" s="54"/>
      <c r="U16" s="99"/>
      <c r="V16" s="27"/>
      <c r="W16" s="108"/>
      <c r="X16" s="109"/>
      <c r="Y16" s="109"/>
      <c r="Z16" s="71"/>
      <c r="AA16" s="72"/>
      <c r="AB16" s="27"/>
      <c r="AC16" s="100"/>
      <c r="AD16" s="71"/>
      <c r="AE16" s="73"/>
      <c r="AF16" s="98"/>
      <c r="AG16" s="71"/>
      <c r="AH16" s="73"/>
      <c r="AI16" s="99"/>
      <c r="AJ16" s="27"/>
      <c r="AK16" s="100"/>
      <c r="AL16" s="98"/>
      <c r="AM16" s="98"/>
      <c r="AN16" s="98"/>
      <c r="AO16" s="99"/>
      <c r="AP16" s="27"/>
      <c r="AQ16" s="159"/>
      <c r="AR16" s="160"/>
    </row>
    <row r="17" spans="1:47" ht="27.5" customHeight="1" x14ac:dyDescent="0.35">
      <c r="A17" s="44"/>
      <c r="B17" s="100"/>
      <c r="C17" s="50"/>
      <c r="D17" s="51"/>
      <c r="E17" s="50"/>
      <c r="F17" s="51"/>
      <c r="G17" s="99"/>
      <c r="H17" s="27"/>
      <c r="I17" s="100"/>
      <c r="J17" s="98"/>
      <c r="K17" s="98"/>
      <c r="L17" s="52"/>
      <c r="M17" s="65"/>
      <c r="N17" s="27"/>
      <c r="O17" s="100"/>
      <c r="P17" s="52"/>
      <c r="Q17" s="52"/>
      <c r="R17" s="98"/>
      <c r="S17" s="52"/>
      <c r="T17" s="54"/>
      <c r="U17" s="99"/>
      <c r="V17" s="27"/>
      <c r="W17" s="108"/>
      <c r="X17" s="109"/>
      <c r="Y17" s="109"/>
      <c r="Z17" s="71"/>
      <c r="AA17" s="72"/>
      <c r="AB17" s="27"/>
      <c r="AC17" s="100"/>
      <c r="AD17" s="71"/>
      <c r="AE17" s="73"/>
      <c r="AF17" s="98"/>
      <c r="AG17" s="71"/>
      <c r="AH17" s="73"/>
      <c r="AI17" s="99"/>
      <c r="AJ17" s="27"/>
      <c r="AK17" s="100"/>
      <c r="AL17" s="98"/>
      <c r="AM17" s="98"/>
      <c r="AN17" s="98"/>
      <c r="AO17" s="99"/>
      <c r="AP17" s="27"/>
      <c r="AQ17" s="159"/>
      <c r="AR17" s="160"/>
    </row>
    <row r="18" spans="1:47" ht="27.5" customHeight="1" x14ac:dyDescent="0.35">
      <c r="A18" s="44"/>
      <c r="B18" s="100"/>
      <c r="C18" s="50"/>
      <c r="D18" s="51"/>
      <c r="E18" s="50"/>
      <c r="F18" s="51"/>
      <c r="G18" s="99"/>
      <c r="H18" s="27"/>
      <c r="I18" s="100"/>
      <c r="J18" s="98"/>
      <c r="K18" s="98"/>
      <c r="L18" s="52"/>
      <c r="M18" s="65"/>
      <c r="N18" s="27"/>
      <c r="O18" s="100"/>
      <c r="P18" s="52"/>
      <c r="Q18" s="52"/>
      <c r="R18" s="98"/>
      <c r="S18" s="52"/>
      <c r="T18" s="54"/>
      <c r="U18" s="99"/>
      <c r="V18" s="27"/>
      <c r="W18" s="108"/>
      <c r="X18" s="109"/>
      <c r="Y18" s="109"/>
      <c r="Z18" s="71"/>
      <c r="AA18" s="72"/>
      <c r="AB18" s="27"/>
      <c r="AC18" s="100"/>
      <c r="AD18" s="71"/>
      <c r="AE18" s="73"/>
      <c r="AF18" s="98"/>
      <c r="AG18" s="71"/>
      <c r="AH18" s="73"/>
      <c r="AI18" s="99"/>
      <c r="AJ18" s="27"/>
      <c r="AK18" s="100"/>
      <c r="AL18" s="98"/>
      <c r="AM18" s="98"/>
      <c r="AN18" s="98"/>
      <c r="AO18" s="99"/>
      <c r="AP18" s="27"/>
      <c r="AQ18" s="159"/>
      <c r="AR18" s="160"/>
    </row>
    <row r="19" spans="1:47" ht="27.5" customHeight="1" x14ac:dyDescent="0.35">
      <c r="A19" s="44"/>
      <c r="B19" s="100"/>
      <c r="C19" s="45"/>
      <c r="D19" s="49"/>
      <c r="E19" s="45"/>
      <c r="F19" s="49"/>
      <c r="G19" s="99"/>
      <c r="H19" s="27"/>
      <c r="I19" s="100"/>
      <c r="J19" s="98"/>
      <c r="K19" s="98"/>
      <c r="L19" s="101"/>
      <c r="M19" s="102"/>
      <c r="N19" s="27"/>
      <c r="O19" s="100"/>
      <c r="P19" s="46"/>
      <c r="Q19" s="46"/>
      <c r="R19" s="98"/>
      <c r="S19" s="46"/>
      <c r="T19" s="53"/>
      <c r="U19" s="99"/>
      <c r="V19" s="27"/>
      <c r="W19" s="108"/>
      <c r="X19" s="109"/>
      <c r="Y19" s="109"/>
      <c r="Z19" s="103"/>
      <c r="AA19" s="104"/>
      <c r="AB19" s="27"/>
      <c r="AC19" s="100"/>
      <c r="AD19" s="103"/>
      <c r="AE19" s="163"/>
      <c r="AF19" s="98"/>
      <c r="AG19" s="103"/>
      <c r="AH19" s="163"/>
      <c r="AI19" s="99"/>
      <c r="AJ19" s="27"/>
      <c r="AK19" s="100"/>
      <c r="AL19" s="98"/>
      <c r="AM19" s="98"/>
      <c r="AN19" s="98"/>
      <c r="AO19" s="99"/>
      <c r="AP19" s="27"/>
      <c r="AQ19" s="164"/>
      <c r="AR19" s="165"/>
    </row>
    <row r="20" spans="1:47" ht="27.5" customHeight="1" x14ac:dyDescent="0.35">
      <c r="A20" s="44"/>
      <c r="B20" s="100"/>
      <c r="C20" s="45"/>
      <c r="D20" s="49"/>
      <c r="E20" s="45"/>
      <c r="F20" s="49"/>
      <c r="G20" s="99"/>
      <c r="H20" s="27"/>
      <c r="I20" s="100"/>
      <c r="J20" s="98"/>
      <c r="K20" s="98"/>
      <c r="L20" s="101"/>
      <c r="M20" s="102"/>
      <c r="N20" s="27"/>
      <c r="O20" s="100"/>
      <c r="P20" s="46"/>
      <c r="Q20" s="46"/>
      <c r="R20" s="98"/>
      <c r="S20" s="46"/>
      <c r="T20" s="53"/>
      <c r="U20" s="99"/>
      <c r="V20" s="27"/>
      <c r="W20" s="108"/>
      <c r="X20" s="109"/>
      <c r="Y20" s="109"/>
      <c r="Z20" s="103"/>
      <c r="AA20" s="104"/>
      <c r="AB20" s="27"/>
      <c r="AC20" s="100"/>
      <c r="AD20" s="103"/>
      <c r="AE20" s="163"/>
      <c r="AF20" s="98"/>
      <c r="AG20" s="103"/>
      <c r="AH20" s="163"/>
      <c r="AI20" s="99"/>
      <c r="AJ20" s="27"/>
      <c r="AK20" s="100"/>
      <c r="AL20" s="98"/>
      <c r="AM20" s="98"/>
      <c r="AN20" s="98"/>
      <c r="AO20" s="99"/>
      <c r="AP20" s="27"/>
      <c r="AQ20" s="164"/>
      <c r="AR20" s="165"/>
    </row>
    <row r="21" spans="1:47" ht="27.5" customHeight="1" x14ac:dyDescent="0.35">
      <c r="A21" s="44"/>
      <c r="B21" s="100"/>
      <c r="C21" s="45"/>
      <c r="D21" s="49"/>
      <c r="E21" s="45"/>
      <c r="F21" s="49"/>
      <c r="G21" s="99"/>
      <c r="H21" s="27"/>
      <c r="I21" s="100"/>
      <c r="J21" s="98"/>
      <c r="K21" s="98"/>
      <c r="L21" s="101"/>
      <c r="M21" s="102"/>
      <c r="N21" s="27"/>
      <c r="O21" s="100"/>
      <c r="P21" s="46"/>
      <c r="Q21" s="46"/>
      <c r="R21" s="98"/>
      <c r="S21" s="46"/>
      <c r="T21" s="53"/>
      <c r="U21" s="99"/>
      <c r="V21" s="27"/>
      <c r="W21" s="108"/>
      <c r="X21" s="109"/>
      <c r="Y21" s="109"/>
      <c r="Z21" s="103"/>
      <c r="AA21" s="104"/>
      <c r="AB21" s="27"/>
      <c r="AC21" s="100"/>
      <c r="AD21" s="103"/>
      <c r="AE21" s="163"/>
      <c r="AF21" s="98"/>
      <c r="AG21" s="103"/>
      <c r="AH21" s="163"/>
      <c r="AI21" s="99"/>
      <c r="AJ21" s="27"/>
      <c r="AK21" s="100"/>
      <c r="AL21" s="98"/>
      <c r="AM21" s="98"/>
      <c r="AN21" s="98"/>
      <c r="AO21" s="99"/>
      <c r="AP21" s="27"/>
      <c r="AQ21" s="164"/>
      <c r="AR21" s="165"/>
    </row>
    <row r="22" spans="1:47" ht="27.5" customHeight="1" x14ac:dyDescent="0.35">
      <c r="A22" s="44"/>
      <c r="B22" s="100"/>
      <c r="C22" s="45"/>
      <c r="D22" s="49"/>
      <c r="E22" s="45"/>
      <c r="F22" s="49"/>
      <c r="G22" s="99"/>
      <c r="H22" s="27"/>
      <c r="I22" s="100"/>
      <c r="J22" s="98"/>
      <c r="K22" s="98"/>
      <c r="L22" s="101"/>
      <c r="M22" s="102"/>
      <c r="N22" s="27"/>
      <c r="O22" s="100"/>
      <c r="P22" s="46"/>
      <c r="Q22" s="46"/>
      <c r="R22" s="98"/>
      <c r="S22" s="46"/>
      <c r="T22" s="53"/>
      <c r="U22" s="99"/>
      <c r="V22" s="27"/>
      <c r="W22" s="108"/>
      <c r="X22" s="109"/>
      <c r="Y22" s="109"/>
      <c r="Z22" s="103"/>
      <c r="AA22" s="104"/>
      <c r="AB22" s="27"/>
      <c r="AC22" s="100"/>
      <c r="AD22" s="103"/>
      <c r="AE22" s="163"/>
      <c r="AF22" s="98"/>
      <c r="AG22" s="103"/>
      <c r="AH22" s="163"/>
      <c r="AI22" s="99"/>
      <c r="AJ22" s="27"/>
      <c r="AK22" s="100"/>
      <c r="AL22" s="98"/>
      <c r="AM22" s="98"/>
      <c r="AN22" s="98"/>
      <c r="AO22" s="99"/>
      <c r="AP22" s="27"/>
      <c r="AQ22" s="164"/>
      <c r="AR22" s="165"/>
    </row>
    <row r="23" spans="1:47" ht="27.5" customHeight="1" x14ac:dyDescent="0.35">
      <c r="A23" s="44"/>
      <c r="B23" s="100"/>
      <c r="C23" s="45"/>
      <c r="D23" s="49"/>
      <c r="E23" s="45"/>
      <c r="F23" s="49"/>
      <c r="G23" s="99"/>
      <c r="H23" s="27"/>
      <c r="I23" s="100"/>
      <c r="J23" s="98"/>
      <c r="K23" s="98"/>
      <c r="L23" s="101"/>
      <c r="M23" s="102"/>
      <c r="N23" s="27"/>
      <c r="O23" s="100"/>
      <c r="P23" s="46"/>
      <c r="Q23" s="46"/>
      <c r="R23" s="98"/>
      <c r="S23" s="46"/>
      <c r="T23" s="53"/>
      <c r="U23" s="99"/>
      <c r="V23" s="27"/>
      <c r="W23" s="108"/>
      <c r="X23" s="109"/>
      <c r="Y23" s="109"/>
      <c r="Z23" s="103"/>
      <c r="AA23" s="104"/>
      <c r="AB23" s="27"/>
      <c r="AC23" s="100"/>
      <c r="AD23" s="103"/>
      <c r="AE23" s="163"/>
      <c r="AF23" s="98"/>
      <c r="AG23" s="103"/>
      <c r="AH23" s="163"/>
      <c r="AI23" s="99"/>
      <c r="AJ23" s="27"/>
      <c r="AK23" s="100"/>
      <c r="AL23" s="98"/>
      <c r="AM23" s="98"/>
      <c r="AN23" s="98"/>
      <c r="AO23" s="99"/>
      <c r="AP23" s="27"/>
      <c r="AQ23" s="164"/>
      <c r="AR23" s="165"/>
    </row>
    <row r="24" spans="1:47" ht="27.5" customHeight="1" x14ac:dyDescent="0.35">
      <c r="A24" s="44"/>
      <c r="B24" s="100"/>
      <c r="C24" s="45"/>
      <c r="D24" s="49"/>
      <c r="E24" s="45"/>
      <c r="F24" s="49"/>
      <c r="G24" s="99"/>
      <c r="H24" s="27"/>
      <c r="I24" s="100"/>
      <c r="J24" s="98"/>
      <c r="K24" s="98"/>
      <c r="L24" s="101"/>
      <c r="M24" s="102"/>
      <c r="N24" s="27"/>
      <c r="O24" s="100"/>
      <c r="P24" s="46"/>
      <c r="Q24" s="46"/>
      <c r="R24" s="98"/>
      <c r="S24" s="46"/>
      <c r="T24" s="53"/>
      <c r="U24" s="99"/>
      <c r="V24" s="27"/>
      <c r="W24" s="108"/>
      <c r="X24" s="109"/>
      <c r="Y24" s="109"/>
      <c r="Z24" s="103"/>
      <c r="AA24" s="104"/>
      <c r="AB24" s="27"/>
      <c r="AC24" s="100"/>
      <c r="AD24" s="103"/>
      <c r="AE24" s="163"/>
      <c r="AF24" s="98"/>
      <c r="AG24" s="103"/>
      <c r="AH24" s="163"/>
      <c r="AI24" s="99"/>
      <c r="AJ24" s="27"/>
      <c r="AK24" s="100"/>
      <c r="AL24" s="98"/>
      <c r="AM24" s="98"/>
      <c r="AN24" s="98"/>
      <c r="AO24" s="99"/>
      <c r="AP24" s="27"/>
      <c r="AQ24" s="164"/>
      <c r="AR24" s="165"/>
    </row>
    <row r="25" spans="1:47" ht="27.5" customHeight="1" x14ac:dyDescent="0.35">
      <c r="A25" s="44"/>
      <c r="B25" s="100"/>
      <c r="C25" s="45"/>
      <c r="D25" s="49"/>
      <c r="E25" s="45"/>
      <c r="F25" s="49"/>
      <c r="G25" s="99"/>
      <c r="H25" s="27"/>
      <c r="I25" s="100"/>
      <c r="J25" s="98"/>
      <c r="K25" s="98"/>
      <c r="L25" s="101"/>
      <c r="M25" s="102"/>
      <c r="N25" s="27"/>
      <c r="O25" s="100"/>
      <c r="P25" s="46"/>
      <c r="Q25" s="46"/>
      <c r="R25" s="98"/>
      <c r="S25" s="46"/>
      <c r="T25" s="53"/>
      <c r="U25" s="99"/>
      <c r="V25" s="27"/>
      <c r="W25" s="108"/>
      <c r="X25" s="109"/>
      <c r="Y25" s="109"/>
      <c r="Z25" s="103"/>
      <c r="AA25" s="104"/>
      <c r="AB25" s="27"/>
      <c r="AC25" s="100"/>
      <c r="AD25" s="103"/>
      <c r="AE25" s="163"/>
      <c r="AF25" s="98"/>
      <c r="AG25" s="103"/>
      <c r="AH25" s="163"/>
      <c r="AI25" s="99"/>
      <c r="AJ25" s="27"/>
      <c r="AK25" s="100"/>
      <c r="AL25" s="98"/>
      <c r="AM25" s="98"/>
      <c r="AN25" s="98"/>
      <c r="AO25" s="99"/>
      <c r="AP25" s="27"/>
      <c r="AQ25" s="164"/>
      <c r="AR25" s="165"/>
    </row>
    <row r="26" spans="1:47" ht="27.5" customHeight="1" x14ac:dyDescent="0.35">
      <c r="A26" s="44"/>
      <c r="B26" s="100"/>
      <c r="C26" s="45"/>
      <c r="D26" s="49"/>
      <c r="E26" s="45"/>
      <c r="F26" s="49"/>
      <c r="G26" s="99"/>
      <c r="H26" s="27"/>
      <c r="I26" s="100"/>
      <c r="J26" s="98"/>
      <c r="K26" s="98"/>
      <c r="L26" s="101"/>
      <c r="M26" s="102"/>
      <c r="N26" s="27"/>
      <c r="O26" s="100"/>
      <c r="P26" s="46"/>
      <c r="Q26" s="46"/>
      <c r="R26" s="98"/>
      <c r="S26" s="46"/>
      <c r="T26" s="53"/>
      <c r="U26" s="99"/>
      <c r="V26" s="27"/>
      <c r="W26" s="108"/>
      <c r="X26" s="109"/>
      <c r="Y26" s="109"/>
      <c r="Z26" s="103"/>
      <c r="AA26" s="104"/>
      <c r="AB26" s="27"/>
      <c r="AC26" s="100"/>
      <c r="AD26" s="103"/>
      <c r="AE26" s="163"/>
      <c r="AF26" s="98"/>
      <c r="AG26" s="103"/>
      <c r="AH26" s="163"/>
      <c r="AI26" s="99"/>
      <c r="AJ26" s="27"/>
      <c r="AK26" s="100"/>
      <c r="AL26" s="98"/>
      <c r="AM26" s="98"/>
      <c r="AN26" s="98"/>
      <c r="AO26" s="99"/>
      <c r="AP26" s="27"/>
      <c r="AQ26" s="164"/>
      <c r="AR26" s="165"/>
    </row>
    <row r="27" spans="1:47" ht="27.5" customHeight="1" thickBot="1" x14ac:dyDescent="0.4">
      <c r="A27" s="44"/>
      <c r="B27" s="100"/>
      <c r="C27" s="45"/>
      <c r="D27" s="49"/>
      <c r="E27" s="45"/>
      <c r="F27" s="49"/>
      <c r="G27" s="99"/>
      <c r="H27" s="27"/>
      <c r="I27" s="100"/>
      <c r="J27" s="98"/>
      <c r="K27" s="98"/>
      <c r="L27" s="101"/>
      <c r="M27" s="102"/>
      <c r="N27" s="27"/>
      <c r="O27" s="100"/>
      <c r="P27" s="46"/>
      <c r="Q27" s="46"/>
      <c r="R27" s="98"/>
      <c r="S27" s="46"/>
      <c r="T27" s="53"/>
      <c r="U27" s="99"/>
      <c r="V27" s="27"/>
      <c r="W27" s="108"/>
      <c r="X27" s="109"/>
      <c r="Y27" s="109"/>
      <c r="Z27" s="103"/>
      <c r="AA27" s="104"/>
      <c r="AB27" s="27"/>
      <c r="AC27" s="106"/>
      <c r="AD27" s="40"/>
      <c r="AE27" s="153"/>
      <c r="AF27" s="105"/>
      <c r="AG27" s="40"/>
      <c r="AH27" s="153"/>
      <c r="AI27" s="107"/>
      <c r="AJ27" s="27"/>
      <c r="AK27" s="106"/>
      <c r="AL27" s="105"/>
      <c r="AM27" s="105"/>
      <c r="AN27" s="105"/>
      <c r="AO27" s="107"/>
      <c r="AP27" s="27"/>
      <c r="AQ27" s="161"/>
      <c r="AR27" s="162"/>
    </row>
    <row r="28" spans="1:47" ht="85.5" customHeight="1" thickBot="1" x14ac:dyDescent="0.4">
      <c r="A28" s="44"/>
      <c r="B28" s="59" t="s">
        <v>56</v>
      </c>
      <c r="C28" s="169"/>
      <c r="D28" s="170"/>
      <c r="E28" s="170"/>
      <c r="F28" s="170"/>
      <c r="G28" s="171"/>
      <c r="H28" s="27"/>
      <c r="I28" s="59" t="s">
        <v>29</v>
      </c>
      <c r="J28" s="172"/>
      <c r="K28" s="173"/>
      <c r="L28" s="173"/>
      <c r="M28" s="174"/>
      <c r="N28" s="27"/>
      <c r="O28" s="62" t="s">
        <v>26</v>
      </c>
      <c r="P28" s="172"/>
      <c r="Q28" s="173"/>
      <c r="R28" s="173"/>
      <c r="S28" s="173"/>
      <c r="T28" s="173"/>
      <c r="U28" s="174"/>
      <c r="V28" s="27"/>
      <c r="W28" s="62" t="s">
        <v>27</v>
      </c>
      <c r="X28" s="172"/>
      <c r="Y28" s="173"/>
      <c r="Z28" s="173"/>
      <c r="AA28" s="174"/>
      <c r="AB28" s="27"/>
      <c r="AC28" s="78" t="s">
        <v>35</v>
      </c>
      <c r="AD28" s="178"/>
      <c r="AE28" s="179"/>
      <c r="AF28" s="179"/>
      <c r="AG28" s="179"/>
      <c r="AH28" s="179"/>
      <c r="AI28" s="180"/>
      <c r="AJ28" s="27"/>
      <c r="AK28" s="77" t="s">
        <v>53</v>
      </c>
      <c r="AL28" s="175"/>
      <c r="AM28" s="176"/>
      <c r="AN28" s="176"/>
      <c r="AO28" s="177"/>
      <c r="AP28" s="27"/>
      <c r="AQ28" s="77" t="s">
        <v>110</v>
      </c>
      <c r="AR28" s="149"/>
      <c r="AS28" s="148"/>
      <c r="AT28" s="148"/>
      <c r="AU28" s="148"/>
    </row>
    <row r="29" spans="1:47" x14ac:dyDescent="0.35">
      <c r="A29" s="98"/>
      <c r="B29" s="22"/>
      <c r="C29" s="22"/>
      <c r="D29" s="23"/>
      <c r="E29" s="22"/>
      <c r="F29" s="23"/>
      <c r="G29" s="22"/>
      <c r="H29" s="98"/>
      <c r="I29" s="22"/>
      <c r="J29" s="22"/>
      <c r="K29" s="22"/>
      <c r="L29" s="22"/>
      <c r="M29" s="22"/>
      <c r="N29" s="22"/>
      <c r="O29" s="22"/>
      <c r="P29" s="22"/>
      <c r="Q29" s="22"/>
      <c r="R29" s="22"/>
      <c r="S29" s="22"/>
      <c r="T29" s="22"/>
      <c r="U29" s="22"/>
      <c r="V29" s="98"/>
      <c r="W29" s="22"/>
      <c r="X29" s="22"/>
      <c r="Y29" s="22"/>
      <c r="Z29" s="22"/>
      <c r="AA29" s="22"/>
      <c r="AB29" s="27"/>
      <c r="AC29" s="22"/>
      <c r="AD29" s="22"/>
      <c r="AE29" s="22"/>
      <c r="AF29" s="22"/>
      <c r="AG29" s="22"/>
      <c r="AH29" s="22"/>
      <c r="AI29" s="22"/>
      <c r="AJ29" s="98"/>
      <c r="AK29" s="22"/>
      <c r="AL29" s="22"/>
      <c r="AM29" s="22"/>
      <c r="AN29" s="22"/>
      <c r="AO29" s="22"/>
      <c r="AP29" s="98"/>
    </row>
    <row r="31" spans="1:47" x14ac:dyDescent="0.35">
      <c r="A31" s="22"/>
      <c r="B31" s="151" t="s">
        <v>75</v>
      </c>
      <c r="C31" s="22"/>
      <c r="D31" s="23"/>
      <c r="E31" s="22"/>
      <c r="F31" s="23"/>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row>
    <row r="32" spans="1:47" ht="29" customHeight="1" x14ac:dyDescent="0.35">
      <c r="A32" s="22"/>
      <c r="B32" s="181" t="s">
        <v>130</v>
      </c>
      <c r="C32" s="181"/>
      <c r="D32" s="181"/>
      <c r="E32" s="181"/>
      <c r="F32" s="181"/>
      <c r="G32" s="181"/>
      <c r="H32" s="181"/>
      <c r="I32" s="181"/>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row>
    <row r="33" spans="1:48" s="3" customFormat="1" x14ac:dyDescent="0.35">
      <c r="A33" s="32"/>
      <c r="B33" s="168" t="s">
        <v>15</v>
      </c>
      <c r="C33" s="168"/>
      <c r="D33" s="168"/>
      <c r="E33" s="168"/>
      <c r="F33" s="168"/>
      <c r="G33" s="168"/>
      <c r="H33" s="168"/>
      <c r="I33" s="168"/>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1"/>
      <c r="AQ33" s="1"/>
      <c r="AR33" s="1"/>
      <c r="AS33" s="1"/>
      <c r="AT33" s="1"/>
      <c r="AU33" s="1"/>
    </row>
    <row r="34" spans="1:48" x14ac:dyDescent="0.35">
      <c r="A34" s="22"/>
      <c r="B34" s="182" t="s">
        <v>4</v>
      </c>
      <c r="C34" s="182"/>
      <c r="D34" s="182"/>
      <c r="E34" s="182"/>
      <c r="F34" s="182"/>
      <c r="G34" s="182"/>
      <c r="H34" s="182"/>
      <c r="I34" s="18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row>
    <row r="35" spans="1:48" ht="15" customHeight="1" x14ac:dyDescent="0.35">
      <c r="B35" s="182" t="s">
        <v>66</v>
      </c>
      <c r="C35" s="182"/>
      <c r="D35" s="182"/>
      <c r="E35" s="182"/>
      <c r="F35" s="182"/>
      <c r="G35" s="182"/>
      <c r="H35" s="182"/>
      <c r="I35" s="182"/>
    </row>
    <row r="36" spans="1:48" ht="76.5" customHeight="1" x14ac:dyDescent="0.35">
      <c r="B36" s="181" t="s">
        <v>125</v>
      </c>
      <c r="C36" s="181"/>
      <c r="D36" s="181"/>
      <c r="E36" s="181"/>
      <c r="F36" s="181"/>
      <c r="G36" s="181"/>
      <c r="H36" s="181"/>
      <c r="I36" s="181"/>
    </row>
    <row r="37" spans="1:48" ht="30.5" customHeight="1" x14ac:dyDescent="0.35">
      <c r="B37" s="181" t="s">
        <v>74</v>
      </c>
      <c r="C37" s="181"/>
      <c r="D37" s="181"/>
      <c r="E37" s="181"/>
      <c r="F37" s="181"/>
      <c r="G37" s="181"/>
      <c r="H37" s="181"/>
      <c r="I37" s="181"/>
    </row>
    <row r="39" spans="1:48" x14ac:dyDescent="0.35">
      <c r="B39" s="155" t="s">
        <v>134</v>
      </c>
    </row>
    <row r="40" spans="1:48" ht="15" thickBot="1" x14ac:dyDescent="0.4">
      <c r="AV40" s="154"/>
    </row>
    <row r="41" spans="1:48" s="2" customFormat="1" ht="57" customHeight="1" thickBot="1" x14ac:dyDescent="0.4">
      <c r="A41" s="44"/>
      <c r="B41" s="35" t="s">
        <v>67</v>
      </c>
      <c r="C41" s="36" t="s">
        <v>114</v>
      </c>
      <c r="D41" s="36" t="s">
        <v>68</v>
      </c>
      <c r="E41" s="36" t="s">
        <v>69</v>
      </c>
      <c r="F41" s="36" t="s">
        <v>70</v>
      </c>
      <c r="G41" s="37" t="s">
        <v>1</v>
      </c>
      <c r="H41" s="27"/>
      <c r="I41" s="47" t="s">
        <v>12</v>
      </c>
      <c r="J41" s="48" t="s">
        <v>13</v>
      </c>
      <c r="K41" s="48" t="s">
        <v>14</v>
      </c>
      <c r="L41" s="48" t="s">
        <v>24</v>
      </c>
      <c r="M41" s="63" t="s">
        <v>30</v>
      </c>
      <c r="N41" s="27"/>
      <c r="O41" s="47" t="s">
        <v>80</v>
      </c>
      <c r="P41" s="48" t="s">
        <v>81</v>
      </c>
      <c r="Q41" s="48" t="s">
        <v>91</v>
      </c>
      <c r="R41" s="48" t="s">
        <v>82</v>
      </c>
      <c r="S41" s="48" t="s">
        <v>83</v>
      </c>
      <c r="T41" s="48" t="s">
        <v>2</v>
      </c>
      <c r="U41" s="63" t="s">
        <v>34</v>
      </c>
      <c r="V41" s="27"/>
      <c r="W41" s="41" t="s">
        <v>9</v>
      </c>
      <c r="X41" s="48" t="s">
        <v>11</v>
      </c>
      <c r="Y41" s="48" t="s">
        <v>14</v>
      </c>
      <c r="Z41" s="48" t="s">
        <v>24</v>
      </c>
      <c r="AA41" s="63" t="s">
        <v>30</v>
      </c>
      <c r="AB41" s="27"/>
      <c r="AC41" s="47" t="s">
        <v>80</v>
      </c>
      <c r="AD41" s="48" t="s">
        <v>81</v>
      </c>
      <c r="AE41" s="48" t="s">
        <v>20</v>
      </c>
      <c r="AF41" s="48" t="s">
        <v>82</v>
      </c>
      <c r="AG41" s="48" t="s">
        <v>83</v>
      </c>
      <c r="AH41" s="48" t="s">
        <v>39</v>
      </c>
      <c r="AI41" s="63" t="s">
        <v>34</v>
      </c>
      <c r="AJ41" s="27"/>
      <c r="AK41" s="47" t="s">
        <v>97</v>
      </c>
      <c r="AL41" s="48" t="s">
        <v>98</v>
      </c>
      <c r="AM41" s="48" t="s">
        <v>99</v>
      </c>
      <c r="AN41" s="48" t="s">
        <v>100</v>
      </c>
      <c r="AO41" s="43" t="s">
        <v>105</v>
      </c>
      <c r="AP41" s="1"/>
      <c r="AQ41" s="1"/>
      <c r="AR41" s="1"/>
      <c r="AS41" s="1"/>
      <c r="AT41" s="1"/>
      <c r="AU41" s="1"/>
    </row>
    <row r="42" spans="1:48" s="134" customFormat="1" ht="29" customHeight="1" outlineLevel="1" x14ac:dyDescent="0.35">
      <c r="A42" s="119" t="s">
        <v>3</v>
      </c>
      <c r="B42" s="120">
        <v>9.3000000000000007</v>
      </c>
      <c r="C42" s="121">
        <v>1.4</v>
      </c>
      <c r="D42" s="122" t="s">
        <v>17</v>
      </c>
      <c r="E42" s="123">
        <v>0.2</v>
      </c>
      <c r="F42" s="122" t="s">
        <v>16</v>
      </c>
      <c r="G42" s="124">
        <v>7.0000000000000009</v>
      </c>
      <c r="H42" s="27"/>
      <c r="I42" s="125">
        <v>2</v>
      </c>
      <c r="J42" s="126">
        <v>0</v>
      </c>
      <c r="K42" s="126">
        <v>1</v>
      </c>
      <c r="L42" s="126">
        <v>24</v>
      </c>
      <c r="M42" s="127" t="s">
        <v>32</v>
      </c>
      <c r="N42" s="111"/>
      <c r="O42" s="125">
        <v>24</v>
      </c>
      <c r="P42" s="126">
        <v>8</v>
      </c>
      <c r="Q42" s="128" t="s">
        <v>21</v>
      </c>
      <c r="R42" s="129">
        <v>38</v>
      </c>
      <c r="S42" s="126">
        <v>17</v>
      </c>
      <c r="T42" s="128" t="s">
        <v>23</v>
      </c>
      <c r="U42" s="130">
        <v>47</v>
      </c>
      <c r="V42" s="111"/>
      <c r="W42" s="125">
        <v>0</v>
      </c>
      <c r="X42" s="126">
        <v>0</v>
      </c>
      <c r="Y42" s="126">
        <v>0</v>
      </c>
      <c r="Z42" s="126">
        <v>0</v>
      </c>
      <c r="AA42" s="127" t="s">
        <v>36</v>
      </c>
      <c r="AB42" s="111"/>
      <c r="AC42" s="125">
        <v>14</v>
      </c>
      <c r="AD42" s="126">
        <v>14</v>
      </c>
      <c r="AE42" s="145" t="s">
        <v>37</v>
      </c>
      <c r="AF42" s="129">
        <v>36</v>
      </c>
      <c r="AG42" s="126">
        <v>15</v>
      </c>
      <c r="AH42" s="145"/>
      <c r="AI42" s="130">
        <v>29</v>
      </c>
      <c r="AJ42" s="111"/>
      <c r="AK42" s="131">
        <v>74</v>
      </c>
      <c r="AL42" s="132">
        <v>38</v>
      </c>
      <c r="AM42" s="132">
        <v>36</v>
      </c>
      <c r="AN42" s="132">
        <v>38</v>
      </c>
      <c r="AO42" s="133">
        <v>76</v>
      </c>
      <c r="AP42" s="1"/>
      <c r="AQ42" s="1"/>
      <c r="AR42" s="1"/>
      <c r="AS42" s="1"/>
      <c r="AT42" s="1"/>
      <c r="AU42" s="1"/>
    </row>
    <row r="43" spans="1:48" s="134" customFormat="1" ht="29" customHeight="1" outlineLevel="1" thickBot="1" x14ac:dyDescent="0.4">
      <c r="A43" s="119"/>
      <c r="B43" s="110"/>
      <c r="C43" s="121">
        <v>0.6</v>
      </c>
      <c r="D43" s="122" t="s">
        <v>18</v>
      </c>
      <c r="E43" s="123">
        <v>0.1</v>
      </c>
      <c r="F43" s="122" t="s">
        <v>19</v>
      </c>
      <c r="G43" s="99"/>
      <c r="H43" s="27"/>
      <c r="I43" s="112"/>
      <c r="J43" s="113"/>
      <c r="K43" s="113"/>
      <c r="L43" s="135">
        <v>6</v>
      </c>
      <c r="M43" s="136" t="s">
        <v>31</v>
      </c>
      <c r="N43" s="111"/>
      <c r="O43" s="114"/>
      <c r="P43" s="135">
        <v>6</v>
      </c>
      <c r="Q43" s="137" t="s">
        <v>22</v>
      </c>
      <c r="R43" s="115"/>
      <c r="S43" s="135">
        <v>6</v>
      </c>
      <c r="T43" s="137" t="s">
        <v>22</v>
      </c>
      <c r="U43" s="116"/>
      <c r="V43" s="111"/>
      <c r="W43" s="138"/>
      <c r="X43" s="139"/>
      <c r="Y43" s="139"/>
      <c r="Z43" s="139"/>
      <c r="AA43" s="140"/>
      <c r="AB43" s="111"/>
      <c r="AC43" s="117"/>
      <c r="AD43" s="135">
        <v>8</v>
      </c>
      <c r="AE43" s="146" t="s">
        <v>38</v>
      </c>
      <c r="AF43" s="118"/>
      <c r="AG43" s="135"/>
      <c r="AH43" s="146"/>
      <c r="AI43" s="116"/>
      <c r="AJ43" s="111"/>
      <c r="AK43" s="117"/>
      <c r="AL43" s="118"/>
      <c r="AM43" s="118"/>
      <c r="AN43" s="118"/>
      <c r="AO43" s="116"/>
      <c r="AP43" s="1"/>
      <c r="AQ43" s="1"/>
      <c r="AR43" s="1"/>
      <c r="AS43" s="1"/>
      <c r="AT43" s="1"/>
      <c r="AU43" s="1"/>
    </row>
    <row r="46" spans="1:48" x14ac:dyDescent="0.35">
      <c r="B46" s="33"/>
    </row>
    <row r="47" spans="1:48" x14ac:dyDescent="0.35">
      <c r="B47" s="31"/>
    </row>
    <row r="49" spans="2:2" x14ac:dyDescent="0.35">
      <c r="B49" s="31"/>
    </row>
    <row r="50" spans="2:2" x14ac:dyDescent="0.35">
      <c r="B50" s="33"/>
    </row>
    <row r="51" spans="2:2" x14ac:dyDescent="0.35">
      <c r="B51" s="31"/>
    </row>
  </sheetData>
  <sheetProtection password="CFC5" sheet="1" selectLockedCells="1"/>
  <customSheetViews>
    <customSheetView guid="{F2D67BD4-518B-4AA3-86DE-3FD6DF647BDB}" scale="70" showPageBreaks="1" hiddenRows="1">
      <pane xSplit="1" topLeftCell="B1" activePane="topRight" state="frozen"/>
      <selection pane="topRight" activeCell="S10" sqref="S10"/>
      <pageMargins left="0.7" right="0.7" top="0.78740157499999996" bottom="0.78740157499999996" header="0.3" footer="0.3"/>
      <pageSetup paperSize="9" orientation="portrait" r:id="rId1"/>
    </customSheetView>
  </customSheetViews>
  <mergeCells count="19">
    <mergeCell ref="AK9:AO10"/>
    <mergeCell ref="AQ9:AR10"/>
    <mergeCell ref="I9:M10"/>
    <mergeCell ref="B9:G10"/>
    <mergeCell ref="O9:U10"/>
    <mergeCell ref="W9:AA10"/>
    <mergeCell ref="AC9:AI10"/>
    <mergeCell ref="B37:I37"/>
    <mergeCell ref="B32:I32"/>
    <mergeCell ref="B33:I33"/>
    <mergeCell ref="B34:I34"/>
    <mergeCell ref="B35:I35"/>
    <mergeCell ref="B36:I36"/>
    <mergeCell ref="C28:G28"/>
    <mergeCell ref="J28:M28"/>
    <mergeCell ref="P28:U28"/>
    <mergeCell ref="X28:AA28"/>
    <mergeCell ref="AL28:AO28"/>
    <mergeCell ref="AD28:AI28"/>
  </mergeCells>
  <pageMargins left="0.7" right="0.7" top="0.78740157499999996" bottom="0.78740157499999996" header="0.3" footer="0.3"/>
  <pageSetup paperSize="9" orientation="portrait" r:id="rId2"/>
  <ignoredErrors>
    <ignoredError sqref="AF14 AM14:AN14"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3"/>
  <sheetViews>
    <sheetView zoomScale="130" zoomScaleNormal="130" workbookViewId="0">
      <selection activeCell="B14" sqref="B14:C14"/>
    </sheetView>
  </sheetViews>
  <sheetFormatPr baseColWidth="10" defaultRowHeight="14.5" x14ac:dyDescent="0.35"/>
  <cols>
    <col min="1" max="1" width="35.08984375" style="22" customWidth="1"/>
    <col min="2" max="2" width="18.1796875" style="22" customWidth="1"/>
    <col min="3" max="3" width="26.7265625" style="22" customWidth="1"/>
    <col min="4" max="5" width="23.1796875" style="22" customWidth="1"/>
    <col min="6" max="6" width="21.7265625" style="22" customWidth="1"/>
    <col min="7" max="7" width="18.6328125" style="22" customWidth="1"/>
    <col min="8" max="8" width="18.81640625" style="22" customWidth="1"/>
    <col min="9" max="10" width="19.453125" style="22" customWidth="1"/>
    <col min="11" max="11" width="21.08984375" style="22" customWidth="1"/>
    <col min="12" max="12" width="22.08984375" style="22" customWidth="1"/>
    <col min="13" max="13" width="18.26953125" style="22" customWidth="1"/>
    <col min="14" max="14" width="16.36328125" style="22" customWidth="1"/>
    <col min="15" max="15" width="16.54296875" style="22" customWidth="1"/>
    <col min="16" max="16" width="10.90625" style="22"/>
    <col min="17" max="17" width="33.6328125" style="22" customWidth="1"/>
    <col min="18" max="16384" width="10.90625" style="22"/>
  </cols>
  <sheetData>
    <row r="1" spans="1:47" ht="26.5" thickBot="1" x14ac:dyDescent="0.4">
      <c r="A1" s="19" t="s">
        <v>148</v>
      </c>
      <c r="B1" s="19"/>
      <c r="C1" s="19"/>
      <c r="D1" s="20"/>
      <c r="E1" s="20"/>
      <c r="F1" s="21"/>
      <c r="G1" s="20"/>
      <c r="H1" s="21"/>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6"/>
    </row>
    <row r="2" spans="1:47" ht="15" thickBot="1" x14ac:dyDescent="0.4">
      <c r="F2" s="23"/>
      <c r="H2" s="23"/>
    </row>
    <row r="3" spans="1:47" ht="15" thickBot="1" x14ac:dyDescent="0.4">
      <c r="A3" s="14" t="s">
        <v>6</v>
      </c>
      <c r="B3" s="84" t="str">
        <f>'Allgemeine Angaben'!C3</f>
        <v>bitte auswählen</v>
      </c>
      <c r="C3" s="81"/>
      <c r="D3" s="81"/>
      <c r="E3" s="81"/>
      <c r="F3" s="24"/>
      <c r="H3" s="23"/>
    </row>
    <row r="4" spans="1:47" ht="15" thickBot="1" x14ac:dyDescent="0.4">
      <c r="A4" s="14" t="s">
        <v>7</v>
      </c>
      <c r="B4" s="84" t="str">
        <f>'Allgemeine Angaben'!C4</f>
        <v>bitte auswählen</v>
      </c>
      <c r="C4" s="81"/>
      <c r="D4" s="81"/>
      <c r="E4" s="81"/>
      <c r="F4" s="24"/>
      <c r="H4" s="23"/>
    </row>
    <row r="5" spans="1:47" ht="15" thickBot="1" x14ac:dyDescent="0.4">
      <c r="A5" s="15" t="s">
        <v>151</v>
      </c>
      <c r="B5" s="85" t="s">
        <v>5</v>
      </c>
      <c r="C5" s="82"/>
      <c r="D5" s="81"/>
      <c r="E5" s="82"/>
      <c r="F5" s="23"/>
      <c r="H5" s="23"/>
    </row>
    <row r="6" spans="1:47" x14ac:dyDescent="0.35">
      <c r="D6" s="82"/>
      <c r="E6" s="83"/>
      <c r="F6" s="23"/>
      <c r="H6" s="23"/>
    </row>
    <row r="7" spans="1:47" x14ac:dyDescent="0.35">
      <c r="B7" s="150" t="s">
        <v>122</v>
      </c>
      <c r="D7" s="82"/>
      <c r="E7" s="83"/>
      <c r="F7" s="23"/>
      <c r="H7" s="23"/>
    </row>
    <row r="8" spans="1:47" ht="15" thickBot="1" x14ac:dyDescent="0.4">
      <c r="D8" s="82"/>
    </row>
    <row r="9" spans="1:47" ht="23.5" x14ac:dyDescent="0.35">
      <c r="A9" s="44"/>
      <c r="B9" s="198" t="s">
        <v>51</v>
      </c>
      <c r="C9" s="199"/>
      <c r="D9" s="27"/>
      <c r="E9" s="210" t="s">
        <v>50</v>
      </c>
      <c r="F9" s="211"/>
      <c r="G9" s="211"/>
      <c r="H9" s="211"/>
      <c r="I9" s="211"/>
      <c r="J9" s="211"/>
      <c r="K9" s="211"/>
      <c r="L9" s="211"/>
      <c r="M9" s="211"/>
      <c r="N9" s="211"/>
      <c r="O9" s="211"/>
      <c r="P9" s="211"/>
      <c r="Q9" s="212"/>
    </row>
    <row r="10" spans="1:47" ht="15" thickBot="1" x14ac:dyDescent="0.4">
      <c r="A10" s="44"/>
      <c r="B10" s="66"/>
      <c r="C10" s="68"/>
      <c r="D10" s="27"/>
      <c r="E10" s="66"/>
      <c r="F10" s="67"/>
      <c r="G10" s="67"/>
      <c r="H10" s="67"/>
      <c r="I10" s="67"/>
      <c r="J10" s="67"/>
      <c r="K10" s="67"/>
      <c r="L10" s="67"/>
      <c r="M10" s="67"/>
      <c r="N10" s="67"/>
      <c r="O10" s="67"/>
      <c r="P10" s="67"/>
      <c r="Q10" s="68"/>
    </row>
    <row r="11" spans="1:47" ht="63.5" customHeight="1" thickBot="1" x14ac:dyDescent="0.4">
      <c r="A11" s="44"/>
      <c r="B11" s="201" t="s">
        <v>58</v>
      </c>
      <c r="C11" s="202"/>
      <c r="D11" s="27"/>
      <c r="E11" s="41" t="s">
        <v>57</v>
      </c>
      <c r="F11" s="200" t="s">
        <v>59</v>
      </c>
      <c r="G11" s="200"/>
      <c r="H11" s="200"/>
      <c r="I11" s="200"/>
      <c r="J11" s="42" t="s">
        <v>54</v>
      </c>
      <c r="K11" s="42" t="s">
        <v>126</v>
      </c>
      <c r="L11" s="42" t="s">
        <v>127</v>
      </c>
      <c r="M11" s="200" t="s">
        <v>44</v>
      </c>
      <c r="N11" s="200"/>
      <c r="O11" s="200"/>
      <c r="P11" s="200"/>
      <c r="Q11" s="43" t="s">
        <v>49</v>
      </c>
    </row>
    <row r="12" spans="1:47" s="23" customFormat="1" ht="53" customHeight="1" x14ac:dyDescent="0.35">
      <c r="A12" s="44" t="s">
        <v>0</v>
      </c>
      <c r="B12" s="203" t="s">
        <v>124</v>
      </c>
      <c r="C12" s="204"/>
      <c r="D12" s="27"/>
      <c r="E12" s="156" t="s">
        <v>128</v>
      </c>
      <c r="F12" s="209" t="s">
        <v>123</v>
      </c>
      <c r="G12" s="209"/>
      <c r="H12" s="209"/>
      <c r="I12" s="209"/>
      <c r="J12" s="157" t="s">
        <v>55</v>
      </c>
      <c r="K12" s="157" t="s">
        <v>150</v>
      </c>
      <c r="L12" s="157" t="s">
        <v>149</v>
      </c>
      <c r="M12" s="209" t="s">
        <v>45</v>
      </c>
      <c r="N12" s="209"/>
      <c r="O12" s="209"/>
      <c r="P12" s="209"/>
      <c r="Q12" s="158" t="s">
        <v>129</v>
      </c>
      <c r="R12" s="86"/>
      <c r="S12" s="86"/>
      <c r="T12" s="86"/>
    </row>
    <row r="13" spans="1:47" s="23" customFormat="1" x14ac:dyDescent="0.35">
      <c r="A13" s="44"/>
      <c r="B13" s="57"/>
      <c r="C13" s="58"/>
      <c r="D13" s="27"/>
      <c r="E13" s="57"/>
      <c r="F13" s="88" t="s">
        <v>46</v>
      </c>
      <c r="G13" s="88" t="s">
        <v>47</v>
      </c>
      <c r="H13" s="88" t="s">
        <v>48</v>
      </c>
      <c r="I13" s="88" t="s">
        <v>43</v>
      </c>
      <c r="J13" s="27"/>
      <c r="K13" s="27"/>
      <c r="L13" s="27"/>
      <c r="M13" s="152" t="s">
        <v>46</v>
      </c>
      <c r="N13" s="152" t="s">
        <v>47</v>
      </c>
      <c r="O13" s="152" t="s">
        <v>48</v>
      </c>
      <c r="P13" s="88" t="s">
        <v>43</v>
      </c>
      <c r="Q13" s="58"/>
    </row>
    <row r="14" spans="1:47" ht="14" customHeight="1" x14ac:dyDescent="0.35">
      <c r="A14" s="44" t="s">
        <v>40</v>
      </c>
      <c r="B14" s="205"/>
      <c r="C14" s="206"/>
      <c r="D14" s="27"/>
      <c r="E14" s="89"/>
      <c r="F14" s="80"/>
      <c r="G14" s="71"/>
      <c r="H14" s="71"/>
      <c r="I14" s="87">
        <f>SUM(F14:H14)</f>
        <v>0</v>
      </c>
      <c r="J14" s="80"/>
      <c r="K14" s="71"/>
      <c r="L14" s="71"/>
      <c r="M14" s="79"/>
      <c r="N14" s="80"/>
      <c r="O14" s="71"/>
      <c r="P14" s="87">
        <f>SUM(M14:O14)</f>
        <v>0</v>
      </c>
      <c r="Q14" s="94"/>
    </row>
    <row r="15" spans="1:47" x14ac:dyDescent="0.35">
      <c r="A15" s="44" t="s">
        <v>41</v>
      </c>
      <c r="B15" s="205"/>
      <c r="C15" s="206"/>
      <c r="D15" s="27"/>
      <c r="E15" s="89"/>
      <c r="F15" s="80"/>
      <c r="G15" s="71"/>
      <c r="H15" s="71"/>
      <c r="I15" s="87">
        <f t="shared" ref="I15:I16" si="0">SUM(F15:H15)</f>
        <v>0</v>
      </c>
      <c r="J15" s="80"/>
      <c r="K15" s="71"/>
      <c r="L15" s="71"/>
      <c r="M15" s="79"/>
      <c r="N15" s="80"/>
      <c r="O15" s="71"/>
      <c r="P15" s="87">
        <f t="shared" ref="P15:P16" si="1">SUM(M15:O15)</f>
        <v>0</v>
      </c>
      <c r="Q15" s="94"/>
    </row>
    <row r="16" spans="1:47" ht="15" thickBot="1" x14ac:dyDescent="0.4">
      <c r="A16" s="44" t="s">
        <v>42</v>
      </c>
      <c r="B16" s="207"/>
      <c r="C16" s="208"/>
      <c r="D16" s="27"/>
      <c r="E16" s="90"/>
      <c r="F16" s="91"/>
      <c r="G16" s="40"/>
      <c r="H16" s="40"/>
      <c r="I16" s="92">
        <f t="shared" si="0"/>
        <v>0</v>
      </c>
      <c r="J16" s="91"/>
      <c r="K16" s="40"/>
      <c r="L16" s="40"/>
      <c r="M16" s="93"/>
      <c r="N16" s="91"/>
      <c r="O16" s="40"/>
      <c r="P16" s="92">
        <f t="shared" si="1"/>
        <v>0</v>
      </c>
      <c r="Q16" s="95"/>
    </row>
    <row r="17" spans="1:17" ht="53" customHeight="1" thickBot="1" x14ac:dyDescent="0.4">
      <c r="A17" s="44"/>
      <c r="B17" s="96" t="s">
        <v>61</v>
      </c>
      <c r="C17" s="97"/>
      <c r="D17" s="27"/>
      <c r="E17" s="77" t="s">
        <v>60</v>
      </c>
      <c r="F17" s="195"/>
      <c r="G17" s="196"/>
      <c r="H17" s="196"/>
      <c r="I17" s="196"/>
      <c r="J17" s="196"/>
      <c r="K17" s="196"/>
      <c r="L17" s="196"/>
      <c r="M17" s="196"/>
      <c r="N17" s="196"/>
      <c r="O17" s="196"/>
      <c r="P17" s="196"/>
      <c r="Q17" s="197"/>
    </row>
    <row r="22" spans="1:17" x14ac:dyDescent="0.35">
      <c r="B22" s="22" t="s">
        <v>52</v>
      </c>
    </row>
    <row r="23" spans="1:17" x14ac:dyDescent="0.35">
      <c r="B23" s="22" t="s">
        <v>15</v>
      </c>
    </row>
  </sheetData>
  <sheetProtection password="CFC5" sheet="1" selectLockedCells="1"/>
  <mergeCells count="12">
    <mergeCell ref="F17:Q17"/>
    <mergeCell ref="B9:C9"/>
    <mergeCell ref="F11:I11"/>
    <mergeCell ref="M11:P11"/>
    <mergeCell ref="B11:C11"/>
    <mergeCell ref="B12:C12"/>
    <mergeCell ref="B14:C14"/>
    <mergeCell ref="B15:C15"/>
    <mergeCell ref="B16:C16"/>
    <mergeCell ref="F12:I12"/>
    <mergeCell ref="M12:P12"/>
    <mergeCell ref="E9:Q9"/>
  </mergeCells>
  <pageMargins left="0.7" right="0.7" top="0.78740157499999996" bottom="0.78740157499999996" header="0.3" footer="0.3"/>
  <pageSetup paperSize="9" orientation="portrait" r:id="rId1"/>
  <ignoredErrors>
    <ignoredError sqref="P14:P16"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
  <sheetViews>
    <sheetView zoomScale="110" zoomScaleNormal="110" workbookViewId="0">
      <selection activeCell="A5" sqref="A1:XFD1048576"/>
    </sheetView>
  </sheetViews>
  <sheetFormatPr baseColWidth="10" defaultRowHeight="14.5" x14ac:dyDescent="0.35"/>
  <sheetData>
    <row r="2" spans="1:1" x14ac:dyDescent="0.35">
      <c r="A2" t="s">
        <v>65</v>
      </c>
    </row>
  </sheetData>
  <sheetProtection password="CFC5" sheet="1" objects="1" scenarios="1" selectLockedCells="1"/>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E13"/>
  <sheetViews>
    <sheetView topLeftCell="A2" workbookViewId="0">
      <selection activeCell="G22" sqref="G22"/>
    </sheetView>
  </sheetViews>
  <sheetFormatPr baseColWidth="10" defaultRowHeight="14.5" x14ac:dyDescent="0.35"/>
  <cols>
    <col min="4" max="4" width="15.08984375" customWidth="1"/>
  </cols>
  <sheetData>
    <row r="3" spans="4:5" x14ac:dyDescent="0.35">
      <c r="D3" t="s">
        <v>137</v>
      </c>
      <c r="E3" t="s">
        <v>8</v>
      </c>
    </row>
    <row r="4" spans="4:5" x14ac:dyDescent="0.35">
      <c r="D4" s="60" t="s">
        <v>33</v>
      </c>
      <c r="E4" s="60" t="s">
        <v>33</v>
      </c>
    </row>
    <row r="5" spans="4:5" x14ac:dyDescent="0.35">
      <c r="D5" s="4" t="s">
        <v>138</v>
      </c>
      <c r="E5" s="3">
        <v>2023</v>
      </c>
    </row>
    <row r="6" spans="4:5" x14ac:dyDescent="0.35">
      <c r="D6" s="4" t="s">
        <v>139</v>
      </c>
      <c r="E6" s="3">
        <v>2024</v>
      </c>
    </row>
    <row r="7" spans="4:5" x14ac:dyDescent="0.35">
      <c r="D7" s="4"/>
      <c r="E7" s="3">
        <v>2026</v>
      </c>
    </row>
    <row r="8" spans="4:5" x14ac:dyDescent="0.35">
      <c r="D8" s="4"/>
      <c r="E8" s="3">
        <v>2027</v>
      </c>
    </row>
    <row r="9" spans="4:5" x14ac:dyDescent="0.35">
      <c r="D9" s="4"/>
      <c r="E9" s="3">
        <v>2028</v>
      </c>
    </row>
    <row r="10" spans="4:5" x14ac:dyDescent="0.35">
      <c r="D10" s="4"/>
      <c r="E10" s="3">
        <v>2029</v>
      </c>
    </row>
    <row r="11" spans="4:5" x14ac:dyDescent="0.35">
      <c r="D11" s="4"/>
      <c r="E11" s="3">
        <v>2030</v>
      </c>
    </row>
    <row r="12" spans="4:5" x14ac:dyDescent="0.35">
      <c r="D12" s="4"/>
      <c r="E12" s="3">
        <v>2031</v>
      </c>
    </row>
    <row r="13" spans="4:5" x14ac:dyDescent="0.35">
      <c r="D13" s="4"/>
      <c r="E13" s="3">
        <v>2032</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Allgemeine Angaben</vt:lpstr>
      <vt:lpstr>Pflege FH-HF</vt:lpstr>
      <vt:lpstr>Sekundarstufe</vt:lpstr>
      <vt:lpstr>Erläuterungen</vt:lpstr>
      <vt:lpstr>Hintergrunddaten</vt:lpstr>
    </vt:vector>
  </TitlesOfParts>
  <Company>KSD Schaffhausen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Kroll Stefan</dc:creator>
  <cp:lastModifiedBy>Kroll Stefan</cp:lastModifiedBy>
  <dcterms:created xsi:type="dcterms:W3CDTF">2024-08-13T05:29:23Z</dcterms:created>
  <dcterms:modified xsi:type="dcterms:W3CDTF">2024-12-20T06:50:05Z</dcterms:modified>
</cp:coreProperties>
</file>