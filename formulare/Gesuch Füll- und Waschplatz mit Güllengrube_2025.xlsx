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64011"/>
  <mc:AlternateContent xmlns:mc="http://schemas.openxmlformats.org/markup-compatibility/2006">
    <mc:Choice Requires="x15">
      <x15ac:absPath xmlns:x15ac="http://schemas.microsoft.com/office/spreadsheetml/2010/11/ac" url="H:\LA\65_SVV\Gesuchsformulare\Füll- und Waschplatz\Gesuchsformular SH_2025\"/>
    </mc:Choice>
  </mc:AlternateContent>
  <bookViews>
    <workbookView xWindow="0" yWindow="1200" windowWidth="28800" windowHeight="14100"/>
  </bookViews>
  <sheets>
    <sheet name="Tabelle1" sheetId="1" r:id="rId1"/>
  </sheets>
  <definedNames>
    <definedName name="_xlnm.Print_Area" localSheetId="0">Tabelle1!$A$1:$O$109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5" i="1" l="1"/>
  <c r="F93" i="1" l="1"/>
  <c r="H93" i="1" s="1"/>
  <c r="H92" i="1"/>
  <c r="K57" i="1" l="1"/>
  <c r="L49" i="1"/>
  <c r="L50" i="1"/>
  <c r="L51" i="1"/>
  <c r="L52" i="1"/>
  <c r="L53" i="1"/>
  <c r="L54" i="1"/>
  <c r="L55" i="1"/>
  <c r="L56" i="1"/>
  <c r="L48" i="1"/>
  <c r="B57" i="1"/>
  <c r="B63" i="1" s="1"/>
  <c r="L57" i="1" l="1"/>
  <c r="J57" i="1" l="1"/>
  <c r="D57" i="1" l="1"/>
  <c r="D63" i="1" s="1"/>
  <c r="E57" i="1" l="1"/>
  <c r="E63" i="1" s="1"/>
  <c r="F57" i="1"/>
  <c r="F63" i="1" s="1"/>
  <c r="G57" i="1"/>
  <c r="G63" i="1" s="1"/>
  <c r="H57" i="1"/>
  <c r="H63" i="1" s="1"/>
  <c r="I57" i="1"/>
  <c r="I63" i="1" s="1"/>
  <c r="J63" i="1"/>
  <c r="K63" i="1"/>
  <c r="C57" i="1"/>
  <c r="C63" i="1" s="1"/>
  <c r="L63" i="1" l="1"/>
  <c r="E83" i="1" s="1"/>
  <c r="E85" i="1" s="1"/>
  <c r="F94" i="1" s="1"/>
  <c r="H94" i="1" s="1"/>
  <c r="H99" i="1" s="1"/>
</calcChain>
</file>

<file path=xl/sharedStrings.xml><?xml version="1.0" encoding="utf-8"?>
<sst xmlns="http://schemas.openxmlformats.org/spreadsheetml/2006/main" count="109" uniqueCount="105">
  <si>
    <t>Kanton Schaffhausen</t>
  </si>
  <si>
    <t>Landwirtschaftsamt</t>
  </si>
  <si>
    <t>www.la.sh.ch</t>
  </si>
  <si>
    <t>Persönliche Angaben des Gesuchstellers / der Gesuchstellerin</t>
  </si>
  <si>
    <t>Name und Vorname:</t>
  </si>
  <si>
    <t>Adresse:</t>
  </si>
  <si>
    <t>PLZ, Wohnort:</t>
  </si>
  <si>
    <t>Landw. Ausbildung</t>
  </si>
  <si>
    <t>Andere Ausbildung:</t>
  </si>
  <si>
    <t>Zivilstand</t>
  </si>
  <si>
    <t>Name und Vorname des Ehe- oder Lebenspartners:</t>
  </si>
  <si>
    <t>Geb. Datum:</t>
  </si>
  <si>
    <t>E-Mail:</t>
  </si>
  <si>
    <t>Mobile:</t>
  </si>
  <si>
    <t>Bisherige Tätigkeit:</t>
  </si>
  <si>
    <t>ledig</t>
  </si>
  <si>
    <t>verheiratet</t>
  </si>
  <si>
    <t>Partnerschaft</t>
  </si>
  <si>
    <t>geschieden</t>
  </si>
  <si>
    <t>verwitwet</t>
  </si>
  <si>
    <t>wählen</t>
  </si>
  <si>
    <t>gewählt</t>
  </si>
  <si>
    <t>Angaben zum geplanten Füll- und Waschplatz</t>
  </si>
  <si>
    <t>Der Füll- und Waschplatz wird genutzt:</t>
  </si>
  <si>
    <t>Wenn überbetrieblich: Name und Adresse der übrigen Betriebe</t>
  </si>
  <si>
    <t>Name</t>
  </si>
  <si>
    <t>Vorname</t>
  </si>
  <si>
    <t>Strasse</t>
  </si>
  <si>
    <t>Einsatz von Kupferpräparaten</t>
  </si>
  <si>
    <t>Kulturen</t>
  </si>
  <si>
    <t>PLZ</t>
  </si>
  <si>
    <t>Ort</t>
  </si>
  <si>
    <t>(Beton)-Platz</t>
  </si>
  <si>
    <t>SH</t>
  </si>
  <si>
    <t>Betriebsnummer:</t>
  </si>
  <si>
    <t>Bedarf</t>
  </si>
  <si>
    <t>ja</t>
  </si>
  <si>
    <t>nein</t>
  </si>
  <si>
    <t>März</t>
  </si>
  <si>
    <t>April</t>
  </si>
  <si>
    <t>Mai</t>
  </si>
  <si>
    <t>August</t>
  </si>
  <si>
    <t>Juni</t>
  </si>
  <si>
    <t>Juli</t>
  </si>
  <si>
    <t>September</t>
  </si>
  <si>
    <t>Oktober</t>
  </si>
  <si>
    <t>max. 80 m2 anrechenbar</t>
  </si>
  <si>
    <t>Grösse in m2</t>
  </si>
  <si>
    <t>250 / m2</t>
  </si>
  <si>
    <t>Berechnung der Anlage</t>
  </si>
  <si>
    <t>m3/Jahr</t>
  </si>
  <si>
    <t>Jährliche Niederschlagsmenge</t>
  </si>
  <si>
    <t>mm</t>
  </si>
  <si>
    <t>Gerste o.ä.</t>
  </si>
  <si>
    <t>Weizen o.ä.</t>
  </si>
  <si>
    <t>Mais</t>
  </si>
  <si>
    <t>Rüben</t>
  </si>
  <si>
    <t>Kartoffeln</t>
  </si>
  <si>
    <t>Raps</t>
  </si>
  <si>
    <t>Obst, Reben</t>
  </si>
  <si>
    <t>Gemüsebau</t>
  </si>
  <si>
    <t>Anderes</t>
  </si>
  <si>
    <t>Waschwasseranfall gemäss Berechnung</t>
  </si>
  <si>
    <t>m3</t>
  </si>
  <si>
    <t>pro Jahr</t>
  </si>
  <si>
    <t>Reserve (6 Waschungen à 200 Liter)</t>
  </si>
  <si>
    <t>CHF</t>
  </si>
  <si>
    <t>Die definitive Beitragsberechnung erfolgt durch das Landwirtschaftsamt bzw. das Bundesamt für Landwirtschaft</t>
  </si>
  <si>
    <t>Beitragsgesuch für einen Füll- und Waschplatz; Entwässerung in Güllegrube</t>
  </si>
  <si>
    <t>Anzahl Waschungen pro Monat (pro Waschung 200 Liter)</t>
  </si>
  <si>
    <t>November Dezember</t>
  </si>
  <si>
    <t>Januar      Februar</t>
  </si>
  <si>
    <t>Anzahl Waschungen</t>
  </si>
  <si>
    <t>Anzahl Waschun-gen</t>
  </si>
  <si>
    <t>errechnet.</t>
  </si>
  <si>
    <t>Menge Waschwasser (l)</t>
  </si>
  <si>
    <t>Überdachung m2</t>
  </si>
  <si>
    <t>Neubau Jauchegrube für Waschwasser</t>
  </si>
  <si>
    <t>Ort und Datum</t>
  </si>
  <si>
    <t>Unterschrift:</t>
  </si>
  <si>
    <t>Baugesuch notwendig</t>
  </si>
  <si>
    <t>gerd.mayer@sh.ch</t>
  </si>
  <si>
    <t xml:space="preserve">Geb. Datum: </t>
  </si>
  <si>
    <t>kurze Beschreibung der Anlage:</t>
  </si>
  <si>
    <t>75 / m2</t>
  </si>
  <si>
    <t>25 / m2</t>
  </si>
  <si>
    <t>250 / m3</t>
  </si>
  <si>
    <t>max. 5'000 Fr. anrechenbar</t>
  </si>
  <si>
    <t>Anlage zur Verdunstung des Reingungswassers</t>
  </si>
  <si>
    <t>max. 5'000 Fr. anrechenbar, effekt. Kosten bitte aufführen</t>
  </si>
  <si>
    <t>Filteranlage Reinigungswasser anstatt Verdunstung</t>
  </si>
  <si>
    <r>
      <rPr>
        <b/>
        <u/>
        <sz val="13"/>
        <color rgb="FFFF0000"/>
        <rFont val="Arial"/>
        <family val="2"/>
      </rPr>
      <t>Achtung:</t>
    </r>
    <r>
      <rPr>
        <b/>
        <sz val="13"/>
        <color rgb="FFFF0000"/>
        <rFont val="Arial"/>
        <family val="2"/>
      </rPr>
      <t xml:space="preserve"> Mit dem Bau darf erst begonnen werden und Anschaffungen dürfen erst getätigt werden, wenn der Beitrag rechtskräftig verfügt ist und die zuständige kantonale Behörde die entsprechende Bewilligung erteilt hat. </t>
    </r>
  </si>
  <si>
    <r>
      <t xml:space="preserve">Bitte nehmen Sie folgenden Satz in den Ausschreibungstext der Bauausschreibung auf: </t>
    </r>
    <r>
      <rPr>
        <b/>
        <sz val="11"/>
        <color theme="1"/>
        <rFont val="Calibri"/>
        <family val="2"/>
      </rPr>
      <t>«</t>
    </r>
    <r>
      <rPr>
        <b/>
        <sz val="11"/>
        <color theme="1"/>
        <rFont val="Arial Narrow"/>
        <family val="2"/>
      </rPr>
      <t>Das Projekt wird auch gestützt auf das Bundesgesetz über die Landwirtschaft (LwG) Artikel 97 und gestützt auf das Bundesgesetz über den Natur- und Heimatschutz (NHG) Art. 12 und 12a publiziert.</t>
    </r>
    <r>
      <rPr>
        <b/>
        <sz val="11"/>
        <color theme="1"/>
        <rFont val="Calibri"/>
        <family val="2"/>
      </rPr>
      <t>»</t>
    </r>
  </si>
  <si>
    <t>Füll- und Waschplatz</t>
  </si>
  <si>
    <t>Zur Antragstellung notwendige Unter-lagen:</t>
  </si>
  <si>
    <t>Aufgrund der eingegebenen Daten wurde ein Bundesbeitrag von maximal</t>
  </si>
  <si>
    <t>max. Bundes-beitrag  (CHF)</t>
  </si>
  <si>
    <t>Bundes-beitrag (CHF/m2)</t>
  </si>
  <si>
    <t>Berechnung Beitrag</t>
  </si>
  <si>
    <t xml:space="preserve">Die Gewährung von Finanzhilfen durch den Bund (Bundesbeitrag) setzt einen Kantonsbeitrag in gleicher Höhe voraus (SVV Art. 8  Abs.2  Bst.a). </t>
  </si>
  <si>
    <t>Mühlentalstrasse 105</t>
  </si>
  <si>
    <t>CH-8200 Schaffhausen</t>
  </si>
  <si>
    <t>T  +41 52 632 66 70</t>
  </si>
  <si>
    <t>(gültig ab 1. Januar 2025)</t>
  </si>
  <si>
    <t>max. 80 m2 anrechenbar; entspr. höchstens Fläche Waschplatz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</si>
</sst>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10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000000"/>
      <name val="Segoe UI"/>
      <family val="2"/>
    </font>
    <font>
      <sz val="10"/>
      <color theme="1"/>
      <name val="Arial Narrow"/>
      <family val="2"/>
    </font>
    <font>
      <sz val="11"/>
      <color theme="1"/>
      <name val="Arial Narrow"/>
      <family val="2"/>
    </font>
    <font>
      <b/>
      <sz val="13"/>
      <color rgb="FFFF0000"/>
      <name val="Arial"/>
      <family val="2"/>
    </font>
    <font>
      <b/>
      <sz val="11"/>
      <color theme="1"/>
      <name val="Arial Narrow"/>
      <family val="2"/>
    </font>
    <font>
      <b/>
      <sz val="11"/>
      <color theme="1"/>
      <name val="Calibri"/>
      <family val="2"/>
    </font>
    <font>
      <i/>
      <sz val="11"/>
      <name val="Arial"/>
      <family val="2"/>
    </font>
    <font>
      <b/>
      <u/>
      <sz val="13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1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5" fillId="0" borderId="0" xfId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1" xfId="0" applyFont="1" applyBorder="1"/>
    <xf numFmtId="0" fontId="8" fillId="0" borderId="3" xfId="0" applyFont="1" applyBorder="1"/>
    <xf numFmtId="0" fontId="8" fillId="0" borderId="0" xfId="0" applyFont="1" applyBorder="1"/>
    <xf numFmtId="0" fontId="8" fillId="0" borderId="4" xfId="0" applyFont="1" applyBorder="1"/>
    <xf numFmtId="0" fontId="9" fillId="0" borderId="0" xfId="0" applyFont="1"/>
    <xf numFmtId="0" fontId="1" fillId="3" borderId="0" xfId="0" applyFont="1" applyFill="1" applyBorder="1"/>
    <xf numFmtId="0" fontId="8" fillId="0" borderId="16" xfId="0" applyFont="1" applyBorder="1"/>
    <xf numFmtId="0" fontId="1" fillId="0" borderId="0" xfId="0" applyFont="1" applyFill="1"/>
    <xf numFmtId="0" fontId="1" fillId="2" borderId="23" xfId="0" applyFont="1" applyFill="1" applyBorder="1"/>
    <xf numFmtId="0" fontId="8" fillId="3" borderId="0" xfId="0" applyFont="1" applyFill="1" applyBorder="1"/>
    <xf numFmtId="0" fontId="8" fillId="0" borderId="0" xfId="0" applyFont="1" applyFill="1" applyBorder="1"/>
    <xf numFmtId="0" fontId="1" fillId="0" borderId="0" xfId="0" applyFont="1" applyAlignment="1">
      <alignment wrapText="1"/>
    </xf>
    <xf numFmtId="0" fontId="1" fillId="0" borderId="0" xfId="0" applyFont="1" applyFill="1" applyBorder="1"/>
    <xf numFmtId="0" fontId="8" fillId="0" borderId="2" xfId="0" applyFont="1" applyBorder="1"/>
    <xf numFmtId="0" fontId="8" fillId="0" borderId="0" xfId="0" applyFont="1" applyAlignment="1">
      <alignment textRotation="90"/>
    </xf>
    <xf numFmtId="0" fontId="8" fillId="0" borderId="0" xfId="0" applyFont="1" applyFill="1"/>
    <xf numFmtId="0" fontId="8" fillId="0" borderId="0" xfId="0" applyFont="1" applyAlignment="1">
      <alignment wrapText="1"/>
    </xf>
    <xf numFmtId="0" fontId="8" fillId="0" borderId="0" xfId="0" applyFont="1" applyAlignment="1">
      <alignment textRotation="90" wrapText="1"/>
    </xf>
    <xf numFmtId="1" fontId="1" fillId="2" borderId="7" xfId="0" applyNumberFormat="1" applyFont="1" applyFill="1" applyBorder="1"/>
    <xf numFmtId="0" fontId="1" fillId="0" borderId="1" xfId="0" applyFont="1" applyFill="1" applyBorder="1"/>
    <xf numFmtId="0" fontId="6" fillId="0" borderId="1" xfId="0" applyFont="1" applyFill="1" applyBorder="1"/>
    <xf numFmtId="0" fontId="6" fillId="0" borderId="0" xfId="0" applyFont="1" applyFill="1" applyBorder="1"/>
    <xf numFmtId="164" fontId="8" fillId="0" borderId="0" xfId="0" applyNumberFormat="1" applyFont="1"/>
    <xf numFmtId="164" fontId="1" fillId="0" borderId="0" xfId="0" applyNumberFormat="1" applyFont="1" applyBorder="1"/>
    <xf numFmtId="164" fontId="8" fillId="0" borderId="1" xfId="0" applyNumberFormat="1" applyFont="1" applyBorder="1"/>
    <xf numFmtId="1" fontId="1" fillId="0" borderId="0" xfId="0" applyNumberFormat="1" applyFont="1" applyFill="1"/>
    <xf numFmtId="3" fontId="1" fillId="0" borderId="0" xfId="0" applyNumberFormat="1" applyFont="1"/>
    <xf numFmtId="1" fontId="1" fillId="0" borderId="26" xfId="0" applyNumberFormat="1" applyFont="1" applyFill="1" applyBorder="1"/>
    <xf numFmtId="1" fontId="1" fillId="2" borderId="10" xfId="0" applyNumberFormat="1" applyFont="1" applyFill="1" applyBorder="1"/>
    <xf numFmtId="1" fontId="1" fillId="2" borderId="34" xfId="0" applyNumberFormat="1" applyFont="1" applyFill="1" applyBorder="1"/>
    <xf numFmtId="0" fontId="12" fillId="0" borderId="0" xfId="0" applyFont="1"/>
    <xf numFmtId="3" fontId="6" fillId="0" borderId="0" xfId="0" applyNumberFormat="1" applyFont="1"/>
    <xf numFmtId="0" fontId="11" fillId="0" borderId="0" xfId="0" applyFont="1" applyFill="1"/>
    <xf numFmtId="0" fontId="8" fillId="2" borderId="13" xfId="0" applyFont="1" applyFill="1" applyBorder="1" applyAlignment="1" applyProtection="1">
      <protection locked="0"/>
    </xf>
    <xf numFmtId="0" fontId="8" fillId="2" borderId="14" xfId="0" applyFont="1" applyFill="1" applyBorder="1" applyAlignment="1" applyProtection="1">
      <protection locked="0"/>
    </xf>
    <xf numFmtId="0" fontId="8" fillId="2" borderId="15" xfId="0" applyFont="1" applyFill="1" applyBorder="1" applyAlignment="1" applyProtection="1">
      <protection locked="0"/>
    </xf>
    <xf numFmtId="0" fontId="1" fillId="2" borderId="6" xfId="0" applyFont="1" applyFill="1" applyBorder="1" applyProtection="1">
      <protection locked="0"/>
    </xf>
    <xf numFmtId="1" fontId="1" fillId="2" borderId="17" xfId="0" applyNumberFormat="1" applyFont="1" applyFill="1" applyBorder="1" applyProtection="1">
      <protection locked="0"/>
    </xf>
    <xf numFmtId="1" fontId="1" fillId="2" borderId="6" xfId="0" applyNumberFormat="1" applyFont="1" applyFill="1" applyBorder="1" applyProtection="1">
      <protection locked="0"/>
    </xf>
    <xf numFmtId="0" fontId="1" fillId="2" borderId="9" xfId="0" applyFont="1" applyFill="1" applyBorder="1" applyProtection="1">
      <protection locked="0"/>
    </xf>
    <xf numFmtId="1" fontId="1" fillId="2" borderId="18" xfId="0" applyNumberFormat="1" applyFont="1" applyFill="1" applyBorder="1" applyProtection="1">
      <protection locked="0"/>
    </xf>
    <xf numFmtId="1" fontId="1" fillId="2" borderId="9" xfId="0" applyNumberFormat="1" applyFont="1" applyFill="1" applyBorder="1" applyProtection="1">
      <protection locked="0"/>
    </xf>
    <xf numFmtId="1" fontId="1" fillId="2" borderId="30" xfId="0" applyNumberFormat="1" applyFont="1" applyFill="1" applyBorder="1" applyProtection="1">
      <protection locked="0"/>
    </xf>
    <xf numFmtId="0" fontId="1" fillId="2" borderId="30" xfId="0" applyFont="1" applyFill="1" applyBorder="1" applyProtection="1">
      <protection locked="0"/>
    </xf>
    <xf numFmtId="1" fontId="1" fillId="2" borderId="32" xfId="0" applyNumberFormat="1" applyFont="1" applyFill="1" applyBorder="1" applyProtection="1">
      <protection locked="0"/>
    </xf>
    <xf numFmtId="1" fontId="1" fillId="2" borderId="33" xfId="0" applyNumberFormat="1" applyFont="1" applyFill="1" applyBorder="1" applyProtection="1">
      <protection locked="0"/>
    </xf>
    <xf numFmtId="0" fontId="1" fillId="2" borderId="12" xfId="0" applyFont="1" applyFill="1" applyBorder="1" applyProtection="1">
      <protection locked="0"/>
    </xf>
    <xf numFmtId="1" fontId="1" fillId="2" borderId="19" xfId="0" applyNumberFormat="1" applyFont="1" applyFill="1" applyBorder="1" applyProtection="1">
      <protection locked="0"/>
    </xf>
    <xf numFmtId="1" fontId="1" fillId="2" borderId="12" xfId="0" applyNumberFormat="1" applyFont="1" applyFill="1" applyBorder="1" applyProtection="1">
      <protection locked="0"/>
    </xf>
    <xf numFmtId="1" fontId="1" fillId="2" borderId="15" xfId="0" applyNumberFormat="1" applyFont="1" applyFill="1" applyBorder="1" applyProtection="1">
      <protection locked="0"/>
    </xf>
    <xf numFmtId="0" fontId="1" fillId="2" borderId="5" xfId="0" applyFont="1" applyFill="1" applyBorder="1" applyProtection="1">
      <protection locked="0"/>
    </xf>
    <xf numFmtId="0" fontId="1" fillId="2" borderId="8" xfId="0" applyFont="1" applyFill="1" applyBorder="1" applyProtection="1">
      <protection locked="0"/>
    </xf>
    <xf numFmtId="0" fontId="1" fillId="2" borderId="31" xfId="0" applyFont="1" applyFill="1" applyBorder="1" applyProtection="1">
      <protection locked="0"/>
    </xf>
    <xf numFmtId="0" fontId="1" fillId="2" borderId="11" xfId="0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164" fontId="1" fillId="0" borderId="1" xfId="0" applyNumberFormat="1" applyFont="1" applyFill="1" applyBorder="1"/>
    <xf numFmtId="3" fontId="6" fillId="2" borderId="1" xfId="0" applyNumberFormat="1" applyFont="1" applyFill="1" applyBorder="1" applyProtection="1">
      <protection locked="0"/>
    </xf>
    <xf numFmtId="0" fontId="12" fillId="0" borderId="0" xfId="0" applyFont="1" applyAlignment="1">
      <alignment wrapText="1"/>
    </xf>
    <xf numFmtId="0" fontId="8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8" fillId="0" borderId="0" xfId="0" applyFont="1" applyProtection="1"/>
    <xf numFmtId="3" fontId="6" fillId="0" borderId="0" xfId="0" applyNumberFormat="1" applyFont="1" applyProtection="1"/>
    <xf numFmtId="0" fontId="1" fillId="0" borderId="0" xfId="0" applyFont="1" applyAlignment="1"/>
    <xf numFmtId="49" fontId="12" fillId="0" borderId="0" xfId="0" applyNumberFormat="1" applyFont="1"/>
    <xf numFmtId="49" fontId="1" fillId="2" borderId="36" xfId="0" applyNumberFormat="1" applyFont="1" applyFill="1" applyBorder="1"/>
    <xf numFmtId="0" fontId="1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Border="1" applyAlignment="1">
      <alignment vertical="top" wrapText="1"/>
    </xf>
    <xf numFmtId="0" fontId="8" fillId="2" borderId="2" xfId="0" applyFont="1" applyFill="1" applyBorder="1" applyProtection="1">
      <protection locked="0"/>
    </xf>
    <xf numFmtId="49" fontId="0" fillId="0" borderId="0" xfId="0" applyNumberFormat="1" applyAlignment="1">
      <alignment wrapText="1"/>
    </xf>
    <xf numFmtId="0" fontId="4" fillId="0" borderId="0" xfId="1"/>
    <xf numFmtId="0" fontId="0" fillId="0" borderId="4" xfId="0" applyBorder="1" applyAlignment="1" applyProtection="1">
      <protection locked="0"/>
    </xf>
    <xf numFmtId="0" fontId="4" fillId="0" borderId="0" xfId="1" applyAlignment="1">
      <alignment vertical="center"/>
    </xf>
    <xf numFmtId="0" fontId="8" fillId="0" borderId="4" xfId="0" applyFont="1" applyBorder="1" applyAlignment="1" applyProtection="1">
      <protection locked="0"/>
    </xf>
    <xf numFmtId="0" fontId="0" fillId="2" borderId="4" xfId="0" applyFill="1" applyBorder="1" applyAlignment="1" applyProtection="1">
      <protection locked="0"/>
    </xf>
    <xf numFmtId="0" fontId="0" fillId="2" borderId="3" xfId="0" applyFill="1" applyBorder="1" applyAlignment="1" applyProtection="1">
      <protection locked="0"/>
    </xf>
    <xf numFmtId="0" fontId="0" fillId="2" borderId="2" xfId="0" applyFill="1" applyBorder="1" applyAlignment="1" applyProtection="1">
      <protection locked="0"/>
    </xf>
    <xf numFmtId="0" fontId="16" fillId="2" borderId="23" xfId="0" applyFont="1" applyFill="1" applyBorder="1"/>
    <xf numFmtId="0" fontId="14" fillId="0" borderId="0" xfId="0" applyFont="1"/>
    <xf numFmtId="0" fontId="8" fillId="0" borderId="0" xfId="0" applyFont="1" applyAlignment="1"/>
    <xf numFmtId="0" fontId="1" fillId="0" borderId="1" xfId="0" applyFont="1" applyFill="1" applyBorder="1" applyProtection="1">
      <protection locked="0"/>
    </xf>
    <xf numFmtId="0" fontId="8" fillId="2" borderId="4" xfId="0" applyFont="1" applyFill="1" applyBorder="1"/>
    <xf numFmtId="0" fontId="8" fillId="0" borderId="4" xfId="0" applyFont="1" applyFill="1" applyBorder="1"/>
    <xf numFmtId="0" fontId="8" fillId="0" borderId="3" xfId="0" applyFont="1" applyFill="1" applyBorder="1"/>
    <xf numFmtId="164" fontId="1" fillId="2" borderId="1" xfId="0" applyNumberFormat="1" applyFont="1" applyFill="1" applyBorder="1" applyProtection="1">
      <protection locked="0"/>
    </xf>
    <xf numFmtId="0" fontId="19" fillId="0" borderId="0" xfId="0" applyFont="1"/>
    <xf numFmtId="0" fontId="20" fillId="0" borderId="0" xfId="0" applyFont="1"/>
    <xf numFmtId="0" fontId="20" fillId="0" borderId="0" xfId="0" applyFont="1" applyProtection="1">
      <protection locked="0"/>
    </xf>
    <xf numFmtId="0" fontId="21" fillId="0" borderId="0" xfId="0" applyFont="1"/>
    <xf numFmtId="0" fontId="14" fillId="4" borderId="0" xfId="0" applyFont="1" applyFill="1" applyAlignment="1"/>
    <xf numFmtId="3" fontId="14" fillId="4" borderId="0" xfId="0" applyNumberFormat="1" applyFont="1" applyFill="1" applyAlignment="1"/>
    <xf numFmtId="0" fontId="12" fillId="0" borderId="0" xfId="0" applyFont="1" applyFill="1"/>
    <xf numFmtId="0" fontId="14" fillId="0" borderId="0" xfId="0" applyFont="1" applyFill="1" applyAlignment="1"/>
    <xf numFmtId="3" fontId="14" fillId="0" borderId="0" xfId="0" applyNumberFormat="1" applyFont="1" applyFill="1" applyAlignment="1"/>
    <xf numFmtId="0" fontId="1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3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8" fillId="2" borderId="2" xfId="0" applyFont="1" applyFill="1" applyBorder="1" applyAlignment="1" applyProtection="1">
      <protection locked="0"/>
    </xf>
    <xf numFmtId="0" fontId="0" fillId="0" borderId="4" xfId="0" applyBorder="1" applyAlignment="1"/>
    <xf numFmtId="0" fontId="0" fillId="0" borderId="3" xfId="0" applyBorder="1" applyAlignment="1"/>
    <xf numFmtId="0" fontId="0" fillId="0" borderId="4" xfId="0" applyBorder="1" applyAlignment="1" applyProtection="1">
      <protection locked="0"/>
    </xf>
    <xf numFmtId="0" fontId="0" fillId="0" borderId="3" xfId="0" applyBorder="1" applyAlignment="1" applyProtection="1">
      <protection locked="0"/>
    </xf>
    <xf numFmtId="0" fontId="1" fillId="2" borderId="35" xfId="0" applyFont="1" applyFill="1" applyBorder="1" applyAlignment="1" applyProtection="1">
      <alignment vertical="top" wrapText="1"/>
      <protection locked="0"/>
    </xf>
    <xf numFmtId="0" fontId="0" fillId="0" borderId="35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1" fillId="0" borderId="0" xfId="0" applyFont="1" applyAlignment="1" applyProtection="1">
      <protection locked="0"/>
    </xf>
    <xf numFmtId="0" fontId="0" fillId="0" borderId="0" xfId="0" applyAlignment="1" applyProtection="1">
      <protection locked="0"/>
    </xf>
    <xf numFmtId="0" fontId="1" fillId="2" borderId="36" xfId="0" applyFont="1" applyFill="1" applyBorder="1" applyAlignment="1" applyProtection="1">
      <protection locked="0"/>
    </xf>
    <xf numFmtId="0" fontId="0" fillId="2" borderId="36" xfId="0" applyFill="1" applyBorder="1" applyAlignment="1" applyProtection="1">
      <protection locked="0"/>
    </xf>
    <xf numFmtId="0" fontId="8" fillId="2" borderId="13" xfId="0" applyFont="1" applyFill="1" applyBorder="1" applyAlignment="1" applyProtection="1">
      <protection locked="0"/>
    </xf>
    <xf numFmtId="0" fontId="0" fillId="0" borderId="21" xfId="0" applyBorder="1" applyAlignment="1" applyProtection="1">
      <protection locked="0"/>
    </xf>
    <xf numFmtId="0" fontId="0" fillId="0" borderId="27" xfId="0" applyBorder="1" applyAlignment="1" applyProtection="1">
      <protection locked="0"/>
    </xf>
    <xf numFmtId="0" fontId="8" fillId="2" borderId="14" xfId="0" applyFont="1" applyFill="1" applyBorder="1" applyAlignment="1" applyProtection="1">
      <protection locked="0"/>
    </xf>
    <xf numFmtId="0" fontId="0" fillId="0" borderId="23" xfId="0" applyBorder="1" applyAlignment="1" applyProtection="1">
      <protection locked="0"/>
    </xf>
    <xf numFmtId="0" fontId="0" fillId="0" borderId="28" xfId="0" applyBorder="1" applyAlignment="1" applyProtection="1">
      <protection locked="0"/>
    </xf>
    <xf numFmtId="0" fontId="8" fillId="2" borderId="24" xfId="0" applyFont="1" applyFill="1" applyBorder="1" applyAlignment="1" applyProtection="1">
      <protection locked="0"/>
    </xf>
    <xf numFmtId="0" fontId="0" fillId="0" borderId="19" xfId="0" applyBorder="1" applyAlignment="1" applyProtection="1">
      <protection locked="0"/>
    </xf>
    <xf numFmtId="0" fontId="8" fillId="2" borderId="15" xfId="0" applyFont="1" applyFill="1" applyBorder="1" applyAlignment="1" applyProtection="1">
      <protection locked="0"/>
    </xf>
    <xf numFmtId="0" fontId="0" fillId="0" borderId="25" xfId="0" applyBorder="1" applyAlignment="1" applyProtection="1">
      <protection locked="0"/>
    </xf>
    <xf numFmtId="0" fontId="0" fillId="0" borderId="29" xfId="0" applyBorder="1" applyAlignment="1" applyProtection="1">
      <protection locked="0"/>
    </xf>
    <xf numFmtId="0" fontId="0" fillId="0" borderId="18" xfId="0" applyBorder="1" applyAlignment="1" applyProtection="1">
      <protection locked="0"/>
    </xf>
    <xf numFmtId="0" fontId="8" fillId="2" borderId="22" xfId="0" applyFont="1" applyFill="1" applyBorder="1" applyAlignment="1" applyProtection="1">
      <protection locked="0"/>
    </xf>
    <xf numFmtId="49" fontId="14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0" fontId="0" fillId="0" borderId="17" xfId="0" applyBorder="1" applyAlignment="1" applyProtection="1">
      <protection locked="0"/>
    </xf>
    <xf numFmtId="0" fontId="8" fillId="2" borderId="20" xfId="0" applyFont="1" applyFill="1" applyBorder="1" applyAlignment="1" applyProtection="1">
      <protection locked="0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checked="Checked" lockText="1"/>
</file>

<file path=xl/ctrlProps/ctrlProp3.xml><?xml version="1.0" encoding="utf-8"?>
<formControlPr xmlns="http://schemas.microsoft.com/office/spreadsheetml/2009/9/main" objectType="Drop" dropLines="6" dropStyle="combo" dx="16" fmlaLink="$Q$3" fmlaRange="$P$3:$P$8" noThreeD="1" sel="1" val="0"/>
</file>

<file path=xl/ctrlProps/ctrlProp4.xml><?xml version="1.0" encoding="utf-8"?>
<formControlPr xmlns="http://schemas.microsoft.com/office/spreadsheetml/2009/9/main" objectType="Radio" checked="Checked" firstButton="1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Radio" firstButton="1" lockText="1" noThreeD="1"/>
</file>

<file path=xl/ctrlProps/ctrlProp8.xml><?xml version="1.0" encoding="utf-8"?>
<formControlPr xmlns="http://schemas.microsoft.com/office/spreadsheetml/2009/9/main" objectType="Radio" checked="Checked" lockText="1" noThreeD="1"/>
</file>

<file path=xl/ctrlProps/ctrlProp9.xml><?xml version="1.0" encoding="utf-8"?>
<formControlPr xmlns="http://schemas.microsoft.com/office/spreadsheetml/2009/9/main" objectType="GBox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GBox" noThreeD="1"/>
</file>

<file path=xl/ctrlProps/ctrlProp15.xml><?xml version="1.0" encoding="utf-8"?>
<formControlPr xmlns="http://schemas.microsoft.com/office/spreadsheetml/2009/9/main" objectType="Radio" checked="Checked" firstButton="1" lockText="1" noThreeD="1"/>
</file>

<file path=xl/ctrlProps/ctrlProp16.xml><?xml version="1.0" encoding="utf-8"?>
<formControlPr xmlns="http://schemas.microsoft.com/office/spreadsheetml/2009/9/main" objectType="Radio" lockText="1" noThreeD="1"/>
</file>

<file path=xl/ctrlProps/ctrlProp17.xml><?xml version="1.0" encoding="utf-8"?>
<formControlPr xmlns="http://schemas.microsoft.com/office/spreadsheetml/2009/9/main" objectType="Drop" dropStyle="combo" dx="16" fmlaLink="D93" fmlaRange="$N$92:$N$94" noThreeD="1" sel="3" val="0"/>
</file>

<file path=xl/ctrlProps/ctrlProp18.xml><?xml version="1.0" encoding="utf-8"?>
<formControlPr xmlns="http://schemas.microsoft.com/office/spreadsheetml/2009/9/main" objectType="Drop" dropStyle="combo" dx="16" fmlaLink="D94" fmlaRange="$N$92:$N$94" noThreeD="1" sel="3" val="0"/>
</file>

<file path=xl/ctrlProps/ctrlProp19.xml><?xml version="1.0" encoding="utf-8"?>
<formControlPr xmlns="http://schemas.microsoft.com/office/spreadsheetml/2009/9/main" objectType="Drop" dropStyle="combo" dx="16" fmlaLink="#REF!" fmlaRange="$N$92:$N$96" noThreeD="1" sel="2" val="0"/>
</file>

<file path=xl/ctrlProps/ctrlProp20.xml><?xml version="1.0" encoding="utf-8"?>
<formControlPr xmlns="http://schemas.microsoft.com/office/spreadsheetml/2009/9/main" objectType="Drop" dropStyle="combo" dx="16" fmlaLink="#REF!" fmlaRange="$N$92:$N$96" noThreeD="1" sel="3" val="0"/>
</file>

<file path=xl/ctrlProps/ctrlProp21.xml><?xml version="1.0" encoding="utf-8"?>
<formControlPr xmlns="http://schemas.microsoft.com/office/spreadsheetml/2009/9/main" objectType="Drop" dropStyle="combo" dx="16" fmlaLink="D95" fmlaRange="$N$92:$N$94" noThreeD="1" sel="3" val="0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647700</xdr:colOff>
      <xdr:row>0</xdr:row>
      <xdr:rowOff>9525</xdr:rowOff>
    </xdr:from>
    <xdr:to>
      <xdr:col>11</xdr:col>
      <xdr:colOff>657225</xdr:colOff>
      <xdr:row>4</xdr:row>
      <xdr:rowOff>7620</xdr:rowOff>
    </xdr:to>
    <xdr:pic>
      <xdr:nvPicPr>
        <xdr:cNvPr id="2" name="Grafik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8475" y="9525"/>
          <a:ext cx="2152650" cy="72199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68580</xdr:colOff>
          <xdr:row>19</xdr:row>
          <xdr:rowOff>266700</xdr:rowOff>
        </xdr:from>
        <xdr:to>
          <xdr:col>5</xdr:col>
          <xdr:colOff>22860</xdr:colOff>
          <xdr:row>21</xdr:row>
          <xdr:rowOff>30480</xdr:rowOff>
        </xdr:to>
        <xdr:sp macro="" textlink="">
          <xdr:nvSpPr>
            <xdr:cNvPr id="1025" name="Check Box 1" descr="eidg. dipl. Landwirt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eidg. dipl. Landwirt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20</xdr:row>
          <xdr:rowOff>22860</xdr:rowOff>
        </xdr:from>
        <xdr:to>
          <xdr:col>8</xdr:col>
          <xdr:colOff>601980</xdr:colOff>
          <xdr:row>20</xdr:row>
          <xdr:rowOff>266700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Betriebsleiterschule / Meisterlandwirt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22</xdr:row>
          <xdr:rowOff>22860</xdr:rowOff>
        </xdr:from>
        <xdr:to>
          <xdr:col>4</xdr:col>
          <xdr:colOff>76200</xdr:colOff>
          <xdr:row>22</xdr:row>
          <xdr:rowOff>274320</xdr:rowOff>
        </xdr:to>
        <xdr:sp macro="" textlink="">
          <xdr:nvSpPr>
            <xdr:cNvPr id="1029" name="Drop Down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388620</xdr:colOff>
          <xdr:row>33</xdr:row>
          <xdr:rowOff>152400</xdr:rowOff>
        </xdr:from>
        <xdr:to>
          <xdr:col>6</xdr:col>
          <xdr:colOff>457200</xdr:colOff>
          <xdr:row>35</xdr:row>
          <xdr:rowOff>30480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einzelbetrieblich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883920</xdr:colOff>
          <xdr:row>33</xdr:row>
          <xdr:rowOff>160020</xdr:rowOff>
        </xdr:from>
        <xdr:to>
          <xdr:col>9</xdr:col>
          <xdr:colOff>259080</xdr:colOff>
          <xdr:row>35</xdr:row>
          <xdr:rowOff>22860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überbetrieblich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327660</xdr:colOff>
          <xdr:row>33</xdr:row>
          <xdr:rowOff>45720</xdr:rowOff>
        </xdr:from>
        <xdr:to>
          <xdr:col>10</xdr:col>
          <xdr:colOff>76200</xdr:colOff>
          <xdr:row>35</xdr:row>
          <xdr:rowOff>83820</xdr:rowOff>
        </xdr:to>
        <xdr:sp macro="" textlink="">
          <xdr:nvSpPr>
            <xdr:cNvPr id="1032" name="Group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7432" rIns="0" bIns="0" anchor="t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bitte auswählen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617220</xdr:colOff>
          <xdr:row>77</xdr:row>
          <xdr:rowOff>0</xdr:rowOff>
        </xdr:from>
        <xdr:to>
          <xdr:col>3</xdr:col>
          <xdr:colOff>533400</xdr:colOff>
          <xdr:row>78</xdr:row>
          <xdr:rowOff>7620</xdr:rowOff>
        </xdr:to>
        <xdr:sp macro="" textlink="">
          <xdr:nvSpPr>
            <xdr:cNvPr id="1033" name="Option Button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77</xdr:row>
          <xdr:rowOff>0</xdr:rowOff>
        </xdr:from>
        <xdr:to>
          <xdr:col>5</xdr:col>
          <xdr:colOff>609600</xdr:colOff>
          <xdr:row>78</xdr:row>
          <xdr:rowOff>38100</xdr:rowOff>
        </xdr:to>
        <xdr:sp macro="" textlink="">
          <xdr:nvSpPr>
            <xdr:cNvPr id="1034" name="Option Button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nein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152400</xdr:colOff>
          <xdr:row>76</xdr:row>
          <xdr:rowOff>22860</xdr:rowOff>
        </xdr:from>
        <xdr:to>
          <xdr:col>6</xdr:col>
          <xdr:colOff>426720</xdr:colOff>
          <xdr:row>79</xdr:row>
          <xdr:rowOff>0</xdr:rowOff>
        </xdr:to>
        <xdr:sp macro="" textlink="">
          <xdr:nvSpPr>
            <xdr:cNvPr id="1035" name="Group Box 11" descr="bitte auswählen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7432" rIns="0" bIns="0" anchor="t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bitte auswählen</a:t>
              </a:r>
            </a:p>
          </xdr:txBody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678180</xdr:colOff>
          <xdr:row>107</xdr:row>
          <xdr:rowOff>30480</xdr:rowOff>
        </xdr:from>
        <xdr:to>
          <xdr:col>8</xdr:col>
          <xdr:colOff>0</xdr:colOff>
          <xdr:row>108</xdr:row>
          <xdr:rowOff>30480</xdr:rowOff>
        </xdr:to>
        <xdr:sp macro="" textlink="">
          <xdr:nvSpPr>
            <xdr:cNvPr id="1054" name="Kopie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Kopie Veranlagungsprotokoll der letzten Steuerveranlagung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1150620</xdr:colOff>
          <xdr:row>107</xdr:row>
          <xdr:rowOff>22860</xdr:rowOff>
        </xdr:from>
        <xdr:to>
          <xdr:col>3</xdr:col>
          <xdr:colOff>502920</xdr:colOff>
          <xdr:row>108</xdr:row>
          <xdr:rowOff>30480</xdr:rowOff>
        </xdr:to>
        <xdr:sp macro="" textlink="">
          <xdr:nvSpPr>
            <xdr:cNvPr id="1056" name="Check Box 32" descr="Kostenvoranschlag (unterzeichnet)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Kostenvoranschlag (unterzeichnet)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1150620</xdr:colOff>
          <xdr:row>106</xdr:row>
          <xdr:rowOff>7620</xdr:rowOff>
        </xdr:from>
        <xdr:to>
          <xdr:col>3</xdr:col>
          <xdr:colOff>251460</xdr:colOff>
          <xdr:row>107</xdr:row>
          <xdr:rowOff>22860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Situationsplan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678180</xdr:colOff>
          <xdr:row>106</xdr:row>
          <xdr:rowOff>7620</xdr:rowOff>
        </xdr:from>
        <xdr:to>
          <xdr:col>10</xdr:col>
          <xdr:colOff>0</xdr:colOff>
          <xdr:row>107</xdr:row>
          <xdr:rowOff>22860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Grundriss, Schnitt mit eingez. Entwässerung oder Entwässerungsplan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693420</xdr:colOff>
          <xdr:row>25</xdr:row>
          <xdr:rowOff>144780</xdr:rowOff>
        </xdr:from>
        <xdr:to>
          <xdr:col>6</xdr:col>
          <xdr:colOff>259080</xdr:colOff>
          <xdr:row>28</xdr:row>
          <xdr:rowOff>152400</xdr:rowOff>
        </xdr:to>
        <xdr:sp macro="" textlink="">
          <xdr:nvSpPr>
            <xdr:cNvPr id="1059" name="Group Box 35" descr="bitte auswählen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7432" rIns="0" bIns="0" anchor="t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bitte auswählen</a:t>
              </a:r>
            </a:p>
          </xdr:txBody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160020</xdr:colOff>
          <xdr:row>26</xdr:row>
          <xdr:rowOff>99060</xdr:rowOff>
        </xdr:from>
        <xdr:to>
          <xdr:col>2</xdr:col>
          <xdr:colOff>571500</xdr:colOff>
          <xdr:row>28</xdr:row>
          <xdr:rowOff>22860</xdr:rowOff>
        </xdr:to>
        <xdr:sp macro="" textlink="">
          <xdr:nvSpPr>
            <xdr:cNvPr id="1060" name="Option Button 36" descr="Ja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26</xdr:row>
          <xdr:rowOff>121920</xdr:rowOff>
        </xdr:from>
        <xdr:to>
          <xdr:col>4</xdr:col>
          <xdr:colOff>487680</xdr:colOff>
          <xdr:row>28</xdr:row>
          <xdr:rowOff>0</xdr:rowOff>
        </xdr:to>
        <xdr:sp macro="" textlink="">
          <xdr:nvSpPr>
            <xdr:cNvPr id="1061" name="Option Button 37" descr="nein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Nein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92</xdr:row>
          <xdr:rowOff>0</xdr:rowOff>
        </xdr:from>
        <xdr:to>
          <xdr:col>4</xdr:col>
          <xdr:colOff>312420</xdr:colOff>
          <xdr:row>92</xdr:row>
          <xdr:rowOff>198120</xdr:rowOff>
        </xdr:to>
        <xdr:sp macro="" textlink="">
          <xdr:nvSpPr>
            <xdr:cNvPr id="1069" name="Drop Down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93</xdr:row>
          <xdr:rowOff>0</xdr:rowOff>
        </xdr:from>
        <xdr:to>
          <xdr:col>4</xdr:col>
          <xdr:colOff>312420</xdr:colOff>
          <xdr:row>93</xdr:row>
          <xdr:rowOff>198120</xdr:rowOff>
        </xdr:to>
        <xdr:sp macro="" textlink="">
          <xdr:nvSpPr>
            <xdr:cNvPr id="1070" name="Drop Down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95</xdr:row>
          <xdr:rowOff>0</xdr:rowOff>
        </xdr:from>
        <xdr:to>
          <xdr:col>4</xdr:col>
          <xdr:colOff>312420</xdr:colOff>
          <xdr:row>95</xdr:row>
          <xdr:rowOff>198120</xdr:rowOff>
        </xdr:to>
        <xdr:sp macro="" textlink="">
          <xdr:nvSpPr>
            <xdr:cNvPr id="1073" name="Drop Down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95</xdr:row>
          <xdr:rowOff>0</xdr:rowOff>
        </xdr:from>
        <xdr:to>
          <xdr:col>4</xdr:col>
          <xdr:colOff>312420</xdr:colOff>
          <xdr:row>95</xdr:row>
          <xdr:rowOff>198120</xdr:rowOff>
        </xdr:to>
        <xdr:sp macro="" textlink="">
          <xdr:nvSpPr>
            <xdr:cNvPr id="1074" name="Drop Down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94</xdr:row>
          <xdr:rowOff>0</xdr:rowOff>
        </xdr:from>
        <xdr:to>
          <xdr:col>4</xdr:col>
          <xdr:colOff>312420</xdr:colOff>
          <xdr:row>94</xdr:row>
          <xdr:rowOff>198120</xdr:rowOff>
        </xdr:to>
        <xdr:sp macro="" textlink="">
          <xdr:nvSpPr>
            <xdr:cNvPr id="1075" name="Drop Down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1150620</xdr:colOff>
          <xdr:row>108</xdr:row>
          <xdr:rowOff>22860</xdr:rowOff>
        </xdr:from>
        <xdr:to>
          <xdr:col>3</xdr:col>
          <xdr:colOff>502920</xdr:colOff>
          <xdr:row>109</xdr:row>
          <xdr:rowOff>30480</xdr:rowOff>
        </xdr:to>
        <xdr:sp macro="" textlink="">
          <xdr:nvSpPr>
            <xdr:cNvPr id="1076" name="Check Box 52" descr="Kostenvoranschlag (unterzeichnet)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Baubewilligung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678180</xdr:colOff>
          <xdr:row>108</xdr:row>
          <xdr:rowOff>30480</xdr:rowOff>
        </xdr:from>
        <xdr:to>
          <xdr:col>6</xdr:col>
          <xdr:colOff>533400</xdr:colOff>
          <xdr:row>109</xdr:row>
          <xdr:rowOff>38100</xdr:rowOff>
        </xdr:to>
        <xdr:sp macro="" textlink="">
          <xdr:nvSpPr>
            <xdr:cNvPr id="1079" name="Check Box 55" descr="Kostenvoranschlag (unterzeichnet)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Publikationsnachweis Amtsblatt</a:t>
              </a:r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13" Type="http://schemas.openxmlformats.org/officeDocument/2006/relationships/ctrlProp" Target="../ctrlProps/ctrlProp8.xml"/><Relationship Id="rId18" Type="http://schemas.openxmlformats.org/officeDocument/2006/relationships/ctrlProp" Target="../ctrlProps/ctrlProp13.xml"/><Relationship Id="rId26" Type="http://schemas.openxmlformats.org/officeDocument/2006/relationships/ctrlProp" Target="../ctrlProps/ctrlProp21.xml"/><Relationship Id="rId3" Type="http://schemas.openxmlformats.org/officeDocument/2006/relationships/printerSettings" Target="../printerSettings/printerSettings1.bin"/><Relationship Id="rId21" Type="http://schemas.openxmlformats.org/officeDocument/2006/relationships/ctrlProp" Target="../ctrlProps/ctrlProp16.xml"/><Relationship Id="rId7" Type="http://schemas.openxmlformats.org/officeDocument/2006/relationships/ctrlProp" Target="../ctrlProps/ctrlProp2.xml"/><Relationship Id="rId12" Type="http://schemas.openxmlformats.org/officeDocument/2006/relationships/ctrlProp" Target="../ctrlProps/ctrlProp7.xml"/><Relationship Id="rId17" Type="http://schemas.openxmlformats.org/officeDocument/2006/relationships/ctrlProp" Target="../ctrlProps/ctrlProp12.xml"/><Relationship Id="rId25" Type="http://schemas.openxmlformats.org/officeDocument/2006/relationships/ctrlProp" Target="../ctrlProps/ctrlProp20.xml"/><Relationship Id="rId2" Type="http://schemas.openxmlformats.org/officeDocument/2006/relationships/hyperlink" Target="mailto:gerd.mayer@sh.ch" TargetMode="External"/><Relationship Id="rId16" Type="http://schemas.openxmlformats.org/officeDocument/2006/relationships/ctrlProp" Target="../ctrlProps/ctrlProp11.xml"/><Relationship Id="rId20" Type="http://schemas.openxmlformats.org/officeDocument/2006/relationships/ctrlProp" Target="../ctrlProps/ctrlProp15.xml"/><Relationship Id="rId1" Type="http://schemas.openxmlformats.org/officeDocument/2006/relationships/hyperlink" Target="http://www.la.sh.ch/" TargetMode="External"/><Relationship Id="rId6" Type="http://schemas.openxmlformats.org/officeDocument/2006/relationships/ctrlProp" Target="../ctrlProps/ctrlProp1.xml"/><Relationship Id="rId11" Type="http://schemas.openxmlformats.org/officeDocument/2006/relationships/ctrlProp" Target="../ctrlProps/ctrlProp6.xml"/><Relationship Id="rId24" Type="http://schemas.openxmlformats.org/officeDocument/2006/relationships/ctrlProp" Target="../ctrlProps/ctrlProp19.xml"/><Relationship Id="rId5" Type="http://schemas.openxmlformats.org/officeDocument/2006/relationships/vmlDrawing" Target="../drawings/vmlDrawing1.vml"/><Relationship Id="rId15" Type="http://schemas.openxmlformats.org/officeDocument/2006/relationships/ctrlProp" Target="../ctrlProps/ctrlProp10.xml"/><Relationship Id="rId23" Type="http://schemas.openxmlformats.org/officeDocument/2006/relationships/ctrlProp" Target="../ctrlProps/ctrlProp18.xml"/><Relationship Id="rId28" Type="http://schemas.openxmlformats.org/officeDocument/2006/relationships/ctrlProp" Target="../ctrlProps/ctrlProp23.xml"/><Relationship Id="rId10" Type="http://schemas.openxmlformats.org/officeDocument/2006/relationships/ctrlProp" Target="../ctrlProps/ctrlProp5.xml"/><Relationship Id="rId19" Type="http://schemas.openxmlformats.org/officeDocument/2006/relationships/ctrlProp" Target="../ctrlProps/ctrlProp14.xml"/><Relationship Id="rId4" Type="http://schemas.openxmlformats.org/officeDocument/2006/relationships/drawing" Target="../drawings/drawing1.xml"/><Relationship Id="rId9" Type="http://schemas.openxmlformats.org/officeDocument/2006/relationships/ctrlProp" Target="../ctrlProps/ctrlProp4.xml"/><Relationship Id="rId14" Type="http://schemas.openxmlformats.org/officeDocument/2006/relationships/ctrlProp" Target="../ctrlProps/ctrlProp9.xml"/><Relationship Id="rId22" Type="http://schemas.openxmlformats.org/officeDocument/2006/relationships/ctrlProp" Target="../ctrlProps/ctrlProp17.xml"/><Relationship Id="rId27" Type="http://schemas.openxmlformats.org/officeDocument/2006/relationships/ctrlProp" Target="../ctrlProps/ctrlProp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1"/>
  <dimension ref="A1:R109"/>
  <sheetViews>
    <sheetView tabSelected="1" zoomScaleNormal="100" workbookViewId="0">
      <selection activeCell="H16" sqref="H16"/>
    </sheetView>
  </sheetViews>
  <sheetFormatPr baseColWidth="10" defaultColWidth="11.44140625" defaultRowHeight="13.8" x14ac:dyDescent="0.25"/>
  <cols>
    <col min="1" max="1" width="17.33203125" style="1" customWidth="1"/>
    <col min="2" max="13" width="10" style="1" customWidth="1"/>
    <col min="14" max="14" width="17" style="1" hidden="1" customWidth="1"/>
    <col min="15" max="15" width="10" style="1" customWidth="1"/>
    <col min="16" max="16" width="19.6640625" style="1" customWidth="1"/>
    <col min="17" max="17" width="21.33203125" style="1" customWidth="1"/>
    <col min="18" max="18" width="11.44140625" style="1" customWidth="1"/>
    <col min="19" max="16384" width="11.44140625" style="1"/>
  </cols>
  <sheetData>
    <row r="1" spans="1:17" ht="14.25" customHeight="1" x14ac:dyDescent="0.25">
      <c r="A1" s="3" t="s">
        <v>0</v>
      </c>
    </row>
    <row r="2" spans="1:17" ht="14.25" customHeight="1" x14ac:dyDescent="0.25">
      <c r="A2" s="2" t="s">
        <v>1</v>
      </c>
      <c r="P2" s="94" t="s">
        <v>9</v>
      </c>
      <c r="Q2" s="95" t="s">
        <v>21</v>
      </c>
    </row>
    <row r="3" spans="1:17" ht="14.25" customHeight="1" x14ac:dyDescent="0.25">
      <c r="A3" s="2" t="s">
        <v>100</v>
      </c>
      <c r="P3" s="95" t="s">
        <v>20</v>
      </c>
      <c r="Q3" s="96">
        <v>1</v>
      </c>
    </row>
    <row r="4" spans="1:17" ht="14.25" customHeight="1" x14ac:dyDescent="0.25">
      <c r="A4" s="2" t="s">
        <v>101</v>
      </c>
      <c r="P4" s="97" t="s">
        <v>15</v>
      </c>
      <c r="Q4" s="95"/>
    </row>
    <row r="5" spans="1:17" ht="7.5" customHeight="1" x14ac:dyDescent="0.25">
      <c r="A5" s="2"/>
      <c r="P5" s="97" t="s">
        <v>16</v>
      </c>
      <c r="Q5" s="95"/>
    </row>
    <row r="6" spans="1:17" x14ac:dyDescent="0.25">
      <c r="A6" s="5" t="s">
        <v>2</v>
      </c>
      <c r="C6" s="105" t="s">
        <v>91</v>
      </c>
      <c r="D6" s="106"/>
      <c r="E6" s="106"/>
      <c r="F6" s="106"/>
      <c r="G6" s="106"/>
      <c r="H6" s="106"/>
      <c r="I6" s="106"/>
      <c r="J6" s="106"/>
      <c r="K6" s="106"/>
      <c r="L6" s="106"/>
      <c r="P6" s="97" t="s">
        <v>17</v>
      </c>
      <c r="Q6" s="95"/>
    </row>
    <row r="7" spans="1:17" ht="8.25" customHeight="1" x14ac:dyDescent="0.25">
      <c r="A7" s="2"/>
      <c r="C7" s="106"/>
      <c r="D7" s="106"/>
      <c r="E7" s="106"/>
      <c r="F7" s="106"/>
      <c r="G7" s="106"/>
      <c r="H7" s="106"/>
      <c r="I7" s="106"/>
      <c r="J7" s="106"/>
      <c r="K7" s="106"/>
      <c r="L7" s="106"/>
      <c r="P7" s="97" t="s">
        <v>18</v>
      </c>
      <c r="Q7" s="95"/>
    </row>
    <row r="8" spans="1:17" ht="14.25" customHeight="1" x14ac:dyDescent="0.25">
      <c r="A8" s="4" t="s">
        <v>102</v>
      </c>
      <c r="B8" s="4"/>
      <c r="C8" s="106"/>
      <c r="D8" s="106"/>
      <c r="E8" s="106"/>
      <c r="F8" s="106"/>
      <c r="G8" s="106"/>
      <c r="H8" s="106"/>
      <c r="I8" s="106"/>
      <c r="J8" s="106"/>
      <c r="K8" s="106"/>
      <c r="L8" s="106"/>
      <c r="P8" s="97" t="s">
        <v>19</v>
      </c>
      <c r="Q8" s="95"/>
    </row>
    <row r="9" spans="1:17" ht="14.25" customHeight="1" x14ac:dyDescent="0.25">
      <c r="A9" s="81" t="s">
        <v>81</v>
      </c>
      <c r="B9" s="4"/>
      <c r="C9" s="106"/>
      <c r="D9" s="106"/>
      <c r="E9" s="106"/>
      <c r="F9" s="106"/>
      <c r="G9" s="106"/>
      <c r="H9" s="106"/>
      <c r="I9" s="106"/>
      <c r="J9" s="106"/>
      <c r="K9" s="106"/>
      <c r="L9" s="106"/>
    </row>
    <row r="10" spans="1:17" ht="14.25" customHeight="1" x14ac:dyDescent="0.3">
      <c r="A10" s="79"/>
      <c r="C10" s="106"/>
      <c r="D10" s="106"/>
      <c r="E10" s="106"/>
      <c r="F10" s="106"/>
      <c r="G10" s="106"/>
      <c r="H10" s="106"/>
      <c r="I10" s="106"/>
      <c r="J10" s="106"/>
      <c r="K10" s="106"/>
      <c r="L10" s="106"/>
    </row>
    <row r="11" spans="1:17" ht="14.25" customHeight="1" x14ac:dyDescent="0.25">
      <c r="A11" s="5"/>
      <c r="C11" s="106"/>
      <c r="D11" s="106"/>
      <c r="E11" s="106"/>
      <c r="F11" s="106"/>
      <c r="G11" s="106"/>
      <c r="H11" s="106"/>
      <c r="I11" s="106"/>
      <c r="J11" s="106"/>
      <c r="K11" s="106"/>
      <c r="L11" s="106"/>
    </row>
    <row r="12" spans="1:17" x14ac:dyDescent="0.25">
      <c r="A12" s="2"/>
    </row>
    <row r="13" spans="1:17" ht="17.399999999999999" x14ac:dyDescent="0.3">
      <c r="A13" s="7" t="s">
        <v>68</v>
      </c>
    </row>
    <row r="14" spans="1:17" x14ac:dyDescent="0.25">
      <c r="A14" s="1" t="s">
        <v>103</v>
      </c>
    </row>
    <row r="16" spans="1:17" x14ac:dyDescent="0.25">
      <c r="A16" s="6" t="s">
        <v>3</v>
      </c>
    </row>
    <row r="18" spans="1:18" ht="22.5" customHeight="1" x14ac:dyDescent="0.3">
      <c r="A18" s="9" t="s">
        <v>4</v>
      </c>
      <c r="B18" s="107"/>
      <c r="C18" s="108"/>
      <c r="D18" s="108"/>
      <c r="E18" s="109"/>
      <c r="F18" s="9" t="s">
        <v>11</v>
      </c>
      <c r="G18" s="22"/>
      <c r="H18" s="107"/>
      <c r="I18" s="110"/>
      <c r="J18" s="110"/>
      <c r="K18" s="111"/>
    </row>
    <row r="19" spans="1:18" ht="22.5" customHeight="1" x14ac:dyDescent="0.3">
      <c r="A19" s="9" t="s">
        <v>5</v>
      </c>
      <c r="B19" s="107"/>
      <c r="C19" s="110"/>
      <c r="D19" s="110"/>
      <c r="E19" s="111"/>
      <c r="F19" s="22" t="s">
        <v>12</v>
      </c>
      <c r="G19" s="10"/>
      <c r="H19" s="107"/>
      <c r="I19" s="110"/>
      <c r="J19" s="110"/>
      <c r="K19" s="111"/>
    </row>
    <row r="20" spans="1:18" ht="22.5" customHeight="1" x14ac:dyDescent="0.3">
      <c r="A20" s="9" t="s">
        <v>6</v>
      </c>
      <c r="B20" s="107"/>
      <c r="C20" s="108"/>
      <c r="D20" s="108"/>
      <c r="E20" s="109"/>
      <c r="F20" s="22" t="s">
        <v>13</v>
      </c>
      <c r="G20" s="10"/>
      <c r="H20" s="107"/>
      <c r="I20" s="110"/>
      <c r="J20" s="110"/>
      <c r="K20" s="111"/>
    </row>
    <row r="21" spans="1:18" ht="22.5" customHeight="1" x14ac:dyDescent="0.25">
      <c r="A21" s="9" t="s">
        <v>7</v>
      </c>
      <c r="B21" s="15"/>
      <c r="C21" s="11"/>
      <c r="D21" s="11"/>
      <c r="E21" s="11"/>
      <c r="F21" s="12"/>
      <c r="G21" s="12"/>
      <c r="H21" s="12"/>
      <c r="I21" s="12"/>
      <c r="J21" s="12"/>
      <c r="K21" s="10"/>
    </row>
    <row r="22" spans="1:18" ht="22.5" customHeight="1" x14ac:dyDescent="0.3">
      <c r="A22" s="9" t="s">
        <v>8</v>
      </c>
      <c r="B22" s="107"/>
      <c r="C22" s="110"/>
      <c r="D22" s="110"/>
      <c r="E22" s="111"/>
      <c r="F22" s="9" t="s">
        <v>14</v>
      </c>
      <c r="G22" s="22"/>
      <c r="H22" s="107"/>
      <c r="I22" s="110"/>
      <c r="J22" s="110"/>
      <c r="K22" s="111"/>
    </row>
    <row r="23" spans="1:18" ht="22.5" customHeight="1" x14ac:dyDescent="0.3">
      <c r="A23" s="9" t="s">
        <v>9</v>
      </c>
      <c r="B23" s="77"/>
      <c r="C23" s="90"/>
      <c r="D23" s="91"/>
      <c r="E23" s="92"/>
      <c r="F23" s="22" t="s">
        <v>34</v>
      </c>
      <c r="G23" s="10"/>
      <c r="H23" s="107" t="s">
        <v>33</v>
      </c>
      <c r="I23" s="110"/>
      <c r="J23" s="110"/>
      <c r="K23" s="111"/>
    </row>
    <row r="24" spans="1:18" ht="22.5" customHeight="1" x14ac:dyDescent="0.25">
      <c r="A24" s="8" t="s">
        <v>10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8" ht="19.5" customHeight="1" x14ac:dyDescent="0.3">
      <c r="A25" s="107"/>
      <c r="B25" s="108"/>
      <c r="C25" s="108"/>
      <c r="D25" s="108"/>
      <c r="E25" s="109"/>
      <c r="F25" s="82" t="s">
        <v>82</v>
      </c>
      <c r="G25" s="80"/>
      <c r="H25" s="85"/>
      <c r="I25" s="83"/>
      <c r="J25" s="83"/>
      <c r="K25" s="84"/>
    </row>
    <row r="26" spans="1:18" ht="12.75" customHeight="1" x14ac:dyDescent="0.25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</row>
    <row r="27" spans="1:18" ht="12.75" customHeight="1" x14ac:dyDescent="0.25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</row>
    <row r="28" spans="1:18" x14ac:dyDescent="0.25">
      <c r="A28" s="1" t="s">
        <v>80</v>
      </c>
    </row>
    <row r="30" spans="1:18" ht="6.75" customHeight="1" x14ac:dyDescent="0.25"/>
    <row r="31" spans="1:18" ht="47.25" customHeight="1" x14ac:dyDescent="0.3">
      <c r="A31" s="133" t="s">
        <v>92</v>
      </c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78"/>
      <c r="N31" s="78"/>
      <c r="O31" s="78"/>
      <c r="P31" s="78"/>
      <c r="Q31" s="78"/>
      <c r="R31" s="78"/>
    </row>
    <row r="33" spans="1:12" x14ac:dyDescent="0.25">
      <c r="A33" s="6" t="s">
        <v>22</v>
      </c>
    </row>
    <row r="35" spans="1:12" x14ac:dyDescent="0.25">
      <c r="A35" s="1" t="s">
        <v>23</v>
      </c>
    </row>
    <row r="38" spans="1:12" x14ac:dyDescent="0.25">
      <c r="A38" s="1" t="s">
        <v>24</v>
      </c>
    </row>
    <row r="39" spans="1:12" ht="18.75" customHeight="1" x14ac:dyDescent="0.25">
      <c r="A39" s="8" t="s">
        <v>25</v>
      </c>
      <c r="C39" s="8" t="s">
        <v>26</v>
      </c>
      <c r="D39" s="8"/>
      <c r="E39" s="8" t="s">
        <v>27</v>
      </c>
      <c r="F39" s="8"/>
      <c r="G39" s="8"/>
      <c r="H39" s="8" t="s">
        <v>30</v>
      </c>
      <c r="I39" s="8" t="s">
        <v>31</v>
      </c>
      <c r="J39" s="8"/>
    </row>
    <row r="40" spans="1:12" ht="19.5" customHeight="1" x14ac:dyDescent="0.3">
      <c r="A40" s="136"/>
      <c r="B40" s="135"/>
      <c r="C40" s="120"/>
      <c r="D40" s="135"/>
      <c r="E40" s="120"/>
      <c r="F40" s="121"/>
      <c r="G40" s="135"/>
      <c r="H40" s="42"/>
      <c r="I40" s="120"/>
      <c r="J40" s="121"/>
      <c r="K40" s="122"/>
    </row>
    <row r="41" spans="1:12" ht="19.5" customHeight="1" x14ac:dyDescent="0.3">
      <c r="A41" s="132"/>
      <c r="B41" s="131"/>
      <c r="C41" s="123"/>
      <c r="D41" s="131"/>
      <c r="E41" s="123"/>
      <c r="F41" s="124"/>
      <c r="G41" s="131"/>
      <c r="H41" s="43"/>
      <c r="I41" s="123"/>
      <c r="J41" s="124"/>
      <c r="K41" s="125"/>
    </row>
    <row r="42" spans="1:12" ht="19.5" customHeight="1" x14ac:dyDescent="0.3">
      <c r="A42" s="132"/>
      <c r="B42" s="131"/>
      <c r="C42" s="123"/>
      <c r="D42" s="131"/>
      <c r="E42" s="123"/>
      <c r="F42" s="124"/>
      <c r="G42" s="131"/>
      <c r="H42" s="43"/>
      <c r="I42" s="123"/>
      <c r="J42" s="124"/>
      <c r="K42" s="125"/>
    </row>
    <row r="43" spans="1:12" ht="19.5" customHeight="1" x14ac:dyDescent="0.3">
      <c r="A43" s="132"/>
      <c r="B43" s="131"/>
      <c r="C43" s="123"/>
      <c r="D43" s="131"/>
      <c r="E43" s="123"/>
      <c r="F43" s="124"/>
      <c r="G43" s="131"/>
      <c r="H43" s="43"/>
      <c r="I43" s="123"/>
      <c r="J43" s="124"/>
      <c r="K43" s="125"/>
    </row>
    <row r="44" spans="1:12" ht="19.5" customHeight="1" x14ac:dyDescent="0.3">
      <c r="A44" s="126"/>
      <c r="B44" s="127"/>
      <c r="C44" s="128"/>
      <c r="D44" s="127"/>
      <c r="E44" s="128"/>
      <c r="F44" s="129"/>
      <c r="G44" s="127"/>
      <c r="H44" s="44"/>
      <c r="I44" s="128"/>
      <c r="J44" s="129"/>
      <c r="K44" s="130"/>
    </row>
    <row r="46" spans="1:12" x14ac:dyDescent="0.25">
      <c r="A46" s="13" t="s">
        <v>69</v>
      </c>
    </row>
    <row r="47" spans="1:12" ht="57" customHeight="1" x14ac:dyDescent="0.25">
      <c r="A47" s="8" t="s">
        <v>29</v>
      </c>
      <c r="B47" s="26" t="s">
        <v>71</v>
      </c>
      <c r="C47" s="23" t="s">
        <v>38</v>
      </c>
      <c r="D47" s="23" t="s">
        <v>39</v>
      </c>
      <c r="E47" s="23" t="s">
        <v>40</v>
      </c>
      <c r="F47" s="23" t="s">
        <v>42</v>
      </c>
      <c r="G47" s="23" t="s">
        <v>43</v>
      </c>
      <c r="H47" s="23" t="s">
        <v>41</v>
      </c>
      <c r="I47" s="23" t="s">
        <v>44</v>
      </c>
      <c r="J47" s="23" t="s">
        <v>45</v>
      </c>
      <c r="K47" s="26" t="s">
        <v>70</v>
      </c>
      <c r="L47" s="26" t="s">
        <v>73</v>
      </c>
    </row>
    <row r="48" spans="1:12" ht="16.5" customHeight="1" x14ac:dyDescent="0.25">
      <c r="A48" s="59" t="s">
        <v>53</v>
      </c>
      <c r="B48" s="45"/>
      <c r="C48" s="46"/>
      <c r="D48" s="47"/>
      <c r="E48" s="47"/>
      <c r="F48" s="47"/>
      <c r="G48" s="47"/>
      <c r="H48" s="47"/>
      <c r="I48" s="47"/>
      <c r="J48" s="47"/>
      <c r="K48" s="47"/>
      <c r="L48" s="27">
        <f>SUM(B48:K48)</f>
        <v>0</v>
      </c>
    </row>
    <row r="49" spans="1:12" ht="16.5" customHeight="1" x14ac:dyDescent="0.25">
      <c r="A49" s="60" t="s">
        <v>54</v>
      </c>
      <c r="B49" s="48"/>
      <c r="C49" s="49"/>
      <c r="D49" s="50"/>
      <c r="E49" s="50"/>
      <c r="F49" s="50"/>
      <c r="G49" s="50"/>
      <c r="H49" s="50"/>
      <c r="I49" s="50"/>
      <c r="J49" s="50"/>
      <c r="K49" s="50"/>
      <c r="L49" s="37">
        <f t="shared" ref="L49:L56" si="0">SUM(B49:K49)</f>
        <v>0</v>
      </c>
    </row>
    <row r="50" spans="1:12" ht="16.5" customHeight="1" x14ac:dyDescent="0.25">
      <c r="A50" s="60" t="s">
        <v>55</v>
      </c>
      <c r="B50" s="48"/>
      <c r="C50" s="49"/>
      <c r="D50" s="50"/>
      <c r="E50" s="50"/>
      <c r="F50" s="50"/>
      <c r="G50" s="50"/>
      <c r="H50" s="50"/>
      <c r="I50" s="50"/>
      <c r="J50" s="50"/>
      <c r="K50" s="50"/>
      <c r="L50" s="37">
        <f t="shared" si="0"/>
        <v>0</v>
      </c>
    </row>
    <row r="51" spans="1:12" ht="16.5" customHeight="1" x14ac:dyDescent="0.25">
      <c r="A51" s="60" t="s">
        <v>56</v>
      </c>
      <c r="B51" s="48"/>
      <c r="C51" s="49"/>
      <c r="D51" s="50"/>
      <c r="E51" s="50"/>
      <c r="F51" s="50"/>
      <c r="G51" s="50"/>
      <c r="H51" s="50"/>
      <c r="I51" s="50"/>
      <c r="J51" s="50"/>
      <c r="K51" s="50"/>
      <c r="L51" s="37">
        <f t="shared" si="0"/>
        <v>0</v>
      </c>
    </row>
    <row r="52" spans="1:12" ht="16.5" customHeight="1" x14ac:dyDescent="0.25">
      <c r="A52" s="60" t="s">
        <v>57</v>
      </c>
      <c r="B52" s="48"/>
      <c r="C52" s="49"/>
      <c r="D52" s="50"/>
      <c r="E52" s="50"/>
      <c r="F52" s="50"/>
      <c r="G52" s="50"/>
      <c r="H52" s="50"/>
      <c r="I52" s="51"/>
      <c r="J52" s="51"/>
      <c r="K52" s="51"/>
      <c r="L52" s="37">
        <f t="shared" si="0"/>
        <v>0</v>
      </c>
    </row>
    <row r="53" spans="1:12" ht="16.5" customHeight="1" x14ac:dyDescent="0.25">
      <c r="A53" s="61" t="s">
        <v>58</v>
      </c>
      <c r="B53" s="52"/>
      <c r="C53" s="53"/>
      <c r="D53" s="51"/>
      <c r="E53" s="51"/>
      <c r="F53" s="51"/>
      <c r="G53" s="51"/>
      <c r="H53" s="54"/>
      <c r="I53" s="51"/>
      <c r="J53" s="51"/>
      <c r="K53" s="51"/>
      <c r="L53" s="37">
        <f t="shared" si="0"/>
        <v>0</v>
      </c>
    </row>
    <row r="54" spans="1:12" ht="16.5" customHeight="1" x14ac:dyDescent="0.25">
      <c r="A54" s="61" t="s">
        <v>59</v>
      </c>
      <c r="B54" s="52"/>
      <c r="C54" s="53"/>
      <c r="D54" s="51"/>
      <c r="E54" s="51"/>
      <c r="F54" s="51"/>
      <c r="G54" s="51"/>
      <c r="H54" s="54"/>
      <c r="I54" s="51"/>
      <c r="J54" s="51"/>
      <c r="K54" s="51"/>
      <c r="L54" s="37">
        <f t="shared" si="0"/>
        <v>0</v>
      </c>
    </row>
    <row r="55" spans="1:12" ht="16.5" customHeight="1" x14ac:dyDescent="0.25">
      <c r="A55" s="61" t="s">
        <v>60</v>
      </c>
      <c r="B55" s="52"/>
      <c r="C55" s="53"/>
      <c r="D55" s="51"/>
      <c r="E55" s="51"/>
      <c r="F55" s="51"/>
      <c r="G55" s="51"/>
      <c r="H55" s="54"/>
      <c r="I55" s="51"/>
      <c r="J55" s="51"/>
      <c r="K55" s="51"/>
      <c r="L55" s="37">
        <f t="shared" si="0"/>
        <v>0</v>
      </c>
    </row>
    <row r="56" spans="1:12" ht="16.5" customHeight="1" thickBot="1" x14ac:dyDescent="0.3">
      <c r="A56" s="62" t="s">
        <v>61</v>
      </c>
      <c r="B56" s="55"/>
      <c r="C56" s="56"/>
      <c r="D56" s="57"/>
      <c r="E56" s="57"/>
      <c r="F56" s="57"/>
      <c r="G56" s="57"/>
      <c r="H56" s="58"/>
      <c r="I56" s="57"/>
      <c r="J56" s="57"/>
      <c r="K56" s="57"/>
      <c r="L56" s="38">
        <f t="shared" si="0"/>
        <v>0</v>
      </c>
    </row>
    <row r="57" spans="1:12" ht="16.5" customHeight="1" thickBot="1" x14ac:dyDescent="0.3">
      <c r="A57" s="24" t="s">
        <v>72</v>
      </c>
      <c r="B57" s="16">
        <f>SUM(B48:B56)</f>
        <v>0</v>
      </c>
      <c r="C57" s="16">
        <f>SUM(C48:C56)</f>
        <v>0</v>
      </c>
      <c r="D57" s="16">
        <f t="shared" ref="D57:I57" si="1">SUM(D48:D56)</f>
        <v>0</v>
      </c>
      <c r="E57" s="16">
        <f t="shared" si="1"/>
        <v>0</v>
      </c>
      <c r="F57" s="16">
        <f t="shared" si="1"/>
        <v>0</v>
      </c>
      <c r="G57" s="16">
        <f t="shared" si="1"/>
        <v>0</v>
      </c>
      <c r="H57" s="16">
        <f t="shared" si="1"/>
        <v>0</v>
      </c>
      <c r="I57" s="16">
        <f t="shared" si="1"/>
        <v>0</v>
      </c>
      <c r="J57" s="34">
        <f>SUM(J48:J56)</f>
        <v>0</v>
      </c>
      <c r="K57" s="34">
        <f>SUM(K48:K56)</f>
        <v>0</v>
      </c>
      <c r="L57" s="36">
        <f>SUM(L48:L56)</f>
        <v>0</v>
      </c>
    </row>
    <row r="58" spans="1:12" ht="16.5" customHeight="1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21"/>
    </row>
    <row r="59" spans="1:12" ht="16.5" customHeight="1" x14ac:dyDescent="0.25">
      <c r="A59" s="16" t="s">
        <v>51</v>
      </c>
      <c r="B59" s="16"/>
      <c r="C59" s="16"/>
      <c r="D59" s="16">
        <v>850</v>
      </c>
      <c r="E59" s="16" t="s">
        <v>52</v>
      </c>
      <c r="F59" s="16"/>
      <c r="G59" s="16"/>
      <c r="H59" s="16"/>
      <c r="I59" s="16"/>
      <c r="J59" s="16"/>
      <c r="K59" s="16"/>
      <c r="L59" s="21"/>
    </row>
    <row r="60" spans="1:12" ht="16.5" customHeight="1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21"/>
    </row>
    <row r="61" spans="1:12" ht="16.5" customHeight="1" x14ac:dyDescent="0.25">
      <c r="A61" s="13" t="s">
        <v>49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21"/>
    </row>
    <row r="62" spans="1:12" ht="16.5" customHeight="1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9" t="s">
        <v>50</v>
      </c>
    </row>
    <row r="63" spans="1:12" ht="16.5" customHeight="1" x14ac:dyDescent="0.3">
      <c r="A63" s="41" t="s">
        <v>75</v>
      </c>
      <c r="B63" s="28">
        <f>SUM(B57*200)</f>
        <v>0</v>
      </c>
      <c r="C63" s="28">
        <f>SUM(C57*200)</f>
        <v>0</v>
      </c>
      <c r="D63" s="28">
        <f t="shared" ref="D63:K63" si="2">SUM(D57*200)</f>
        <v>0</v>
      </c>
      <c r="E63" s="28">
        <f t="shared" si="2"/>
        <v>0</v>
      </c>
      <c r="F63" s="28">
        <f t="shared" si="2"/>
        <v>0</v>
      </c>
      <c r="G63" s="28">
        <f t="shared" si="2"/>
        <v>0</v>
      </c>
      <c r="H63" s="28">
        <f t="shared" si="2"/>
        <v>0</v>
      </c>
      <c r="I63" s="28">
        <f t="shared" si="2"/>
        <v>0</v>
      </c>
      <c r="J63" s="28">
        <f t="shared" si="2"/>
        <v>0</v>
      </c>
      <c r="K63" s="28">
        <f t="shared" si="2"/>
        <v>0</v>
      </c>
      <c r="L63" s="29">
        <f>SUM(C63+D63+E63+F63+G63+H63+I63+J63+K63)/1000</f>
        <v>0</v>
      </c>
    </row>
    <row r="64" spans="1:12" ht="16.5" customHeight="1" x14ac:dyDescent="0.25">
      <c r="A64" s="24"/>
      <c r="B64" s="16"/>
      <c r="C64" s="21"/>
      <c r="D64" s="21"/>
      <c r="E64" s="21"/>
      <c r="F64" s="21"/>
      <c r="G64" s="21"/>
      <c r="H64" s="21"/>
      <c r="I64" s="21"/>
      <c r="J64" s="21"/>
      <c r="K64" s="21"/>
      <c r="L64" s="30"/>
    </row>
    <row r="65" spans="1:11" ht="16.5" customHeight="1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 ht="21" customHeight="1" x14ac:dyDescent="0.3">
      <c r="A66" s="86" t="s">
        <v>83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</row>
    <row r="67" spans="1:11" ht="21" customHeight="1" x14ac:dyDescent="0.25">
      <c r="A67" s="112"/>
      <c r="B67" s="113"/>
      <c r="C67" s="113"/>
      <c r="D67" s="113"/>
      <c r="E67" s="113"/>
      <c r="F67" s="113"/>
      <c r="G67" s="113"/>
      <c r="H67" s="113"/>
      <c r="I67" s="113"/>
      <c r="J67" s="113"/>
      <c r="K67" s="113"/>
    </row>
    <row r="68" spans="1:11" ht="21" customHeight="1" x14ac:dyDescent="0.25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</row>
    <row r="69" spans="1:11" ht="21" customHeight="1" x14ac:dyDescent="0.25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</row>
    <row r="70" spans="1:11" ht="21" customHeight="1" x14ac:dyDescent="0.25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</row>
    <row r="71" spans="1:11" ht="21" customHeight="1" x14ac:dyDescent="0.25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</row>
    <row r="72" spans="1:11" ht="21" customHeight="1" x14ac:dyDescent="0.25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</row>
    <row r="73" spans="1:11" ht="21" customHeight="1" x14ac:dyDescent="0.25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</row>
    <row r="74" spans="1:11" ht="21" customHeight="1" x14ac:dyDescent="0.25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</row>
    <row r="75" spans="1:11" ht="21" customHeight="1" x14ac:dyDescent="0.2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</row>
    <row r="76" spans="1:11" ht="19.5" customHeight="1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8"/>
    </row>
    <row r="77" spans="1:11" ht="19.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</row>
    <row r="78" spans="1:11" x14ac:dyDescent="0.25">
      <c r="A78" s="1" t="s">
        <v>28</v>
      </c>
    </row>
    <row r="79" spans="1:11" ht="22.5" customHeight="1" x14ac:dyDescent="0.25"/>
    <row r="82" spans="1:14" x14ac:dyDescent="0.25">
      <c r="A82" s="8"/>
      <c r="B82" s="8"/>
      <c r="C82" s="8"/>
      <c r="D82" s="8"/>
      <c r="E82" s="8" t="s">
        <v>64</v>
      </c>
      <c r="F82" s="8"/>
      <c r="G82" s="8"/>
    </row>
    <row r="83" spans="1:14" x14ac:dyDescent="0.25">
      <c r="A83" s="8" t="s">
        <v>62</v>
      </c>
      <c r="B83" s="8"/>
      <c r="C83" s="8"/>
      <c r="D83" s="8"/>
      <c r="E83" s="8">
        <f>SUM(L63)</f>
        <v>0</v>
      </c>
      <c r="F83" s="8" t="s">
        <v>63</v>
      </c>
    </row>
    <row r="84" spans="1:14" x14ac:dyDescent="0.25">
      <c r="A84" s="8" t="s">
        <v>65</v>
      </c>
      <c r="E84" s="31">
        <v>1.2</v>
      </c>
      <c r="F84" s="8" t="s">
        <v>63</v>
      </c>
    </row>
    <row r="85" spans="1:14" x14ac:dyDescent="0.25">
      <c r="E85" s="33">
        <f>SUM(E83:E84)</f>
        <v>1.2</v>
      </c>
      <c r="F85" s="8" t="s">
        <v>63</v>
      </c>
    </row>
    <row r="86" spans="1:14" x14ac:dyDescent="0.25">
      <c r="F86" s="32"/>
    </row>
    <row r="88" spans="1:14" x14ac:dyDescent="0.25">
      <c r="A88" s="6" t="s">
        <v>98</v>
      </c>
    </row>
    <row r="89" spans="1:14" ht="56.4" customHeight="1" x14ac:dyDescent="0.25">
      <c r="D89" s="88" t="s">
        <v>35</v>
      </c>
      <c r="E89" s="8"/>
      <c r="F89" s="25" t="s">
        <v>47</v>
      </c>
      <c r="G89" s="25" t="s">
        <v>97</v>
      </c>
      <c r="H89" s="25" t="s">
        <v>96</v>
      </c>
      <c r="I89" s="20"/>
    </row>
    <row r="90" spans="1:14" x14ac:dyDescent="0.25">
      <c r="A90" s="8"/>
      <c r="B90" s="8"/>
      <c r="C90" s="8"/>
      <c r="D90" s="8"/>
      <c r="F90" s="8"/>
      <c r="G90" s="8"/>
      <c r="H90" s="8"/>
      <c r="I90" s="8"/>
    </row>
    <row r="91" spans="1:14" x14ac:dyDescent="0.25">
      <c r="A91" s="13" t="s">
        <v>93</v>
      </c>
      <c r="B91" s="8"/>
      <c r="C91" s="8"/>
      <c r="D91" s="69"/>
      <c r="F91" s="24"/>
      <c r="G91" s="24"/>
      <c r="H91" s="8"/>
    </row>
    <row r="92" spans="1:14" x14ac:dyDescent="0.25">
      <c r="A92" s="1" t="s">
        <v>32</v>
      </c>
      <c r="B92" s="8"/>
      <c r="C92" s="8"/>
      <c r="D92" s="69"/>
      <c r="F92" s="63"/>
      <c r="G92" s="1" t="s">
        <v>84</v>
      </c>
      <c r="H92" s="70">
        <f>IF($F$92&lt;81,$F$92*75,80*75)</f>
        <v>0</v>
      </c>
      <c r="I92" s="39" t="s">
        <v>46</v>
      </c>
      <c r="J92" s="39"/>
      <c r="K92" s="39"/>
      <c r="L92" s="39"/>
      <c r="N92" s="1" t="s">
        <v>36</v>
      </c>
    </row>
    <row r="93" spans="1:14" ht="17.25" customHeight="1" x14ac:dyDescent="0.25">
      <c r="A93" s="39" t="s">
        <v>76</v>
      </c>
      <c r="B93" s="8"/>
      <c r="C93" s="8"/>
      <c r="D93" s="67">
        <v>3</v>
      </c>
      <c r="F93" s="89">
        <f>IF(D93=1, F92, 0)</f>
        <v>0</v>
      </c>
      <c r="G93" s="1" t="s">
        <v>85</v>
      </c>
      <c r="H93" s="40">
        <f>IF($F$93&lt;81,$F$93*25,80*25)</f>
        <v>0</v>
      </c>
      <c r="I93" s="39" t="s">
        <v>104</v>
      </c>
      <c r="J93" s="39"/>
      <c r="K93" s="39"/>
      <c r="L93" s="39"/>
    </row>
    <row r="94" spans="1:14" ht="17.25" customHeight="1" x14ac:dyDescent="0.25">
      <c r="A94" s="39" t="s">
        <v>77</v>
      </c>
      <c r="B94" s="8"/>
      <c r="C94" s="8"/>
      <c r="D94" s="67">
        <v>3</v>
      </c>
      <c r="F94" s="64">
        <f>IF(D94=1, SUM(E85), 0)</f>
        <v>0</v>
      </c>
      <c r="G94" s="1" t="s">
        <v>86</v>
      </c>
      <c r="H94" s="70">
        <f>IF($F$94&lt;20,$F$94*250,250*20)</f>
        <v>0</v>
      </c>
      <c r="I94" s="39" t="s">
        <v>87</v>
      </c>
      <c r="J94" s="39"/>
      <c r="K94" s="39"/>
      <c r="L94" s="70"/>
      <c r="N94" s="1" t="s">
        <v>37</v>
      </c>
    </row>
    <row r="95" spans="1:14" ht="17.25" customHeight="1" x14ac:dyDescent="0.25">
      <c r="A95" s="39" t="s">
        <v>88</v>
      </c>
      <c r="B95" s="8"/>
      <c r="C95" s="8"/>
      <c r="D95" s="67">
        <v>3</v>
      </c>
      <c r="F95" s="93"/>
      <c r="G95" s="1" t="s">
        <v>48</v>
      </c>
      <c r="H95" s="70">
        <f>IF(D95=1,IF(F95&lt;=20,$F$95*250,5000),0)</f>
        <v>0</v>
      </c>
      <c r="I95" s="39" t="s">
        <v>87</v>
      </c>
      <c r="J95" s="39"/>
      <c r="K95" s="39"/>
      <c r="L95" s="39"/>
    </row>
    <row r="96" spans="1:14" ht="17.25" customHeight="1" x14ac:dyDescent="0.25">
      <c r="A96" s="39" t="s">
        <v>90</v>
      </c>
      <c r="D96" s="68">
        <v>3</v>
      </c>
      <c r="G96" s="35">
        <v>5000</v>
      </c>
      <c r="H96" s="65"/>
      <c r="I96" s="39" t="s">
        <v>89</v>
      </c>
    </row>
    <row r="97" spans="1:18" x14ac:dyDescent="0.25">
      <c r="H97" s="35"/>
    </row>
    <row r="99" spans="1:18" x14ac:dyDescent="0.25">
      <c r="A99" s="39" t="s">
        <v>95</v>
      </c>
      <c r="B99" s="39"/>
      <c r="C99" s="39"/>
      <c r="D99" s="39"/>
      <c r="E99" s="39"/>
      <c r="F99" s="39"/>
      <c r="G99" s="98" t="s">
        <v>66</v>
      </c>
      <c r="H99" s="99">
        <f>SUM(H92:H98)</f>
        <v>0</v>
      </c>
      <c r="I99" s="39"/>
      <c r="J99" s="39" t="s">
        <v>74</v>
      </c>
      <c r="K99" s="39"/>
      <c r="L99" s="39"/>
    </row>
    <row r="100" spans="1:18" x14ac:dyDescent="0.25">
      <c r="A100" s="39" t="s">
        <v>99</v>
      </c>
      <c r="B100" s="39"/>
      <c r="C100" s="39"/>
      <c r="D100" s="39"/>
      <c r="E100" s="39"/>
      <c r="F100" s="100"/>
      <c r="G100" s="101"/>
      <c r="H100" s="102"/>
      <c r="I100" s="39"/>
      <c r="J100" s="39"/>
      <c r="K100" s="39"/>
      <c r="L100" s="39"/>
    </row>
    <row r="101" spans="1:18" x14ac:dyDescent="0.25">
      <c r="A101" s="87" t="s">
        <v>67</v>
      </c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</row>
    <row r="102" spans="1:18" x14ac:dyDescent="0.25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</row>
    <row r="103" spans="1:18" ht="14.25" customHeight="1" x14ac:dyDescent="0.3">
      <c r="A103" s="66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</row>
    <row r="104" spans="1:18" x14ac:dyDescent="0.25">
      <c r="A104" s="66"/>
      <c r="B104" s="66"/>
      <c r="C104" s="66"/>
      <c r="D104" s="66"/>
      <c r="E104" s="66"/>
      <c r="F104" s="66"/>
      <c r="G104" s="66"/>
      <c r="H104" s="74"/>
      <c r="I104" s="74"/>
      <c r="J104" s="74"/>
      <c r="K104" s="74"/>
      <c r="L104" s="74"/>
      <c r="M104" s="71"/>
    </row>
    <row r="105" spans="1:18" ht="14.4" x14ac:dyDescent="0.3">
      <c r="A105" s="1" t="s">
        <v>78</v>
      </c>
      <c r="B105" s="118"/>
      <c r="C105" s="119"/>
      <c r="D105" s="119"/>
      <c r="F105" s="1" t="s">
        <v>79</v>
      </c>
      <c r="H105" s="73"/>
      <c r="I105" s="73"/>
      <c r="J105" s="73"/>
      <c r="K105" s="73"/>
      <c r="L105" s="73"/>
    </row>
    <row r="106" spans="1:18" ht="14.4" x14ac:dyDescent="0.3">
      <c r="B106" s="116"/>
      <c r="C106" s="117"/>
      <c r="D106" s="117"/>
    </row>
    <row r="107" spans="1:18" x14ac:dyDescent="0.25">
      <c r="A107" s="103" t="s">
        <v>94</v>
      </c>
      <c r="B107" s="72"/>
      <c r="C107" s="39"/>
      <c r="H107" s="72"/>
    </row>
    <row r="108" spans="1:18" x14ac:dyDescent="0.25">
      <c r="A108" s="104"/>
      <c r="B108" s="72"/>
      <c r="C108" s="39"/>
    </row>
    <row r="109" spans="1:18" x14ac:dyDescent="0.25">
      <c r="A109" s="104"/>
      <c r="B109" s="72"/>
      <c r="C109" s="39"/>
    </row>
  </sheetData>
  <sheetProtection sheet="1" objects="1" scenarios="1"/>
  <mergeCells count="36">
    <mergeCell ref="B22:E22"/>
    <mergeCell ref="A43:B43"/>
    <mergeCell ref="C42:D42"/>
    <mergeCell ref="C43:D43"/>
    <mergeCell ref="A31:L31"/>
    <mergeCell ref="C40:D40"/>
    <mergeCell ref="C41:D41"/>
    <mergeCell ref="A42:B42"/>
    <mergeCell ref="A40:B40"/>
    <mergeCell ref="A41:B41"/>
    <mergeCell ref="E40:G40"/>
    <mergeCell ref="E41:G41"/>
    <mergeCell ref="A44:B44"/>
    <mergeCell ref="C44:D44"/>
    <mergeCell ref="I42:K42"/>
    <mergeCell ref="I43:K43"/>
    <mergeCell ref="I44:K44"/>
    <mergeCell ref="E42:G42"/>
    <mergeCell ref="E43:G43"/>
    <mergeCell ref="E44:G44"/>
    <mergeCell ref="A107:A109"/>
    <mergeCell ref="C6:L11"/>
    <mergeCell ref="A25:E25"/>
    <mergeCell ref="H22:K22"/>
    <mergeCell ref="H23:K23"/>
    <mergeCell ref="B18:E18"/>
    <mergeCell ref="B19:E19"/>
    <mergeCell ref="B20:E20"/>
    <mergeCell ref="H18:K18"/>
    <mergeCell ref="H19:K19"/>
    <mergeCell ref="H20:K20"/>
    <mergeCell ref="A67:K75"/>
    <mergeCell ref="B106:D106"/>
    <mergeCell ref="B105:D105"/>
    <mergeCell ref="I40:K40"/>
    <mergeCell ref="I41:K41"/>
  </mergeCells>
  <hyperlinks>
    <hyperlink ref="A6" r:id="rId1"/>
    <hyperlink ref="A9" r:id="rId2"/>
  </hyperlinks>
  <pageMargins left="0.7" right="0.7" top="0.42708333333333331" bottom="0.78740157499999996" header="0.3" footer="0.3"/>
  <pageSetup paperSize="9" scale="89" orientation="landscape" r:id="rId3"/>
  <headerFooter>
    <oddFooter>&amp;CUrsprungsversion erstellt von: LANAT, Fachstelle Pflanzenschutz des Kantons Bern</oddFooter>
  </headerFooter>
  <rowBreaks count="3" manualBreakCount="3">
    <brk id="32" max="16383" man="1"/>
    <brk id="63" max="16383" man="1"/>
    <brk id="86" max="16383" man="1"/>
  </rowBreaks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6" name="Check Box 1">
              <controlPr defaultSize="0" autoFill="0" autoLine="0" autoPict="0" altText="eidg. dipl. Landwirt">
                <anchor moveWithCells="1">
                  <from>
                    <xdr:col>1</xdr:col>
                    <xdr:colOff>68580</xdr:colOff>
                    <xdr:row>19</xdr:row>
                    <xdr:rowOff>266700</xdr:rowOff>
                  </from>
                  <to>
                    <xdr:col>5</xdr:col>
                    <xdr:colOff>22860</xdr:colOff>
                    <xdr:row>21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7" name="Check Box 2">
              <controlPr defaultSize="0" autoFill="0" autoLine="0" autoPict="0">
                <anchor moveWithCells="1">
                  <from>
                    <xdr:col>4</xdr:col>
                    <xdr:colOff>0</xdr:colOff>
                    <xdr:row>20</xdr:row>
                    <xdr:rowOff>22860</xdr:rowOff>
                  </from>
                  <to>
                    <xdr:col>8</xdr:col>
                    <xdr:colOff>601980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Drop Down 5">
              <controlPr locked="0" defaultSize="0" autoLine="0" autoPict="0">
                <anchor moveWithCells="1">
                  <from>
                    <xdr:col>1</xdr:col>
                    <xdr:colOff>22860</xdr:colOff>
                    <xdr:row>22</xdr:row>
                    <xdr:rowOff>22860</xdr:rowOff>
                  </from>
                  <to>
                    <xdr:col>4</xdr:col>
                    <xdr:colOff>76200</xdr:colOff>
                    <xdr:row>22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Option Button 6">
              <controlPr defaultSize="0" autoFill="0" autoLine="0" autoPict="0">
                <anchor moveWithCells="1">
                  <from>
                    <xdr:col>4</xdr:col>
                    <xdr:colOff>388620</xdr:colOff>
                    <xdr:row>33</xdr:row>
                    <xdr:rowOff>152400</xdr:rowOff>
                  </from>
                  <to>
                    <xdr:col>6</xdr:col>
                    <xdr:colOff>457200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Option Button 7">
              <controlPr defaultSize="0" autoFill="0" autoLine="0" autoPict="0">
                <anchor moveWithCells="1">
                  <from>
                    <xdr:col>5</xdr:col>
                    <xdr:colOff>883920</xdr:colOff>
                    <xdr:row>33</xdr:row>
                    <xdr:rowOff>160020</xdr:rowOff>
                  </from>
                  <to>
                    <xdr:col>9</xdr:col>
                    <xdr:colOff>259080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Group Box 8">
              <controlPr defaultSize="0" print="0" autoFill="0" autoPict="0">
                <anchor moveWithCells="1">
                  <from>
                    <xdr:col>4</xdr:col>
                    <xdr:colOff>327660</xdr:colOff>
                    <xdr:row>33</xdr:row>
                    <xdr:rowOff>45720</xdr:rowOff>
                  </from>
                  <to>
                    <xdr:col>10</xdr:col>
                    <xdr:colOff>76200</xdr:colOff>
                    <xdr:row>35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Option Button 9">
              <controlPr locked="0" defaultSize="0" autoFill="0" autoLine="0" autoPict="0">
                <anchor moveWithCells="1">
                  <from>
                    <xdr:col>2</xdr:col>
                    <xdr:colOff>617220</xdr:colOff>
                    <xdr:row>77</xdr:row>
                    <xdr:rowOff>0</xdr:rowOff>
                  </from>
                  <to>
                    <xdr:col>3</xdr:col>
                    <xdr:colOff>533400</xdr:colOff>
                    <xdr:row>78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Option Button 10">
              <controlPr locked="0" defaultSize="0" autoFill="0" autoLine="0" autoPict="0">
                <anchor moveWithCells="1">
                  <from>
                    <xdr:col>4</xdr:col>
                    <xdr:colOff>152400</xdr:colOff>
                    <xdr:row>77</xdr:row>
                    <xdr:rowOff>0</xdr:rowOff>
                  </from>
                  <to>
                    <xdr:col>5</xdr:col>
                    <xdr:colOff>609600</xdr:colOff>
                    <xdr:row>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Group Box 11">
              <controlPr locked="0" defaultSize="0" print="0" autoFill="0" autoPict="0" altText="bitte auswählen">
                <anchor moveWithCells="1">
                  <from>
                    <xdr:col>2</xdr:col>
                    <xdr:colOff>152400</xdr:colOff>
                    <xdr:row>76</xdr:row>
                    <xdr:rowOff>22860</xdr:rowOff>
                  </from>
                  <to>
                    <xdr:col>6</xdr:col>
                    <xdr:colOff>426720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5" name="Kopie">
              <controlPr locked="0" defaultSize="0" autoFill="0" autoLine="0" autoPict="0" altText="">
                <anchor moveWithCells="1">
                  <from>
                    <xdr:col>3</xdr:col>
                    <xdr:colOff>678180</xdr:colOff>
                    <xdr:row>107</xdr:row>
                    <xdr:rowOff>30480</xdr:rowOff>
                  </from>
                  <to>
                    <xdr:col>8</xdr:col>
                    <xdr:colOff>0</xdr:colOff>
                    <xdr:row>108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16" name="Check Box 32">
              <controlPr locked="0" defaultSize="0" autoFill="0" autoLine="0" autoPict="0" altText="Kostenvoranschlag (unterzeichnet)">
                <anchor moveWithCells="1">
                  <from>
                    <xdr:col>0</xdr:col>
                    <xdr:colOff>1150620</xdr:colOff>
                    <xdr:row>107</xdr:row>
                    <xdr:rowOff>22860</xdr:rowOff>
                  </from>
                  <to>
                    <xdr:col>3</xdr:col>
                    <xdr:colOff>502920</xdr:colOff>
                    <xdr:row>108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7" name="Check Box 33">
              <controlPr locked="0" defaultSize="0" autoFill="0" autoLine="0" autoPict="0">
                <anchor moveWithCells="1">
                  <from>
                    <xdr:col>0</xdr:col>
                    <xdr:colOff>1150620</xdr:colOff>
                    <xdr:row>106</xdr:row>
                    <xdr:rowOff>7620</xdr:rowOff>
                  </from>
                  <to>
                    <xdr:col>3</xdr:col>
                    <xdr:colOff>251460</xdr:colOff>
                    <xdr:row>107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8" name="Check Box 34">
              <controlPr locked="0" defaultSize="0" autoFill="0" autoLine="0" autoPict="0">
                <anchor moveWithCells="1">
                  <from>
                    <xdr:col>3</xdr:col>
                    <xdr:colOff>678180</xdr:colOff>
                    <xdr:row>106</xdr:row>
                    <xdr:rowOff>7620</xdr:rowOff>
                  </from>
                  <to>
                    <xdr:col>10</xdr:col>
                    <xdr:colOff>0</xdr:colOff>
                    <xdr:row>107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9" name="Group Box 35">
              <controlPr locked="0" defaultSize="0" print="0" autoFill="0" autoPict="0" altText="bitte auswählen">
                <anchor moveWithCells="1">
                  <from>
                    <xdr:col>1</xdr:col>
                    <xdr:colOff>693420</xdr:colOff>
                    <xdr:row>25</xdr:row>
                    <xdr:rowOff>144780</xdr:rowOff>
                  </from>
                  <to>
                    <xdr:col>6</xdr:col>
                    <xdr:colOff>259080</xdr:colOff>
                    <xdr:row>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0" name="Option Button 36">
              <controlPr defaultSize="0" autoFill="0" autoLine="0" autoPict="0" altText="Ja">
                <anchor moveWithCells="1">
                  <from>
                    <xdr:col>2</xdr:col>
                    <xdr:colOff>160020</xdr:colOff>
                    <xdr:row>26</xdr:row>
                    <xdr:rowOff>99060</xdr:rowOff>
                  </from>
                  <to>
                    <xdr:col>2</xdr:col>
                    <xdr:colOff>571500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" name="Option Button 37">
              <controlPr locked="0" defaultSize="0" autoFill="0" autoLine="0" autoPict="0" altText="nein">
                <anchor moveWithCells="1">
                  <from>
                    <xdr:col>4</xdr:col>
                    <xdr:colOff>0</xdr:colOff>
                    <xdr:row>26</xdr:row>
                    <xdr:rowOff>121920</xdr:rowOff>
                  </from>
                  <to>
                    <xdr:col>4</xdr:col>
                    <xdr:colOff>487680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22" name="Drop Down 45">
              <controlPr locked="0" defaultSize="0" autoLine="0" autoPict="0">
                <anchor moveWithCells="1">
                  <from>
                    <xdr:col>3</xdr:col>
                    <xdr:colOff>7620</xdr:colOff>
                    <xdr:row>92</xdr:row>
                    <xdr:rowOff>0</xdr:rowOff>
                  </from>
                  <to>
                    <xdr:col>4</xdr:col>
                    <xdr:colOff>312420</xdr:colOff>
                    <xdr:row>92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23" name="Drop Down 46">
              <controlPr locked="0" defaultSize="0" autoLine="0" autoPict="0">
                <anchor moveWithCells="1">
                  <from>
                    <xdr:col>3</xdr:col>
                    <xdr:colOff>7620</xdr:colOff>
                    <xdr:row>93</xdr:row>
                    <xdr:rowOff>0</xdr:rowOff>
                  </from>
                  <to>
                    <xdr:col>4</xdr:col>
                    <xdr:colOff>312420</xdr:colOff>
                    <xdr:row>93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24" name="Drop Down 49">
              <controlPr locked="0" defaultSize="0" autoLine="0" autoPict="0">
                <anchor moveWithCells="1">
                  <from>
                    <xdr:col>3</xdr:col>
                    <xdr:colOff>7620</xdr:colOff>
                    <xdr:row>95</xdr:row>
                    <xdr:rowOff>0</xdr:rowOff>
                  </from>
                  <to>
                    <xdr:col>4</xdr:col>
                    <xdr:colOff>312420</xdr:colOff>
                    <xdr:row>95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25" name="Drop Down 50">
              <controlPr locked="0" defaultSize="0" autoLine="0" autoPict="0">
                <anchor moveWithCells="1">
                  <from>
                    <xdr:col>3</xdr:col>
                    <xdr:colOff>7620</xdr:colOff>
                    <xdr:row>95</xdr:row>
                    <xdr:rowOff>0</xdr:rowOff>
                  </from>
                  <to>
                    <xdr:col>4</xdr:col>
                    <xdr:colOff>312420</xdr:colOff>
                    <xdr:row>95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26" name="Drop Down 51">
              <controlPr locked="0" defaultSize="0" autoLine="0" autoPict="0">
                <anchor moveWithCells="1">
                  <from>
                    <xdr:col>3</xdr:col>
                    <xdr:colOff>7620</xdr:colOff>
                    <xdr:row>94</xdr:row>
                    <xdr:rowOff>0</xdr:rowOff>
                  </from>
                  <to>
                    <xdr:col>4</xdr:col>
                    <xdr:colOff>312420</xdr:colOff>
                    <xdr:row>94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27" name="Check Box 52">
              <controlPr locked="0" defaultSize="0" autoFill="0" autoLine="0" autoPict="0" altText="Kostenvoranschlag (unterzeichnet)">
                <anchor moveWithCells="1">
                  <from>
                    <xdr:col>0</xdr:col>
                    <xdr:colOff>1150620</xdr:colOff>
                    <xdr:row>108</xdr:row>
                    <xdr:rowOff>22860</xdr:rowOff>
                  </from>
                  <to>
                    <xdr:col>3</xdr:col>
                    <xdr:colOff>502920</xdr:colOff>
                    <xdr:row>109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28" name="Check Box 55">
              <controlPr locked="0" defaultSize="0" autoFill="0" autoLine="0" autoPict="0" altText="Kostenvoranschlag (unterzeichnet)">
                <anchor moveWithCells="1">
                  <from>
                    <xdr:col>3</xdr:col>
                    <xdr:colOff>678180</xdr:colOff>
                    <xdr:row>108</xdr:row>
                    <xdr:rowOff>30480</xdr:rowOff>
                  </from>
                  <to>
                    <xdr:col>6</xdr:col>
                    <xdr:colOff>533400</xdr:colOff>
                    <xdr:row>109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>KSD Schaffhausen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Alder Irene</dc:creator>
  <cp:lastModifiedBy>Mayer Gerd</cp:lastModifiedBy>
  <cp:lastPrinted>2020-01-31T09:00:30Z</cp:lastPrinted>
  <dcterms:created xsi:type="dcterms:W3CDTF">2019-10-25T06:49:14Z</dcterms:created>
  <dcterms:modified xsi:type="dcterms:W3CDTF">2024-12-17T09:43:57Z</dcterms:modified>
</cp:coreProperties>
</file>