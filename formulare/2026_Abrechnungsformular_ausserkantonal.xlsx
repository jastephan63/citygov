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H:\52_BETREUUNGSGUTSCHRIFTEN\01_BeGu\00_Abrechnungen\00_Formulare und Vorlagen\"/>
    </mc:Choice>
  </mc:AlternateContent>
  <bookViews>
    <workbookView xWindow="0" yWindow="0" windowWidth="28800" windowHeight="13800" tabRatio="646"/>
  </bookViews>
  <sheets>
    <sheet name="Jahresübersicht" sheetId="1" r:id="rId1"/>
    <sheet name="Januar" sheetId="3" r:id="rId2"/>
    <sheet name="Februar" sheetId="52" r:id="rId3"/>
    <sheet name="März" sheetId="53" r:id="rId4"/>
    <sheet name="April" sheetId="54" r:id="rId5"/>
    <sheet name="Mai" sheetId="55" r:id="rId6"/>
    <sheet name="Juni" sheetId="58" r:id="rId7"/>
    <sheet name="Juli" sheetId="57" r:id="rId8"/>
    <sheet name="August" sheetId="60" r:id="rId9"/>
    <sheet name="September" sheetId="59" r:id="rId10"/>
    <sheet name="Oktober" sheetId="61" r:id="rId11"/>
    <sheet name="November" sheetId="63" r:id="rId12"/>
    <sheet name="Dezember" sheetId="62" r:id="rId13"/>
  </sheets>
  <definedNames>
    <definedName name="_xlnm._FilterDatabase" localSheetId="4" hidden="1">April!$A$11:$J$11</definedName>
    <definedName name="_xlnm._FilterDatabase" localSheetId="8" hidden="1">August!$A$11:$J$11</definedName>
    <definedName name="_xlnm._FilterDatabase" localSheetId="12" hidden="1">Dezember!$A$11:$J$11</definedName>
    <definedName name="_xlnm._FilterDatabase" localSheetId="2" hidden="1">Februar!$A$11:$J$11</definedName>
    <definedName name="_xlnm._FilterDatabase" localSheetId="1" hidden="1">Januar!$A$11:$J$11</definedName>
    <definedName name="_xlnm._FilterDatabase" localSheetId="7" hidden="1">Juli!$A$11:$J$11</definedName>
    <definedName name="_xlnm._FilterDatabase" localSheetId="6" hidden="1">Juni!$A$11:$J$11</definedName>
    <definedName name="_xlnm._FilterDatabase" localSheetId="5" hidden="1">Mai!$A$11:$J$11</definedName>
    <definedName name="_xlnm._FilterDatabase" localSheetId="3" hidden="1">März!$A$11:$J$11</definedName>
    <definedName name="_xlnm._FilterDatabase" localSheetId="11" hidden="1">November!$A$11:$J$11</definedName>
    <definedName name="_xlnm._FilterDatabase" localSheetId="10" hidden="1">Oktober!$A$11:$J$11</definedName>
    <definedName name="_xlnm._FilterDatabase" localSheetId="9" hidden="1">September!$A$11:$J$11</definedName>
    <definedName name="_xlnm.Print_Area" localSheetId="4">April!$A$1:$AZ$122</definedName>
    <definedName name="_xlnm.Print_Area" localSheetId="8">August!$A$1:$BA$122</definedName>
    <definedName name="_xlnm.Print_Area" localSheetId="12">Dezember!$A$1:$BA$122</definedName>
    <definedName name="_xlnm.Print_Area" localSheetId="2">Februar!$A$1:$AX$122</definedName>
    <definedName name="_xlnm.Print_Area" localSheetId="0">Jahresübersicht!$A$1:$H$35</definedName>
    <definedName name="_xlnm.Print_Area" localSheetId="1">Januar!$A$1:$BA$122</definedName>
    <definedName name="_xlnm.Print_Area" localSheetId="7">Juli!$A$1:$BA$122</definedName>
    <definedName name="_xlnm.Print_Area" localSheetId="6">Juni!$A$1:$AZ$122</definedName>
    <definedName name="_xlnm.Print_Area" localSheetId="5">Mai!$A$1:$BA$122</definedName>
    <definedName name="_xlnm.Print_Area" localSheetId="3">März!$A$1:$BA$122</definedName>
    <definedName name="_xlnm.Print_Area" localSheetId="11">November!$A$1:$AZ$122</definedName>
    <definedName name="_xlnm.Print_Area" localSheetId="10">Oktober!$A$1:$BA$122</definedName>
    <definedName name="_xlnm.Print_Area" localSheetId="9">September!$A$1:$AZ$122</definedName>
    <definedName name="_xlnm.Print_Titles" localSheetId="4">April!$1:$11</definedName>
    <definedName name="_xlnm.Print_Titles" localSheetId="8">August!$1:$11</definedName>
    <definedName name="_xlnm.Print_Titles" localSheetId="12">Dezember!$1:$11</definedName>
    <definedName name="_xlnm.Print_Titles" localSheetId="2">Februar!$1:$11</definedName>
    <definedName name="_xlnm.Print_Titles" localSheetId="1">Januar!$1:$11</definedName>
    <definedName name="_xlnm.Print_Titles" localSheetId="7">Juli!$1:$11</definedName>
    <definedName name="_xlnm.Print_Titles" localSheetId="6">Juni!$1:$11</definedName>
    <definedName name="_xlnm.Print_Titles" localSheetId="5">Mai!$1:$11</definedName>
    <definedName name="_xlnm.Print_Titles" localSheetId="3">März!$1:$11</definedName>
    <definedName name="_xlnm.Print_Titles" localSheetId="11">November!$1:$11</definedName>
    <definedName name="_xlnm.Print_Titles" localSheetId="10">Oktober!$1:$11</definedName>
    <definedName name="_xlnm.Print_Titles" localSheetId="9">September!$1:$11</definedName>
    <definedName name="Z_2A96694B_4FE0_4A37_BFC4_27DDF59EE9E8_.wvu.PrintArea" localSheetId="4" hidden="1">April!#REF!</definedName>
    <definedName name="Z_2A96694B_4FE0_4A37_BFC4_27DDF59EE9E8_.wvu.PrintArea" localSheetId="8" hidden="1">August!#REF!</definedName>
    <definedName name="Z_2A96694B_4FE0_4A37_BFC4_27DDF59EE9E8_.wvu.PrintArea" localSheetId="12" hidden="1">Dezember!#REF!</definedName>
    <definedName name="Z_2A96694B_4FE0_4A37_BFC4_27DDF59EE9E8_.wvu.PrintArea" localSheetId="2" hidden="1">Februar!#REF!</definedName>
    <definedName name="Z_2A96694B_4FE0_4A37_BFC4_27DDF59EE9E8_.wvu.PrintArea" localSheetId="0" hidden="1">Jahresübersicht!$A$1:$H$25</definedName>
    <definedName name="Z_2A96694B_4FE0_4A37_BFC4_27DDF59EE9E8_.wvu.PrintArea" localSheetId="1" hidden="1">Januar!#REF!</definedName>
    <definedName name="Z_2A96694B_4FE0_4A37_BFC4_27DDF59EE9E8_.wvu.PrintArea" localSheetId="7" hidden="1">Juli!#REF!</definedName>
    <definedName name="Z_2A96694B_4FE0_4A37_BFC4_27DDF59EE9E8_.wvu.PrintArea" localSheetId="6" hidden="1">Juni!#REF!</definedName>
    <definedName name="Z_2A96694B_4FE0_4A37_BFC4_27DDF59EE9E8_.wvu.PrintArea" localSheetId="5" hidden="1">Mai!#REF!</definedName>
    <definedName name="Z_2A96694B_4FE0_4A37_BFC4_27DDF59EE9E8_.wvu.PrintArea" localSheetId="3" hidden="1">März!#REF!</definedName>
    <definedName name="Z_2A96694B_4FE0_4A37_BFC4_27DDF59EE9E8_.wvu.PrintArea" localSheetId="11" hidden="1">November!#REF!</definedName>
    <definedName name="Z_2A96694B_4FE0_4A37_BFC4_27DDF59EE9E8_.wvu.PrintArea" localSheetId="10" hidden="1">Oktober!#REF!</definedName>
    <definedName name="Z_2A96694B_4FE0_4A37_BFC4_27DDF59EE9E8_.wvu.PrintArea" localSheetId="9" hidden="1">September!#REF!</definedName>
  </definedNames>
  <calcPr calcId="162913"/>
  <customWorkbookViews>
    <customWorkbookView name="khinni@outlook.com - Persönliche Ansicht" guid="{2A96694B-4FE0-4A37-BFC4-27DDF59EE9E8}" mergeInterval="0" personalView="1" maximized="1" xWindow="-9" yWindow="-9" windowWidth="1938" windowHeight="1048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63" l="1"/>
  <c r="N13" i="63"/>
  <c r="M14" i="63"/>
  <c r="N14" i="63"/>
  <c r="M15" i="63"/>
  <c r="N15" i="63"/>
  <c r="M16" i="63"/>
  <c r="N16" i="63"/>
  <c r="M17" i="63"/>
  <c r="N17" i="63"/>
  <c r="M18" i="63"/>
  <c r="N18" i="63"/>
  <c r="M19" i="63"/>
  <c r="N19" i="63"/>
  <c r="M20" i="63"/>
  <c r="N20" i="63"/>
  <c r="M21" i="63"/>
  <c r="N21" i="63"/>
  <c r="M22" i="63"/>
  <c r="N22" i="63"/>
  <c r="M23" i="63"/>
  <c r="N23" i="63"/>
  <c r="M24" i="63"/>
  <c r="N24" i="63"/>
  <c r="M25" i="63"/>
  <c r="N25" i="63"/>
  <c r="M26" i="63"/>
  <c r="N26" i="63"/>
  <c r="M27" i="63"/>
  <c r="N27" i="63"/>
  <c r="M28" i="63"/>
  <c r="N28" i="63"/>
  <c r="M29" i="63"/>
  <c r="N29" i="63"/>
  <c r="M30" i="63"/>
  <c r="N30" i="63"/>
  <c r="M31" i="63"/>
  <c r="N31" i="63"/>
  <c r="M32" i="63"/>
  <c r="N32" i="63"/>
  <c r="M33" i="63"/>
  <c r="N33" i="63"/>
  <c r="M34" i="63"/>
  <c r="N34" i="63"/>
  <c r="M35" i="63"/>
  <c r="N35" i="63"/>
  <c r="M36" i="63"/>
  <c r="N36" i="63"/>
  <c r="M37" i="63"/>
  <c r="N37" i="63"/>
  <c r="M38" i="63"/>
  <c r="N38" i="63"/>
  <c r="M39" i="63"/>
  <c r="N39" i="63"/>
  <c r="M40" i="63"/>
  <c r="N40" i="63"/>
  <c r="M41" i="63"/>
  <c r="N41" i="63"/>
  <c r="M42" i="63"/>
  <c r="N42" i="63"/>
  <c r="M43" i="63"/>
  <c r="N43" i="63"/>
  <c r="M44" i="63"/>
  <c r="N44" i="63"/>
  <c r="M45" i="63"/>
  <c r="N45" i="63"/>
  <c r="M46" i="63"/>
  <c r="N46" i="63"/>
  <c r="M47" i="63"/>
  <c r="N47" i="63"/>
  <c r="M48" i="63"/>
  <c r="N48" i="63"/>
  <c r="M49" i="63"/>
  <c r="N49" i="63"/>
  <c r="M50" i="63"/>
  <c r="N50" i="63"/>
  <c r="M51" i="63"/>
  <c r="N51" i="63"/>
  <c r="M52" i="63"/>
  <c r="N52" i="63"/>
  <c r="M53" i="63"/>
  <c r="N53" i="63"/>
  <c r="M54" i="63"/>
  <c r="N54" i="63"/>
  <c r="M55" i="63"/>
  <c r="N55" i="63"/>
  <c r="M56" i="63"/>
  <c r="N56" i="63"/>
  <c r="M57" i="63"/>
  <c r="N57" i="63"/>
  <c r="M58" i="63"/>
  <c r="N58" i="63"/>
  <c r="M59" i="63"/>
  <c r="N59" i="63"/>
  <c r="M60" i="63"/>
  <c r="N60" i="63"/>
  <c r="M61" i="63"/>
  <c r="N61" i="63"/>
  <c r="M62" i="63"/>
  <c r="N62" i="63"/>
  <c r="M63" i="63"/>
  <c r="N63" i="63"/>
  <c r="M64" i="63"/>
  <c r="N64" i="63"/>
  <c r="M65" i="63"/>
  <c r="N65" i="63"/>
  <c r="M66" i="63"/>
  <c r="N66" i="63"/>
  <c r="M67" i="63"/>
  <c r="N67" i="63"/>
  <c r="M68" i="63"/>
  <c r="N68" i="63"/>
  <c r="M69" i="63"/>
  <c r="N69" i="63"/>
  <c r="M70" i="63"/>
  <c r="N70" i="63"/>
  <c r="M71" i="63"/>
  <c r="N71" i="63"/>
  <c r="M72" i="63"/>
  <c r="N72" i="63"/>
  <c r="M73" i="63"/>
  <c r="N73" i="63"/>
  <c r="M74" i="63"/>
  <c r="N74" i="63"/>
  <c r="M75" i="63"/>
  <c r="N75" i="63"/>
  <c r="M76" i="63"/>
  <c r="N76" i="63"/>
  <c r="M77" i="63"/>
  <c r="N77" i="63"/>
  <c r="M78" i="63"/>
  <c r="N78" i="63"/>
  <c r="M79" i="63"/>
  <c r="N79" i="63"/>
  <c r="M80" i="63"/>
  <c r="N80" i="63"/>
  <c r="M81" i="63"/>
  <c r="N81" i="63"/>
  <c r="M82" i="63"/>
  <c r="N82" i="63"/>
  <c r="M83" i="63"/>
  <c r="N83" i="63"/>
  <c r="M84" i="63"/>
  <c r="N84" i="63"/>
  <c r="M85" i="63"/>
  <c r="N85" i="63"/>
  <c r="M86" i="63"/>
  <c r="N86" i="63"/>
  <c r="M87" i="63"/>
  <c r="N87" i="63"/>
  <c r="M88" i="63"/>
  <c r="N88" i="63"/>
  <c r="M89" i="63"/>
  <c r="N89" i="63"/>
  <c r="M90" i="63"/>
  <c r="N90" i="63"/>
  <c r="M91" i="63"/>
  <c r="N91" i="63"/>
  <c r="M92" i="63"/>
  <c r="N92" i="63"/>
  <c r="M93" i="63"/>
  <c r="N93" i="63"/>
  <c r="M94" i="63"/>
  <c r="N94" i="63"/>
  <c r="M95" i="63"/>
  <c r="N95" i="63"/>
  <c r="M96" i="63"/>
  <c r="N96" i="63"/>
  <c r="M97" i="63"/>
  <c r="N97" i="63"/>
  <c r="M98" i="63"/>
  <c r="N98" i="63"/>
  <c r="M99" i="63"/>
  <c r="N99" i="63"/>
  <c r="M100" i="63"/>
  <c r="N100" i="63"/>
  <c r="M101" i="63"/>
  <c r="N101" i="63"/>
  <c r="M102" i="63"/>
  <c r="N102" i="63"/>
  <c r="M103" i="63"/>
  <c r="N103" i="63"/>
  <c r="M104" i="63"/>
  <c r="N104" i="63"/>
  <c r="M105" i="63"/>
  <c r="N105" i="63"/>
  <c r="M106" i="63"/>
  <c r="N106" i="63"/>
  <c r="M107" i="63"/>
  <c r="N107" i="63"/>
  <c r="M108" i="63"/>
  <c r="N108" i="63"/>
  <c r="M109" i="63"/>
  <c r="N109" i="63"/>
  <c r="M110" i="63"/>
  <c r="N110" i="63"/>
  <c r="M111" i="63"/>
  <c r="N111" i="63"/>
  <c r="N12" i="63"/>
  <c r="M12" i="63"/>
  <c r="M13" i="59"/>
  <c r="N13" i="59"/>
  <c r="M14" i="59"/>
  <c r="N14" i="59"/>
  <c r="M15" i="59"/>
  <c r="N15" i="59"/>
  <c r="M16" i="59"/>
  <c r="N16" i="59"/>
  <c r="M17" i="59"/>
  <c r="N17" i="59"/>
  <c r="M18" i="59"/>
  <c r="N18" i="59"/>
  <c r="M19" i="59"/>
  <c r="N19" i="59"/>
  <c r="M20" i="59"/>
  <c r="N20" i="59"/>
  <c r="M21" i="59"/>
  <c r="N21" i="59"/>
  <c r="M22" i="59"/>
  <c r="N22" i="59"/>
  <c r="M23" i="59"/>
  <c r="N23" i="59"/>
  <c r="M24" i="59"/>
  <c r="N24" i="59"/>
  <c r="M25" i="59"/>
  <c r="N25" i="59"/>
  <c r="M26" i="59"/>
  <c r="N26" i="59"/>
  <c r="M27" i="59"/>
  <c r="N27" i="59"/>
  <c r="M28" i="59"/>
  <c r="N28" i="59"/>
  <c r="M29" i="59"/>
  <c r="N29" i="59"/>
  <c r="M30" i="59"/>
  <c r="N30" i="59"/>
  <c r="M31" i="59"/>
  <c r="N31" i="59"/>
  <c r="M32" i="59"/>
  <c r="N32" i="59"/>
  <c r="M33" i="59"/>
  <c r="N33" i="59"/>
  <c r="M34" i="59"/>
  <c r="N34" i="59"/>
  <c r="M35" i="59"/>
  <c r="N35" i="59"/>
  <c r="M36" i="59"/>
  <c r="N36" i="59"/>
  <c r="M37" i="59"/>
  <c r="N37" i="59"/>
  <c r="M38" i="59"/>
  <c r="N38" i="59"/>
  <c r="M39" i="59"/>
  <c r="N39" i="59"/>
  <c r="M40" i="59"/>
  <c r="N40" i="59"/>
  <c r="M41" i="59"/>
  <c r="N41" i="59"/>
  <c r="M42" i="59"/>
  <c r="N42" i="59"/>
  <c r="M43" i="59"/>
  <c r="N43" i="59"/>
  <c r="M44" i="59"/>
  <c r="N44" i="59"/>
  <c r="M45" i="59"/>
  <c r="N45" i="59"/>
  <c r="M46" i="59"/>
  <c r="N46" i="59"/>
  <c r="M47" i="59"/>
  <c r="N47" i="59"/>
  <c r="M48" i="59"/>
  <c r="N48" i="59"/>
  <c r="M49" i="59"/>
  <c r="N49" i="59"/>
  <c r="M50" i="59"/>
  <c r="N50" i="59"/>
  <c r="M51" i="59"/>
  <c r="N51" i="59"/>
  <c r="M52" i="59"/>
  <c r="N52" i="59"/>
  <c r="M53" i="59"/>
  <c r="N53" i="59"/>
  <c r="M54" i="59"/>
  <c r="N54" i="59"/>
  <c r="M55" i="59"/>
  <c r="N55" i="59"/>
  <c r="M56" i="59"/>
  <c r="N56" i="59"/>
  <c r="M57" i="59"/>
  <c r="N57" i="59"/>
  <c r="M58" i="59"/>
  <c r="N58" i="59"/>
  <c r="M59" i="59"/>
  <c r="N59" i="59"/>
  <c r="M60" i="59"/>
  <c r="N60" i="59"/>
  <c r="M61" i="59"/>
  <c r="N61" i="59"/>
  <c r="M62" i="59"/>
  <c r="N62" i="59"/>
  <c r="M63" i="59"/>
  <c r="N63" i="59"/>
  <c r="M64" i="59"/>
  <c r="N64" i="59"/>
  <c r="M65" i="59"/>
  <c r="N65" i="59"/>
  <c r="M66" i="59"/>
  <c r="N66" i="59"/>
  <c r="M67" i="59"/>
  <c r="N67" i="59"/>
  <c r="M68" i="59"/>
  <c r="N68" i="59"/>
  <c r="M69" i="59"/>
  <c r="N69" i="59"/>
  <c r="M70" i="59"/>
  <c r="N70" i="59"/>
  <c r="M71" i="59"/>
  <c r="N71" i="59"/>
  <c r="M72" i="59"/>
  <c r="N72" i="59"/>
  <c r="M73" i="59"/>
  <c r="N73" i="59"/>
  <c r="M74" i="59"/>
  <c r="N74" i="59"/>
  <c r="M75" i="59"/>
  <c r="N75" i="59"/>
  <c r="M76" i="59"/>
  <c r="N76" i="59"/>
  <c r="M77" i="59"/>
  <c r="N77" i="59"/>
  <c r="M78" i="59"/>
  <c r="N78" i="59"/>
  <c r="M79" i="59"/>
  <c r="N79" i="59"/>
  <c r="M80" i="59"/>
  <c r="N80" i="59"/>
  <c r="M81" i="59"/>
  <c r="N81" i="59"/>
  <c r="M82" i="59"/>
  <c r="N82" i="59"/>
  <c r="M83" i="59"/>
  <c r="N83" i="59"/>
  <c r="M84" i="59"/>
  <c r="N84" i="59"/>
  <c r="M85" i="59"/>
  <c r="N85" i="59"/>
  <c r="M86" i="59"/>
  <c r="N86" i="59"/>
  <c r="M87" i="59"/>
  <c r="N87" i="59"/>
  <c r="M88" i="59"/>
  <c r="N88" i="59"/>
  <c r="M89" i="59"/>
  <c r="N89" i="59"/>
  <c r="M90" i="59"/>
  <c r="N90" i="59"/>
  <c r="M91" i="59"/>
  <c r="N91" i="59"/>
  <c r="M92" i="59"/>
  <c r="N92" i="59"/>
  <c r="M93" i="59"/>
  <c r="N93" i="59"/>
  <c r="M94" i="59"/>
  <c r="N94" i="59"/>
  <c r="M95" i="59"/>
  <c r="N95" i="59"/>
  <c r="M96" i="59"/>
  <c r="N96" i="59"/>
  <c r="M97" i="59"/>
  <c r="N97" i="59"/>
  <c r="M98" i="59"/>
  <c r="N98" i="59"/>
  <c r="M99" i="59"/>
  <c r="N99" i="59"/>
  <c r="M100" i="59"/>
  <c r="N100" i="59"/>
  <c r="M101" i="59"/>
  <c r="N101" i="59"/>
  <c r="M102" i="59"/>
  <c r="N102" i="59"/>
  <c r="M103" i="59"/>
  <c r="N103" i="59"/>
  <c r="M104" i="59"/>
  <c r="N104" i="59"/>
  <c r="M105" i="59"/>
  <c r="N105" i="59"/>
  <c r="M106" i="59"/>
  <c r="N106" i="59"/>
  <c r="M107" i="59"/>
  <c r="N107" i="59"/>
  <c r="M108" i="59"/>
  <c r="N108" i="59"/>
  <c r="M109" i="59"/>
  <c r="N109" i="59"/>
  <c r="M110" i="59"/>
  <c r="N110" i="59"/>
  <c r="M111" i="59"/>
  <c r="N111" i="59"/>
  <c r="N12" i="59"/>
  <c r="M12" i="59"/>
  <c r="N12" i="57"/>
  <c r="M13" i="58"/>
  <c r="N13" i="58"/>
  <c r="M14" i="58"/>
  <c r="N14" i="58"/>
  <c r="M15" i="58"/>
  <c r="N15" i="58"/>
  <c r="M16" i="58"/>
  <c r="N16" i="58"/>
  <c r="M17" i="58"/>
  <c r="N17" i="58"/>
  <c r="M18" i="58"/>
  <c r="N18" i="58"/>
  <c r="M19" i="58"/>
  <c r="N19" i="58"/>
  <c r="M20" i="58"/>
  <c r="N20" i="58"/>
  <c r="M21" i="58"/>
  <c r="N21" i="58"/>
  <c r="M22" i="58"/>
  <c r="N22" i="58"/>
  <c r="M23" i="58"/>
  <c r="N23" i="58"/>
  <c r="M24" i="58"/>
  <c r="N24" i="58"/>
  <c r="M25" i="58"/>
  <c r="N25" i="58"/>
  <c r="M26" i="58"/>
  <c r="N26" i="58"/>
  <c r="M27" i="58"/>
  <c r="N27" i="58"/>
  <c r="M28" i="58"/>
  <c r="N28" i="58"/>
  <c r="M29" i="58"/>
  <c r="N29" i="58"/>
  <c r="M30" i="58"/>
  <c r="N30" i="58"/>
  <c r="M31" i="58"/>
  <c r="N31" i="58"/>
  <c r="M32" i="58"/>
  <c r="N32" i="58"/>
  <c r="M33" i="58"/>
  <c r="N33" i="58"/>
  <c r="M34" i="58"/>
  <c r="N34" i="58"/>
  <c r="M35" i="58"/>
  <c r="N35" i="58"/>
  <c r="M36" i="58"/>
  <c r="N36" i="58"/>
  <c r="M37" i="58"/>
  <c r="N37" i="58"/>
  <c r="M38" i="58"/>
  <c r="N38" i="58"/>
  <c r="M39" i="58"/>
  <c r="N39" i="58"/>
  <c r="M40" i="58"/>
  <c r="N40" i="58"/>
  <c r="M41" i="58"/>
  <c r="N41" i="58"/>
  <c r="M42" i="58"/>
  <c r="N42" i="58"/>
  <c r="M43" i="58"/>
  <c r="N43" i="58"/>
  <c r="M44" i="58"/>
  <c r="N44" i="58"/>
  <c r="M45" i="58"/>
  <c r="N45" i="58"/>
  <c r="M46" i="58"/>
  <c r="N46" i="58"/>
  <c r="M47" i="58"/>
  <c r="N47" i="58"/>
  <c r="M48" i="58"/>
  <c r="N48" i="58"/>
  <c r="M49" i="58"/>
  <c r="N49" i="58"/>
  <c r="M50" i="58"/>
  <c r="N50" i="58"/>
  <c r="M51" i="58"/>
  <c r="N51" i="58"/>
  <c r="M52" i="58"/>
  <c r="N52" i="58"/>
  <c r="M53" i="58"/>
  <c r="N53" i="58"/>
  <c r="M54" i="58"/>
  <c r="N54" i="58"/>
  <c r="M55" i="58"/>
  <c r="N55" i="58"/>
  <c r="M56" i="58"/>
  <c r="N56" i="58"/>
  <c r="M57" i="58"/>
  <c r="N57" i="58"/>
  <c r="M58" i="58"/>
  <c r="N58" i="58"/>
  <c r="M59" i="58"/>
  <c r="N59" i="58"/>
  <c r="M60" i="58"/>
  <c r="N60" i="58"/>
  <c r="M61" i="58"/>
  <c r="N61" i="58"/>
  <c r="M62" i="58"/>
  <c r="N62" i="58"/>
  <c r="M63" i="58"/>
  <c r="N63" i="58"/>
  <c r="M64" i="58"/>
  <c r="N64" i="58"/>
  <c r="M65" i="58"/>
  <c r="N65" i="58"/>
  <c r="M66" i="58"/>
  <c r="N66" i="58"/>
  <c r="M67" i="58"/>
  <c r="N67" i="58"/>
  <c r="M68" i="58"/>
  <c r="N68" i="58"/>
  <c r="M69" i="58"/>
  <c r="N69" i="58"/>
  <c r="M70" i="58"/>
  <c r="N70" i="58"/>
  <c r="M71" i="58"/>
  <c r="N71" i="58"/>
  <c r="M72" i="58"/>
  <c r="N72" i="58"/>
  <c r="M73" i="58"/>
  <c r="N73" i="58"/>
  <c r="M74" i="58"/>
  <c r="N74" i="58"/>
  <c r="M75" i="58"/>
  <c r="N75" i="58"/>
  <c r="M76" i="58"/>
  <c r="N76" i="58"/>
  <c r="M77" i="58"/>
  <c r="N77" i="58"/>
  <c r="M78" i="58"/>
  <c r="N78" i="58"/>
  <c r="M79" i="58"/>
  <c r="N79" i="58"/>
  <c r="M80" i="58"/>
  <c r="N80" i="58"/>
  <c r="M81" i="58"/>
  <c r="N81" i="58"/>
  <c r="M82" i="58"/>
  <c r="N82" i="58"/>
  <c r="M83" i="58"/>
  <c r="N83" i="58"/>
  <c r="M84" i="58"/>
  <c r="N84" i="58"/>
  <c r="M85" i="58"/>
  <c r="N85" i="58"/>
  <c r="M86" i="58"/>
  <c r="N86" i="58"/>
  <c r="M87" i="58"/>
  <c r="N87" i="58"/>
  <c r="M88" i="58"/>
  <c r="N88" i="58"/>
  <c r="M89" i="58"/>
  <c r="N89" i="58"/>
  <c r="M90" i="58"/>
  <c r="N90" i="58"/>
  <c r="M91" i="58"/>
  <c r="N91" i="58"/>
  <c r="M92" i="58"/>
  <c r="N92" i="58"/>
  <c r="M93" i="58"/>
  <c r="N93" i="58"/>
  <c r="M94" i="58"/>
  <c r="N94" i="58"/>
  <c r="M95" i="58"/>
  <c r="N95" i="58"/>
  <c r="M96" i="58"/>
  <c r="N96" i="58"/>
  <c r="M97" i="58"/>
  <c r="N97" i="58"/>
  <c r="M98" i="58"/>
  <c r="N98" i="58"/>
  <c r="M99" i="58"/>
  <c r="N99" i="58"/>
  <c r="M100" i="58"/>
  <c r="N100" i="58"/>
  <c r="M101" i="58"/>
  <c r="N101" i="58"/>
  <c r="M102" i="58"/>
  <c r="N102" i="58"/>
  <c r="M103" i="58"/>
  <c r="N103" i="58"/>
  <c r="M104" i="58"/>
  <c r="N104" i="58"/>
  <c r="M105" i="58"/>
  <c r="N105" i="58"/>
  <c r="M106" i="58"/>
  <c r="N106" i="58"/>
  <c r="M107" i="58"/>
  <c r="N107" i="58"/>
  <c r="M108" i="58"/>
  <c r="N108" i="58"/>
  <c r="M109" i="58"/>
  <c r="N109" i="58"/>
  <c r="M110" i="58"/>
  <c r="N110" i="58"/>
  <c r="M111" i="58"/>
  <c r="N111" i="58"/>
  <c r="N12" i="58"/>
  <c r="M12" i="58"/>
  <c r="N99" i="54"/>
  <c r="M99" i="54"/>
  <c r="M13" i="54"/>
  <c r="N13" i="54"/>
  <c r="M14" i="54"/>
  <c r="N14" i="54"/>
  <c r="M15" i="54"/>
  <c r="N15" i="54"/>
  <c r="M16" i="54"/>
  <c r="N16" i="54"/>
  <c r="M17" i="54"/>
  <c r="N17" i="54"/>
  <c r="M18" i="54"/>
  <c r="N18" i="54"/>
  <c r="M19" i="54"/>
  <c r="N19" i="54"/>
  <c r="M20" i="54"/>
  <c r="N20" i="54"/>
  <c r="M21" i="54"/>
  <c r="N21" i="54"/>
  <c r="M22" i="54"/>
  <c r="N22" i="54"/>
  <c r="M23" i="54"/>
  <c r="N23" i="54"/>
  <c r="M24" i="54"/>
  <c r="N24" i="54"/>
  <c r="M25" i="54"/>
  <c r="N25" i="54"/>
  <c r="M26" i="54"/>
  <c r="N26" i="54"/>
  <c r="M27" i="54"/>
  <c r="N27" i="54"/>
  <c r="M28" i="54"/>
  <c r="N28" i="54"/>
  <c r="M29" i="54"/>
  <c r="N29" i="54"/>
  <c r="M30" i="54"/>
  <c r="N30" i="54"/>
  <c r="M31" i="54"/>
  <c r="N31" i="54"/>
  <c r="M32" i="54"/>
  <c r="N32" i="54"/>
  <c r="M33" i="54"/>
  <c r="N33" i="54"/>
  <c r="M34" i="54"/>
  <c r="N34" i="54"/>
  <c r="M35" i="54"/>
  <c r="N35" i="54"/>
  <c r="M36" i="54"/>
  <c r="N36" i="54"/>
  <c r="M37" i="54"/>
  <c r="N37" i="54"/>
  <c r="M38" i="54"/>
  <c r="N38" i="54"/>
  <c r="M39" i="54"/>
  <c r="N39" i="54"/>
  <c r="M40" i="54"/>
  <c r="N40" i="54"/>
  <c r="M41" i="54"/>
  <c r="N41" i="54"/>
  <c r="M42" i="54"/>
  <c r="N42" i="54"/>
  <c r="M43" i="54"/>
  <c r="N43" i="54"/>
  <c r="M44" i="54"/>
  <c r="N44" i="54"/>
  <c r="M45" i="54"/>
  <c r="N45" i="54"/>
  <c r="M46" i="54"/>
  <c r="N46" i="54"/>
  <c r="M47" i="54"/>
  <c r="N47" i="54"/>
  <c r="M48" i="54"/>
  <c r="N48" i="54"/>
  <c r="M49" i="54"/>
  <c r="N49" i="54"/>
  <c r="M50" i="54"/>
  <c r="N50" i="54"/>
  <c r="M51" i="54"/>
  <c r="N51" i="54"/>
  <c r="M52" i="54"/>
  <c r="N52" i="54"/>
  <c r="M53" i="54"/>
  <c r="N53" i="54"/>
  <c r="M54" i="54"/>
  <c r="N54" i="54"/>
  <c r="M55" i="54"/>
  <c r="N55" i="54"/>
  <c r="M56" i="54"/>
  <c r="N56" i="54"/>
  <c r="M57" i="54"/>
  <c r="N57" i="54"/>
  <c r="M58" i="54"/>
  <c r="N58" i="54"/>
  <c r="M59" i="54"/>
  <c r="N59" i="54"/>
  <c r="M60" i="54"/>
  <c r="N60" i="54"/>
  <c r="M61" i="54"/>
  <c r="N61" i="54"/>
  <c r="M62" i="54"/>
  <c r="N62" i="54"/>
  <c r="M63" i="54"/>
  <c r="N63" i="54"/>
  <c r="M64" i="54"/>
  <c r="N64" i="54"/>
  <c r="M65" i="54"/>
  <c r="N65" i="54"/>
  <c r="M66" i="54"/>
  <c r="N66" i="54"/>
  <c r="M67" i="54"/>
  <c r="N67" i="54"/>
  <c r="M68" i="54"/>
  <c r="N68" i="54"/>
  <c r="M69" i="54"/>
  <c r="N69" i="54"/>
  <c r="M70" i="54"/>
  <c r="N70" i="54"/>
  <c r="M71" i="54"/>
  <c r="N71" i="54"/>
  <c r="M72" i="54"/>
  <c r="N72" i="54"/>
  <c r="M73" i="54"/>
  <c r="N73" i="54"/>
  <c r="M74" i="54"/>
  <c r="N74" i="54"/>
  <c r="M75" i="54"/>
  <c r="N75" i="54"/>
  <c r="M76" i="54"/>
  <c r="N76" i="54"/>
  <c r="M77" i="54"/>
  <c r="N77" i="54"/>
  <c r="M78" i="54"/>
  <c r="N78" i="54"/>
  <c r="M79" i="54"/>
  <c r="N79" i="54"/>
  <c r="M80" i="54"/>
  <c r="N80" i="54"/>
  <c r="M81" i="54"/>
  <c r="N81" i="54"/>
  <c r="M82" i="54"/>
  <c r="N82" i="54"/>
  <c r="M83" i="54"/>
  <c r="N83" i="54"/>
  <c r="M84" i="54"/>
  <c r="N84" i="54"/>
  <c r="M85" i="54"/>
  <c r="N85" i="54"/>
  <c r="M86" i="54"/>
  <c r="N86" i="54"/>
  <c r="M87" i="54"/>
  <c r="N87" i="54"/>
  <c r="M88" i="54"/>
  <c r="N88" i="54"/>
  <c r="M89" i="54"/>
  <c r="N89" i="54"/>
  <c r="M90" i="54"/>
  <c r="N90" i="54"/>
  <c r="M91" i="54"/>
  <c r="N91" i="54"/>
  <c r="M92" i="54"/>
  <c r="N92" i="54"/>
  <c r="M93" i="54"/>
  <c r="N93" i="54"/>
  <c r="M94" i="54"/>
  <c r="N94" i="54"/>
  <c r="M95" i="54"/>
  <c r="N95" i="54"/>
  <c r="M96" i="54"/>
  <c r="N96" i="54"/>
  <c r="M97" i="54"/>
  <c r="N97" i="54"/>
  <c r="M98" i="54"/>
  <c r="N98" i="54"/>
  <c r="M100" i="54"/>
  <c r="N100" i="54"/>
  <c r="M101" i="54"/>
  <c r="N101" i="54"/>
  <c r="M102" i="54"/>
  <c r="N102" i="54"/>
  <c r="M103" i="54"/>
  <c r="N103" i="54"/>
  <c r="M104" i="54"/>
  <c r="N104" i="54"/>
  <c r="M105" i="54"/>
  <c r="N105" i="54"/>
  <c r="M106" i="54"/>
  <c r="N106" i="54"/>
  <c r="M107" i="54"/>
  <c r="N107" i="54"/>
  <c r="M108" i="54"/>
  <c r="N108" i="54"/>
  <c r="M109" i="54"/>
  <c r="N109" i="54"/>
  <c r="M110" i="54"/>
  <c r="N110" i="54"/>
  <c r="M111" i="54"/>
  <c r="N111" i="54"/>
  <c r="N12" i="54"/>
  <c r="M12" i="54"/>
  <c r="N12" i="53"/>
  <c r="M12" i="53"/>
  <c r="K12" i="53" s="1"/>
  <c r="M12" i="52"/>
  <c r="N12" i="52"/>
  <c r="M13" i="52"/>
  <c r="N13" i="52"/>
  <c r="M14" i="52"/>
  <c r="N14" i="52"/>
  <c r="M15" i="52"/>
  <c r="N15" i="52"/>
  <c r="M16" i="52"/>
  <c r="N16" i="52"/>
  <c r="M17" i="52"/>
  <c r="N17" i="52"/>
  <c r="M18" i="52"/>
  <c r="N18" i="52"/>
  <c r="M19" i="52"/>
  <c r="N19" i="52"/>
  <c r="M20" i="52"/>
  <c r="N20" i="52"/>
  <c r="M21" i="52"/>
  <c r="N21" i="52"/>
  <c r="M22" i="52"/>
  <c r="N22" i="52"/>
  <c r="M23" i="52"/>
  <c r="N23" i="52"/>
  <c r="M24" i="52"/>
  <c r="N24" i="52"/>
  <c r="M25" i="52"/>
  <c r="N25" i="52"/>
  <c r="M26" i="52"/>
  <c r="N26" i="52"/>
  <c r="M27" i="52"/>
  <c r="N27" i="52"/>
  <c r="M28" i="52"/>
  <c r="N28" i="52"/>
  <c r="M29" i="52"/>
  <c r="N29" i="52"/>
  <c r="M30" i="52"/>
  <c r="N30" i="52"/>
  <c r="M31" i="52"/>
  <c r="N31" i="52"/>
  <c r="M32" i="52"/>
  <c r="N32" i="52"/>
  <c r="M33" i="52"/>
  <c r="N33" i="52"/>
  <c r="M34" i="52"/>
  <c r="N34" i="52"/>
  <c r="M35" i="52"/>
  <c r="N35" i="52"/>
  <c r="M36" i="52"/>
  <c r="N36" i="52"/>
  <c r="M37" i="52"/>
  <c r="N37" i="52"/>
  <c r="M38" i="52"/>
  <c r="N38" i="52"/>
  <c r="M39" i="52"/>
  <c r="N39" i="52"/>
  <c r="M40" i="52"/>
  <c r="N40" i="52"/>
  <c r="M41" i="52"/>
  <c r="N41" i="52"/>
  <c r="M42" i="52"/>
  <c r="N42" i="52"/>
  <c r="M43" i="52"/>
  <c r="N43" i="52"/>
  <c r="M44" i="52"/>
  <c r="N44" i="52"/>
  <c r="M45" i="52"/>
  <c r="N45" i="52"/>
  <c r="M46" i="52"/>
  <c r="N46" i="52"/>
  <c r="M47" i="52"/>
  <c r="N47" i="52"/>
  <c r="M48" i="52"/>
  <c r="N48" i="52"/>
  <c r="M49" i="52"/>
  <c r="N49" i="52"/>
  <c r="M50" i="52"/>
  <c r="N50" i="52"/>
  <c r="M51" i="52"/>
  <c r="N51" i="52"/>
  <c r="M52" i="52"/>
  <c r="N52" i="52"/>
  <c r="M53" i="52"/>
  <c r="N53" i="52"/>
  <c r="M54" i="52"/>
  <c r="N54" i="52"/>
  <c r="M55" i="52"/>
  <c r="N55" i="52"/>
  <c r="M56" i="52"/>
  <c r="N56" i="52"/>
  <c r="M57" i="52"/>
  <c r="N57" i="52"/>
  <c r="M58" i="52"/>
  <c r="N58" i="52"/>
  <c r="M59" i="52"/>
  <c r="N59" i="52"/>
  <c r="M60" i="52"/>
  <c r="N60" i="52"/>
  <c r="M61" i="52"/>
  <c r="N61" i="52"/>
  <c r="M62" i="52"/>
  <c r="N62" i="52"/>
  <c r="M63" i="52"/>
  <c r="N63" i="52"/>
  <c r="M64" i="52"/>
  <c r="N64" i="52"/>
  <c r="M65" i="52"/>
  <c r="N65" i="52"/>
  <c r="M66" i="52"/>
  <c r="N66" i="52"/>
  <c r="M67" i="52"/>
  <c r="N67" i="52"/>
  <c r="M68" i="52"/>
  <c r="N68" i="52"/>
  <c r="M69" i="52"/>
  <c r="N69" i="52"/>
  <c r="M70" i="52"/>
  <c r="N70" i="52"/>
  <c r="M71" i="52"/>
  <c r="N71" i="52"/>
  <c r="M72" i="52"/>
  <c r="N72" i="52"/>
  <c r="M73" i="52"/>
  <c r="N73" i="52"/>
  <c r="M74" i="52"/>
  <c r="N74" i="52"/>
  <c r="M75" i="52"/>
  <c r="N75" i="52"/>
  <c r="M76" i="52"/>
  <c r="N76" i="52"/>
  <c r="M77" i="52"/>
  <c r="N77" i="52"/>
  <c r="M78" i="52"/>
  <c r="N78" i="52"/>
  <c r="M79" i="52"/>
  <c r="N79" i="52"/>
  <c r="M80" i="52"/>
  <c r="N80" i="52"/>
  <c r="M81" i="52"/>
  <c r="N81" i="52"/>
  <c r="M82" i="52"/>
  <c r="N82" i="52"/>
  <c r="M83" i="52"/>
  <c r="N83" i="52"/>
  <c r="M84" i="52"/>
  <c r="N84" i="52"/>
  <c r="M85" i="52"/>
  <c r="N85" i="52"/>
  <c r="M86" i="52"/>
  <c r="N86" i="52"/>
  <c r="M87" i="52"/>
  <c r="N87" i="52"/>
  <c r="M88" i="52"/>
  <c r="N88" i="52"/>
  <c r="M89" i="52"/>
  <c r="N89" i="52"/>
  <c r="M90" i="52"/>
  <c r="N90" i="52"/>
  <c r="M91" i="52"/>
  <c r="N91" i="52"/>
  <c r="M92" i="52"/>
  <c r="N92" i="52"/>
  <c r="M93" i="52"/>
  <c r="N93" i="52"/>
  <c r="M94" i="52"/>
  <c r="N94" i="52"/>
  <c r="M95" i="52"/>
  <c r="N95" i="52"/>
  <c r="M96" i="52"/>
  <c r="N96" i="52"/>
  <c r="M97" i="52"/>
  <c r="N97" i="52"/>
  <c r="M98" i="52"/>
  <c r="N98" i="52"/>
  <c r="M99" i="52"/>
  <c r="N99" i="52"/>
  <c r="M100" i="52"/>
  <c r="N100" i="52"/>
  <c r="M101" i="52"/>
  <c r="N101" i="52"/>
  <c r="M102" i="52"/>
  <c r="N102" i="52"/>
  <c r="M103" i="52"/>
  <c r="N103" i="52"/>
  <c r="M104" i="52"/>
  <c r="N104" i="52"/>
  <c r="M105" i="52"/>
  <c r="N105" i="52"/>
  <c r="M106" i="52"/>
  <c r="N106" i="52"/>
  <c r="M107" i="52"/>
  <c r="N107" i="52"/>
  <c r="M108" i="52"/>
  <c r="N108" i="52"/>
  <c r="M109" i="52"/>
  <c r="N109" i="52"/>
  <c r="M110" i="52"/>
  <c r="N110" i="52"/>
  <c r="M111" i="52"/>
  <c r="N111" i="52"/>
  <c r="N12" i="3"/>
  <c r="M12" i="3"/>
  <c r="G21" i="62" l="1"/>
  <c r="H21" i="62"/>
  <c r="I21" i="62"/>
  <c r="J21" i="62" s="1"/>
  <c r="M21" i="62"/>
  <c r="K21" i="62" s="1"/>
  <c r="N21" i="62"/>
  <c r="L21" i="62" s="1"/>
  <c r="G22" i="62"/>
  <c r="H22" i="62"/>
  <c r="M22" i="62"/>
  <c r="K22" i="62" s="1"/>
  <c r="N22" i="62"/>
  <c r="L22" i="62" s="1"/>
  <c r="G23" i="62"/>
  <c r="H23" i="62"/>
  <c r="I23" i="62"/>
  <c r="J23" i="62" s="1"/>
  <c r="M23" i="62"/>
  <c r="K23" i="62" s="1"/>
  <c r="N23" i="62"/>
  <c r="L23" i="62" s="1"/>
  <c r="G24" i="62"/>
  <c r="H24" i="62"/>
  <c r="M24" i="62"/>
  <c r="K24" i="62" s="1"/>
  <c r="N24" i="62"/>
  <c r="L24" i="62" s="1"/>
  <c r="G25" i="62"/>
  <c r="H25" i="62"/>
  <c r="M25" i="62"/>
  <c r="K25" i="62" s="1"/>
  <c r="N25" i="62"/>
  <c r="L25" i="62" s="1"/>
  <c r="G26" i="62"/>
  <c r="H26" i="62"/>
  <c r="M26" i="62"/>
  <c r="K26" i="62" s="1"/>
  <c r="N26" i="62"/>
  <c r="L26" i="62" s="1"/>
  <c r="G27" i="62"/>
  <c r="H27" i="62"/>
  <c r="M27" i="62"/>
  <c r="K27" i="62" s="1"/>
  <c r="N27" i="62"/>
  <c r="L27" i="62" s="1"/>
  <c r="G28" i="62"/>
  <c r="H28" i="62"/>
  <c r="M28" i="62"/>
  <c r="K28" i="62" s="1"/>
  <c r="N28" i="62"/>
  <c r="L28" i="62" s="1"/>
  <c r="G29" i="62"/>
  <c r="H29" i="62"/>
  <c r="I29" i="62" s="1"/>
  <c r="J29" i="62" s="1"/>
  <c r="M29" i="62"/>
  <c r="K29" i="62" s="1"/>
  <c r="N29" i="62"/>
  <c r="L29" i="62" s="1"/>
  <c r="G30" i="62"/>
  <c r="H30" i="62"/>
  <c r="M30" i="62"/>
  <c r="K30" i="62" s="1"/>
  <c r="N30" i="62"/>
  <c r="L30" i="62" s="1"/>
  <c r="G31" i="62"/>
  <c r="H31" i="62"/>
  <c r="M31" i="62"/>
  <c r="K31" i="62" s="1"/>
  <c r="N31" i="62"/>
  <c r="L31" i="62" s="1"/>
  <c r="G32" i="62"/>
  <c r="H32" i="62"/>
  <c r="M32" i="62"/>
  <c r="K32" i="62" s="1"/>
  <c r="N32" i="62"/>
  <c r="L32" i="62" s="1"/>
  <c r="G33" i="62"/>
  <c r="H33" i="62"/>
  <c r="M33" i="62"/>
  <c r="K33" i="62" s="1"/>
  <c r="N33" i="62"/>
  <c r="L33" i="62" s="1"/>
  <c r="G34" i="62"/>
  <c r="H34" i="62"/>
  <c r="M34" i="62"/>
  <c r="K34" i="62" s="1"/>
  <c r="N34" i="62"/>
  <c r="L34" i="62" s="1"/>
  <c r="G35" i="62"/>
  <c r="H35" i="62"/>
  <c r="M35" i="62"/>
  <c r="K35" i="62" s="1"/>
  <c r="N35" i="62"/>
  <c r="L35" i="62" s="1"/>
  <c r="G36" i="62"/>
  <c r="H36" i="62"/>
  <c r="M36" i="62"/>
  <c r="K36" i="62" s="1"/>
  <c r="N36" i="62"/>
  <c r="L36" i="62" s="1"/>
  <c r="G37" i="62"/>
  <c r="H37" i="62"/>
  <c r="M37" i="62"/>
  <c r="K37" i="62" s="1"/>
  <c r="N37" i="62"/>
  <c r="L37" i="62" s="1"/>
  <c r="G38" i="62"/>
  <c r="H38" i="62"/>
  <c r="M38" i="62"/>
  <c r="K38" i="62" s="1"/>
  <c r="N38" i="62"/>
  <c r="L38" i="62" s="1"/>
  <c r="G39" i="62"/>
  <c r="H39" i="62"/>
  <c r="I39" i="62" s="1"/>
  <c r="J39" i="62" s="1"/>
  <c r="M39" i="62"/>
  <c r="K39" i="62" s="1"/>
  <c r="N39" i="62"/>
  <c r="L39" i="62" s="1"/>
  <c r="G40" i="62"/>
  <c r="H40" i="62"/>
  <c r="M40" i="62"/>
  <c r="K40" i="62" s="1"/>
  <c r="N40" i="62"/>
  <c r="L40" i="62" s="1"/>
  <c r="G41" i="62"/>
  <c r="H41" i="62"/>
  <c r="M41" i="62"/>
  <c r="K41" i="62" s="1"/>
  <c r="N41" i="62"/>
  <c r="L41" i="62" s="1"/>
  <c r="G42" i="62"/>
  <c r="H42" i="62"/>
  <c r="M42" i="62"/>
  <c r="K42" i="62" s="1"/>
  <c r="N42" i="62"/>
  <c r="L42" i="62" s="1"/>
  <c r="G43" i="62"/>
  <c r="H43" i="62"/>
  <c r="M43" i="62"/>
  <c r="K43" i="62" s="1"/>
  <c r="N43" i="62"/>
  <c r="L43" i="62" s="1"/>
  <c r="G44" i="62"/>
  <c r="H44" i="62"/>
  <c r="M44" i="62"/>
  <c r="K44" i="62" s="1"/>
  <c r="N44" i="62"/>
  <c r="L44" i="62" s="1"/>
  <c r="G45" i="62"/>
  <c r="H45" i="62"/>
  <c r="M45" i="62"/>
  <c r="K45" i="62" s="1"/>
  <c r="N45" i="62"/>
  <c r="L45" i="62" s="1"/>
  <c r="G46" i="62"/>
  <c r="H46" i="62"/>
  <c r="M46" i="62"/>
  <c r="K46" i="62" s="1"/>
  <c r="N46" i="62"/>
  <c r="L46" i="62" s="1"/>
  <c r="G47" i="62"/>
  <c r="H47" i="62"/>
  <c r="M47" i="62"/>
  <c r="K47" i="62" s="1"/>
  <c r="N47" i="62"/>
  <c r="L47" i="62" s="1"/>
  <c r="G48" i="62"/>
  <c r="H48" i="62"/>
  <c r="M48" i="62"/>
  <c r="K48" i="62" s="1"/>
  <c r="N48" i="62"/>
  <c r="L48" i="62" s="1"/>
  <c r="G49" i="62"/>
  <c r="H49" i="62"/>
  <c r="M49" i="62"/>
  <c r="K49" i="62" s="1"/>
  <c r="N49" i="62"/>
  <c r="L49" i="62" s="1"/>
  <c r="G50" i="62"/>
  <c r="H50" i="62"/>
  <c r="M50" i="62"/>
  <c r="K50" i="62" s="1"/>
  <c r="N50" i="62"/>
  <c r="L50" i="62" s="1"/>
  <c r="G51" i="62"/>
  <c r="H51" i="62"/>
  <c r="M51" i="62"/>
  <c r="K51" i="62" s="1"/>
  <c r="N51" i="62"/>
  <c r="L51" i="62" s="1"/>
  <c r="G52" i="62"/>
  <c r="H52" i="62"/>
  <c r="M52" i="62"/>
  <c r="K52" i="62" s="1"/>
  <c r="N52" i="62"/>
  <c r="L52" i="62" s="1"/>
  <c r="G53" i="62"/>
  <c r="H53" i="62"/>
  <c r="M53" i="62"/>
  <c r="K53" i="62" s="1"/>
  <c r="N53" i="62"/>
  <c r="L53" i="62" s="1"/>
  <c r="G54" i="62"/>
  <c r="H54" i="62"/>
  <c r="I54" i="62" s="1"/>
  <c r="J54" i="62" s="1"/>
  <c r="M54" i="62"/>
  <c r="K54" i="62" s="1"/>
  <c r="N54" i="62"/>
  <c r="L54" i="62" s="1"/>
  <c r="G55" i="62"/>
  <c r="H55" i="62"/>
  <c r="M55" i="62"/>
  <c r="K55" i="62" s="1"/>
  <c r="N55" i="62"/>
  <c r="L55" i="62" s="1"/>
  <c r="G56" i="62"/>
  <c r="H56" i="62"/>
  <c r="M56" i="62"/>
  <c r="K56" i="62" s="1"/>
  <c r="N56" i="62"/>
  <c r="L56" i="62" s="1"/>
  <c r="G57" i="62"/>
  <c r="H57" i="62"/>
  <c r="M57" i="62"/>
  <c r="K57" i="62" s="1"/>
  <c r="N57" i="62"/>
  <c r="L57" i="62" s="1"/>
  <c r="G58" i="62"/>
  <c r="H58" i="62"/>
  <c r="M58" i="62"/>
  <c r="K58" i="62" s="1"/>
  <c r="N58" i="62"/>
  <c r="L58" i="62" s="1"/>
  <c r="G59" i="62"/>
  <c r="H59" i="62"/>
  <c r="M59" i="62"/>
  <c r="K59" i="62" s="1"/>
  <c r="N59" i="62"/>
  <c r="L59" i="62" s="1"/>
  <c r="G60" i="62"/>
  <c r="H60" i="62"/>
  <c r="I60" i="62" s="1"/>
  <c r="J60" i="62" s="1"/>
  <c r="M60" i="62"/>
  <c r="K60" i="62" s="1"/>
  <c r="N60" i="62"/>
  <c r="L60" i="62" s="1"/>
  <c r="G61" i="62"/>
  <c r="H61" i="62"/>
  <c r="M61" i="62"/>
  <c r="K61" i="62" s="1"/>
  <c r="N61" i="62"/>
  <c r="L61" i="62" s="1"/>
  <c r="G62" i="62"/>
  <c r="H62" i="62"/>
  <c r="M62" i="62"/>
  <c r="K62" i="62" s="1"/>
  <c r="N62" i="62"/>
  <c r="L62" i="62" s="1"/>
  <c r="G63" i="62"/>
  <c r="H63" i="62"/>
  <c r="M63" i="62"/>
  <c r="K63" i="62" s="1"/>
  <c r="N63" i="62"/>
  <c r="L63" i="62" s="1"/>
  <c r="G64" i="62"/>
  <c r="H64" i="62"/>
  <c r="M64" i="62"/>
  <c r="K64" i="62" s="1"/>
  <c r="N64" i="62"/>
  <c r="L64" i="62" s="1"/>
  <c r="G65" i="62"/>
  <c r="H65" i="62"/>
  <c r="M65" i="62"/>
  <c r="K65" i="62" s="1"/>
  <c r="N65" i="62"/>
  <c r="L65" i="62" s="1"/>
  <c r="G66" i="62"/>
  <c r="H66" i="62"/>
  <c r="M66" i="62"/>
  <c r="K66" i="62" s="1"/>
  <c r="N66" i="62"/>
  <c r="L66" i="62" s="1"/>
  <c r="G67" i="62"/>
  <c r="H67" i="62"/>
  <c r="M67" i="62"/>
  <c r="K67" i="62" s="1"/>
  <c r="N67" i="62"/>
  <c r="L67" i="62" s="1"/>
  <c r="G68" i="62"/>
  <c r="H68" i="62"/>
  <c r="M68" i="62"/>
  <c r="K68" i="62" s="1"/>
  <c r="N68" i="62"/>
  <c r="L68" i="62" s="1"/>
  <c r="G69" i="62"/>
  <c r="H69" i="62"/>
  <c r="M69" i="62"/>
  <c r="K69" i="62" s="1"/>
  <c r="N69" i="62"/>
  <c r="L69" i="62" s="1"/>
  <c r="G70" i="62"/>
  <c r="H70" i="62"/>
  <c r="I70" i="62" s="1"/>
  <c r="J70" i="62" s="1"/>
  <c r="M70" i="62"/>
  <c r="K70" i="62" s="1"/>
  <c r="N70" i="62"/>
  <c r="L70" i="62" s="1"/>
  <c r="G71" i="62"/>
  <c r="H71" i="62"/>
  <c r="M71" i="62"/>
  <c r="K71" i="62" s="1"/>
  <c r="N71" i="62"/>
  <c r="L71" i="62" s="1"/>
  <c r="G72" i="62"/>
  <c r="H72" i="62"/>
  <c r="M72" i="62"/>
  <c r="K72" i="62" s="1"/>
  <c r="N72" i="62"/>
  <c r="L72" i="62" s="1"/>
  <c r="G73" i="62"/>
  <c r="H73" i="62"/>
  <c r="M73" i="62"/>
  <c r="K73" i="62" s="1"/>
  <c r="N73" i="62"/>
  <c r="L73" i="62" s="1"/>
  <c r="G74" i="62"/>
  <c r="H74" i="62"/>
  <c r="M74" i="62"/>
  <c r="K74" i="62" s="1"/>
  <c r="N74" i="62"/>
  <c r="L74" i="62" s="1"/>
  <c r="G75" i="62"/>
  <c r="H75" i="62"/>
  <c r="M75" i="62"/>
  <c r="K75" i="62" s="1"/>
  <c r="N75" i="62"/>
  <c r="L75" i="62" s="1"/>
  <c r="G76" i="62"/>
  <c r="H76" i="62"/>
  <c r="I76" i="62" s="1"/>
  <c r="J76" i="62" s="1"/>
  <c r="M76" i="62"/>
  <c r="K76" i="62" s="1"/>
  <c r="N76" i="62"/>
  <c r="L76" i="62" s="1"/>
  <c r="G77" i="62"/>
  <c r="H77" i="62"/>
  <c r="M77" i="62"/>
  <c r="K77" i="62" s="1"/>
  <c r="N77" i="62"/>
  <c r="L77" i="62" s="1"/>
  <c r="G78" i="62"/>
  <c r="H78" i="62"/>
  <c r="I78" i="62" s="1"/>
  <c r="J78" i="62" s="1"/>
  <c r="M78" i="62"/>
  <c r="K78" i="62" s="1"/>
  <c r="N78" i="62"/>
  <c r="L78" i="62" s="1"/>
  <c r="G79" i="62"/>
  <c r="H79" i="62"/>
  <c r="M79" i="62"/>
  <c r="K79" i="62" s="1"/>
  <c r="N79" i="62"/>
  <c r="L79" i="62" s="1"/>
  <c r="G80" i="62"/>
  <c r="H80" i="62"/>
  <c r="M80" i="62"/>
  <c r="K80" i="62" s="1"/>
  <c r="N80" i="62"/>
  <c r="L80" i="62" s="1"/>
  <c r="G81" i="62"/>
  <c r="H81" i="62"/>
  <c r="M81" i="62"/>
  <c r="K81" i="62" s="1"/>
  <c r="N81" i="62"/>
  <c r="L81" i="62" s="1"/>
  <c r="G21" i="63"/>
  <c r="H21" i="63"/>
  <c r="K21" i="63"/>
  <c r="L21" i="63"/>
  <c r="G22" i="63"/>
  <c r="H22" i="63"/>
  <c r="K22" i="63"/>
  <c r="L22" i="63"/>
  <c r="G23" i="63"/>
  <c r="H23" i="63"/>
  <c r="K23" i="63"/>
  <c r="L23" i="63"/>
  <c r="G24" i="63"/>
  <c r="H24" i="63"/>
  <c r="I24" i="63" s="1"/>
  <c r="J24" i="63" s="1"/>
  <c r="K24" i="63"/>
  <c r="L24" i="63"/>
  <c r="G25" i="63"/>
  <c r="H25" i="63"/>
  <c r="K25" i="63"/>
  <c r="L25" i="63"/>
  <c r="G26" i="63"/>
  <c r="H26" i="63"/>
  <c r="K26" i="63"/>
  <c r="L26" i="63"/>
  <c r="G27" i="63"/>
  <c r="H27" i="63"/>
  <c r="K27" i="63"/>
  <c r="L27" i="63"/>
  <c r="G28" i="63"/>
  <c r="H28" i="63"/>
  <c r="K28" i="63"/>
  <c r="L28" i="63"/>
  <c r="G29" i="63"/>
  <c r="H29" i="63"/>
  <c r="K29" i="63"/>
  <c r="L29" i="63"/>
  <c r="G30" i="63"/>
  <c r="H30" i="63"/>
  <c r="K30" i="63"/>
  <c r="L30" i="63"/>
  <c r="G31" i="63"/>
  <c r="H31" i="63"/>
  <c r="K31" i="63"/>
  <c r="L31" i="63"/>
  <c r="G32" i="63"/>
  <c r="H32" i="63"/>
  <c r="K32" i="63"/>
  <c r="L32" i="63"/>
  <c r="G33" i="63"/>
  <c r="H33" i="63"/>
  <c r="K33" i="63"/>
  <c r="L33" i="63"/>
  <c r="G34" i="63"/>
  <c r="H34" i="63"/>
  <c r="K34" i="63"/>
  <c r="L34" i="63"/>
  <c r="G35" i="63"/>
  <c r="H35" i="63"/>
  <c r="K35" i="63"/>
  <c r="L35" i="63"/>
  <c r="G36" i="63"/>
  <c r="H36" i="63"/>
  <c r="K36" i="63"/>
  <c r="L36" i="63"/>
  <c r="G37" i="63"/>
  <c r="H37" i="63"/>
  <c r="K37" i="63"/>
  <c r="L37" i="63"/>
  <c r="G38" i="63"/>
  <c r="H38" i="63"/>
  <c r="K38" i="63"/>
  <c r="L38" i="63"/>
  <c r="G39" i="63"/>
  <c r="H39" i="63"/>
  <c r="K39" i="63"/>
  <c r="L39" i="63"/>
  <c r="G40" i="63"/>
  <c r="H40" i="63"/>
  <c r="K40" i="63"/>
  <c r="L40" i="63"/>
  <c r="G41" i="63"/>
  <c r="H41" i="63"/>
  <c r="K41" i="63"/>
  <c r="L41" i="63"/>
  <c r="G42" i="63"/>
  <c r="H42" i="63"/>
  <c r="K42" i="63"/>
  <c r="L42" i="63"/>
  <c r="G43" i="63"/>
  <c r="H43" i="63"/>
  <c r="K43" i="63"/>
  <c r="L43" i="63"/>
  <c r="G44" i="63"/>
  <c r="H44" i="63"/>
  <c r="K44" i="63"/>
  <c r="L44" i="63"/>
  <c r="G45" i="63"/>
  <c r="H45" i="63"/>
  <c r="K45" i="63"/>
  <c r="L45" i="63"/>
  <c r="G46" i="63"/>
  <c r="H46" i="63"/>
  <c r="K46" i="63"/>
  <c r="L46" i="63"/>
  <c r="G47" i="63"/>
  <c r="H47" i="63"/>
  <c r="K47" i="63"/>
  <c r="L47" i="63"/>
  <c r="G48" i="63"/>
  <c r="H48" i="63"/>
  <c r="K48" i="63"/>
  <c r="L48" i="63"/>
  <c r="G49" i="63"/>
  <c r="H49" i="63"/>
  <c r="K49" i="63"/>
  <c r="L49" i="63"/>
  <c r="G50" i="63"/>
  <c r="H50" i="63"/>
  <c r="K50" i="63"/>
  <c r="L50" i="63"/>
  <c r="G51" i="63"/>
  <c r="H51" i="63"/>
  <c r="K51" i="63"/>
  <c r="L51" i="63"/>
  <c r="G52" i="63"/>
  <c r="H52" i="63"/>
  <c r="K52" i="63"/>
  <c r="L52" i="63"/>
  <c r="G53" i="63"/>
  <c r="H53" i="63"/>
  <c r="K53" i="63"/>
  <c r="L53" i="63"/>
  <c r="G54" i="63"/>
  <c r="H54" i="63"/>
  <c r="K54" i="63"/>
  <c r="L54" i="63"/>
  <c r="G55" i="63"/>
  <c r="H55" i="63"/>
  <c r="K55" i="63"/>
  <c r="L55" i="63"/>
  <c r="G56" i="63"/>
  <c r="H56" i="63"/>
  <c r="I56" i="63" s="1"/>
  <c r="J56" i="63" s="1"/>
  <c r="K56" i="63"/>
  <c r="L56" i="63"/>
  <c r="G57" i="63"/>
  <c r="H57" i="63"/>
  <c r="K57" i="63"/>
  <c r="L57" i="63"/>
  <c r="G58" i="63"/>
  <c r="H58" i="63"/>
  <c r="K58" i="63"/>
  <c r="L58" i="63"/>
  <c r="G59" i="63"/>
  <c r="H59" i="63"/>
  <c r="K59" i="63"/>
  <c r="L59" i="63"/>
  <c r="G60" i="63"/>
  <c r="H60" i="63"/>
  <c r="K60" i="63"/>
  <c r="L60" i="63"/>
  <c r="G61" i="63"/>
  <c r="H61" i="63"/>
  <c r="K61" i="63"/>
  <c r="L61" i="63"/>
  <c r="G62" i="63"/>
  <c r="H62" i="63"/>
  <c r="K62" i="63"/>
  <c r="L62" i="63"/>
  <c r="G63" i="63"/>
  <c r="H63" i="63"/>
  <c r="K63" i="63"/>
  <c r="L63" i="63"/>
  <c r="G64" i="63"/>
  <c r="H64" i="63"/>
  <c r="K64" i="63"/>
  <c r="L64" i="63"/>
  <c r="G65" i="63"/>
  <c r="H65" i="63"/>
  <c r="K65" i="63"/>
  <c r="L65" i="63"/>
  <c r="G66" i="63"/>
  <c r="H66" i="63"/>
  <c r="K66" i="63"/>
  <c r="L66" i="63"/>
  <c r="G67" i="63"/>
  <c r="H67" i="63"/>
  <c r="K67" i="63"/>
  <c r="L67" i="63"/>
  <c r="G68" i="63"/>
  <c r="H68" i="63"/>
  <c r="K68" i="63"/>
  <c r="L68" i="63"/>
  <c r="G69" i="63"/>
  <c r="H69" i="63"/>
  <c r="K69" i="63"/>
  <c r="L69" i="63"/>
  <c r="G70" i="63"/>
  <c r="H70" i="63"/>
  <c r="K70" i="63"/>
  <c r="L70" i="63"/>
  <c r="G71" i="63"/>
  <c r="H71" i="63"/>
  <c r="K71" i="63"/>
  <c r="L71" i="63"/>
  <c r="G72" i="63"/>
  <c r="H72" i="63"/>
  <c r="K72" i="63"/>
  <c r="L72" i="63"/>
  <c r="G73" i="63"/>
  <c r="H73" i="63"/>
  <c r="K73" i="63"/>
  <c r="L73" i="63"/>
  <c r="G74" i="63"/>
  <c r="H74" i="63"/>
  <c r="K74" i="63"/>
  <c r="L74" i="63"/>
  <c r="G75" i="63"/>
  <c r="H75" i="63"/>
  <c r="K75" i="63"/>
  <c r="L75" i="63"/>
  <c r="G76" i="63"/>
  <c r="H76" i="63"/>
  <c r="K76" i="63"/>
  <c r="L76" i="63"/>
  <c r="G21" i="61"/>
  <c r="I21" i="61" s="1"/>
  <c r="J21" i="61" s="1"/>
  <c r="H21" i="61"/>
  <c r="M21" i="61"/>
  <c r="K21" i="61" s="1"/>
  <c r="N21" i="61"/>
  <c r="L21" i="61" s="1"/>
  <c r="G22" i="61"/>
  <c r="H22" i="61"/>
  <c r="M22" i="61"/>
  <c r="K22" i="61" s="1"/>
  <c r="N22" i="61"/>
  <c r="L22" i="61" s="1"/>
  <c r="G23" i="61"/>
  <c r="H23" i="61"/>
  <c r="M23" i="61"/>
  <c r="K23" i="61" s="1"/>
  <c r="N23" i="61"/>
  <c r="L23" i="61" s="1"/>
  <c r="G24" i="61"/>
  <c r="I24" i="61" s="1"/>
  <c r="J24" i="61" s="1"/>
  <c r="H24" i="61"/>
  <c r="M24" i="61"/>
  <c r="K24" i="61" s="1"/>
  <c r="N24" i="61"/>
  <c r="L24" i="61" s="1"/>
  <c r="G25" i="61"/>
  <c r="H25" i="61"/>
  <c r="M25" i="61"/>
  <c r="K25" i="61" s="1"/>
  <c r="N25" i="61"/>
  <c r="L25" i="61" s="1"/>
  <c r="G26" i="61"/>
  <c r="H26" i="61"/>
  <c r="M26" i="61"/>
  <c r="K26" i="61" s="1"/>
  <c r="N26" i="61"/>
  <c r="L26" i="61" s="1"/>
  <c r="G27" i="61"/>
  <c r="H27" i="61"/>
  <c r="M27" i="61"/>
  <c r="K27" i="61" s="1"/>
  <c r="N27" i="61"/>
  <c r="L27" i="61" s="1"/>
  <c r="G28" i="61"/>
  <c r="H28" i="61"/>
  <c r="M28" i="61"/>
  <c r="K28" i="61" s="1"/>
  <c r="N28" i="61"/>
  <c r="L28" i="61" s="1"/>
  <c r="G29" i="61"/>
  <c r="H29" i="61"/>
  <c r="M29" i="61"/>
  <c r="K29" i="61" s="1"/>
  <c r="N29" i="61"/>
  <c r="L29" i="61" s="1"/>
  <c r="G30" i="61"/>
  <c r="H30" i="61"/>
  <c r="M30" i="61"/>
  <c r="K30" i="61" s="1"/>
  <c r="N30" i="61"/>
  <c r="L30" i="61" s="1"/>
  <c r="G31" i="61"/>
  <c r="H31" i="61"/>
  <c r="M31" i="61"/>
  <c r="K31" i="61" s="1"/>
  <c r="N31" i="61"/>
  <c r="L31" i="61" s="1"/>
  <c r="G32" i="61"/>
  <c r="H32" i="61"/>
  <c r="M32" i="61"/>
  <c r="K32" i="61" s="1"/>
  <c r="N32" i="61"/>
  <c r="L32" i="61" s="1"/>
  <c r="G33" i="61"/>
  <c r="H33" i="61"/>
  <c r="M33" i="61"/>
  <c r="K33" i="61" s="1"/>
  <c r="N33" i="61"/>
  <c r="L33" i="61" s="1"/>
  <c r="G34" i="61"/>
  <c r="H34" i="61"/>
  <c r="M34" i="61"/>
  <c r="K34" i="61" s="1"/>
  <c r="N34" i="61"/>
  <c r="L34" i="61" s="1"/>
  <c r="G35" i="61"/>
  <c r="H35" i="61"/>
  <c r="M35" i="61"/>
  <c r="K35" i="61" s="1"/>
  <c r="N35" i="61"/>
  <c r="L35" i="61" s="1"/>
  <c r="G36" i="61"/>
  <c r="H36" i="61"/>
  <c r="M36" i="61"/>
  <c r="K36" i="61" s="1"/>
  <c r="N36" i="61"/>
  <c r="L36" i="61" s="1"/>
  <c r="G37" i="61"/>
  <c r="H37" i="61"/>
  <c r="M37" i="61"/>
  <c r="K37" i="61" s="1"/>
  <c r="N37" i="61"/>
  <c r="L37" i="61" s="1"/>
  <c r="G38" i="61"/>
  <c r="H38" i="61"/>
  <c r="M38" i="61"/>
  <c r="K38" i="61" s="1"/>
  <c r="N38" i="61"/>
  <c r="L38" i="61" s="1"/>
  <c r="G39" i="61"/>
  <c r="H39" i="61"/>
  <c r="M39" i="61"/>
  <c r="K39" i="61" s="1"/>
  <c r="N39" i="61"/>
  <c r="L39" i="61" s="1"/>
  <c r="G40" i="61"/>
  <c r="H40" i="61"/>
  <c r="M40" i="61"/>
  <c r="K40" i="61" s="1"/>
  <c r="N40" i="61"/>
  <c r="L40" i="61" s="1"/>
  <c r="G41" i="61"/>
  <c r="H41" i="61"/>
  <c r="M41" i="61"/>
  <c r="K41" i="61" s="1"/>
  <c r="N41" i="61"/>
  <c r="L41" i="61" s="1"/>
  <c r="G42" i="61"/>
  <c r="H42" i="61"/>
  <c r="M42" i="61"/>
  <c r="K42" i="61" s="1"/>
  <c r="N42" i="61"/>
  <c r="L42" i="61" s="1"/>
  <c r="G43" i="61"/>
  <c r="H43" i="61"/>
  <c r="M43" i="61"/>
  <c r="K43" i="61" s="1"/>
  <c r="N43" i="61"/>
  <c r="L43" i="61" s="1"/>
  <c r="G44" i="61"/>
  <c r="H44" i="61"/>
  <c r="M44" i="61"/>
  <c r="K44" i="61" s="1"/>
  <c r="N44" i="61"/>
  <c r="L44" i="61" s="1"/>
  <c r="G45" i="61"/>
  <c r="H45" i="61"/>
  <c r="M45" i="61"/>
  <c r="K45" i="61" s="1"/>
  <c r="N45" i="61"/>
  <c r="L45" i="61" s="1"/>
  <c r="G46" i="61"/>
  <c r="H46" i="61"/>
  <c r="M46" i="61"/>
  <c r="K46" i="61" s="1"/>
  <c r="N46" i="61"/>
  <c r="L46" i="61" s="1"/>
  <c r="G47" i="61"/>
  <c r="H47" i="61"/>
  <c r="M47" i="61"/>
  <c r="K47" i="61" s="1"/>
  <c r="N47" i="61"/>
  <c r="L47" i="61" s="1"/>
  <c r="G48" i="61"/>
  <c r="H48" i="61"/>
  <c r="M48" i="61"/>
  <c r="K48" i="61" s="1"/>
  <c r="N48" i="61"/>
  <c r="L48" i="61" s="1"/>
  <c r="G49" i="61"/>
  <c r="H49" i="61"/>
  <c r="M49" i="61"/>
  <c r="K49" i="61" s="1"/>
  <c r="N49" i="61"/>
  <c r="L49" i="61" s="1"/>
  <c r="G50" i="61"/>
  <c r="H50" i="61"/>
  <c r="M50" i="61"/>
  <c r="K50" i="61" s="1"/>
  <c r="N50" i="61"/>
  <c r="L50" i="61" s="1"/>
  <c r="G51" i="61"/>
  <c r="H51" i="61"/>
  <c r="M51" i="61"/>
  <c r="K51" i="61" s="1"/>
  <c r="N51" i="61"/>
  <c r="L51" i="61" s="1"/>
  <c r="G52" i="61"/>
  <c r="H52" i="61"/>
  <c r="M52" i="61"/>
  <c r="K52" i="61" s="1"/>
  <c r="N52" i="61"/>
  <c r="L52" i="61" s="1"/>
  <c r="G53" i="61"/>
  <c r="H53" i="61"/>
  <c r="M53" i="61"/>
  <c r="K53" i="61" s="1"/>
  <c r="N53" i="61"/>
  <c r="L53" i="61" s="1"/>
  <c r="G54" i="61"/>
  <c r="H54" i="61"/>
  <c r="M54" i="61"/>
  <c r="K54" i="61" s="1"/>
  <c r="N54" i="61"/>
  <c r="L54" i="61" s="1"/>
  <c r="G55" i="61"/>
  <c r="H55" i="61"/>
  <c r="M55" i="61"/>
  <c r="K55" i="61" s="1"/>
  <c r="N55" i="61"/>
  <c r="L55" i="61" s="1"/>
  <c r="G56" i="61"/>
  <c r="I56" i="61" s="1"/>
  <c r="J56" i="61" s="1"/>
  <c r="H56" i="61"/>
  <c r="M56" i="61"/>
  <c r="K56" i="61" s="1"/>
  <c r="N56" i="61"/>
  <c r="L56" i="61" s="1"/>
  <c r="G57" i="61"/>
  <c r="H57" i="61"/>
  <c r="M57" i="61"/>
  <c r="K57" i="61" s="1"/>
  <c r="N57" i="61"/>
  <c r="L57" i="61" s="1"/>
  <c r="G58" i="61"/>
  <c r="H58" i="61"/>
  <c r="M58" i="61"/>
  <c r="K58" i="61" s="1"/>
  <c r="N58" i="61"/>
  <c r="L58" i="61" s="1"/>
  <c r="G59" i="61"/>
  <c r="H59" i="61"/>
  <c r="M59" i="61"/>
  <c r="K59" i="61" s="1"/>
  <c r="N59" i="61"/>
  <c r="L59" i="61" s="1"/>
  <c r="G60" i="61"/>
  <c r="H60" i="61"/>
  <c r="M60" i="61"/>
  <c r="K60" i="61" s="1"/>
  <c r="N60" i="61"/>
  <c r="L60" i="61" s="1"/>
  <c r="G61" i="61"/>
  <c r="H61" i="61"/>
  <c r="M61" i="61"/>
  <c r="K61" i="61" s="1"/>
  <c r="N61" i="61"/>
  <c r="L61" i="61" s="1"/>
  <c r="G62" i="61"/>
  <c r="H62" i="61"/>
  <c r="M62" i="61"/>
  <c r="K62" i="61" s="1"/>
  <c r="N62" i="61"/>
  <c r="L62" i="61" s="1"/>
  <c r="G63" i="61"/>
  <c r="H63" i="61"/>
  <c r="M63" i="61"/>
  <c r="K63" i="61" s="1"/>
  <c r="N63" i="61"/>
  <c r="L63" i="61" s="1"/>
  <c r="G64" i="61"/>
  <c r="H64" i="61"/>
  <c r="M64" i="61"/>
  <c r="K64" i="61" s="1"/>
  <c r="N64" i="61"/>
  <c r="L64" i="61" s="1"/>
  <c r="G65" i="61"/>
  <c r="H65" i="61"/>
  <c r="M65" i="61"/>
  <c r="K65" i="61" s="1"/>
  <c r="N65" i="61"/>
  <c r="L65" i="61" s="1"/>
  <c r="G66" i="61"/>
  <c r="H66" i="61"/>
  <c r="M66" i="61"/>
  <c r="K66" i="61" s="1"/>
  <c r="N66" i="61"/>
  <c r="L66" i="61" s="1"/>
  <c r="G67" i="61"/>
  <c r="H67" i="61"/>
  <c r="M67" i="61"/>
  <c r="K67" i="61" s="1"/>
  <c r="N67" i="61"/>
  <c r="L67" i="61" s="1"/>
  <c r="G68" i="61"/>
  <c r="I68" i="61" s="1"/>
  <c r="J68" i="61" s="1"/>
  <c r="H68" i="61"/>
  <c r="M68" i="61"/>
  <c r="K68" i="61" s="1"/>
  <c r="N68" i="61"/>
  <c r="L68" i="61" s="1"/>
  <c r="G69" i="61"/>
  <c r="H69" i="61"/>
  <c r="M69" i="61"/>
  <c r="K69" i="61" s="1"/>
  <c r="N69" i="61"/>
  <c r="L69" i="61" s="1"/>
  <c r="G70" i="61"/>
  <c r="H70" i="61"/>
  <c r="M70" i="61"/>
  <c r="K70" i="61" s="1"/>
  <c r="N70" i="61"/>
  <c r="L70" i="61" s="1"/>
  <c r="G71" i="61"/>
  <c r="H71" i="61"/>
  <c r="M71" i="61"/>
  <c r="K71" i="61" s="1"/>
  <c r="N71" i="61"/>
  <c r="L71" i="61" s="1"/>
  <c r="G72" i="61"/>
  <c r="H72" i="61"/>
  <c r="M72" i="61"/>
  <c r="K72" i="61" s="1"/>
  <c r="N72" i="61"/>
  <c r="L72" i="61" s="1"/>
  <c r="G73" i="61"/>
  <c r="H73" i="61"/>
  <c r="M73" i="61"/>
  <c r="K73" i="61" s="1"/>
  <c r="N73" i="61"/>
  <c r="L73" i="61" s="1"/>
  <c r="G74" i="61"/>
  <c r="H74" i="61"/>
  <c r="M74" i="61"/>
  <c r="K74" i="61" s="1"/>
  <c r="N74" i="61"/>
  <c r="L74" i="61" s="1"/>
  <c r="G75" i="61"/>
  <c r="H75" i="61"/>
  <c r="M75" i="61"/>
  <c r="K75" i="61" s="1"/>
  <c r="N75" i="61"/>
  <c r="L75" i="61" s="1"/>
  <c r="G76" i="61"/>
  <c r="I76" i="61" s="1"/>
  <c r="J76" i="61" s="1"/>
  <c r="H76" i="61"/>
  <c r="M76" i="61"/>
  <c r="K76" i="61" s="1"/>
  <c r="N76" i="61"/>
  <c r="L76" i="61" s="1"/>
  <c r="G77" i="61"/>
  <c r="H77" i="61"/>
  <c r="M77" i="61"/>
  <c r="K77" i="61" s="1"/>
  <c r="N77" i="61"/>
  <c r="L77" i="61" s="1"/>
  <c r="G78" i="61"/>
  <c r="H78" i="61"/>
  <c r="I78" i="61" s="1"/>
  <c r="J78" i="61" s="1"/>
  <c r="M78" i="61"/>
  <c r="K78" i="61" s="1"/>
  <c r="N78" i="61"/>
  <c r="L78" i="61" s="1"/>
  <c r="G79" i="61"/>
  <c r="H79" i="61"/>
  <c r="M79" i="61"/>
  <c r="K79" i="61" s="1"/>
  <c r="N79" i="61"/>
  <c r="L79" i="61" s="1"/>
  <c r="G80" i="61"/>
  <c r="I80" i="61" s="1"/>
  <c r="J80" i="61" s="1"/>
  <c r="H80" i="61"/>
  <c r="M80" i="61"/>
  <c r="K80" i="61" s="1"/>
  <c r="N80" i="61"/>
  <c r="L80" i="61" s="1"/>
  <c r="G81" i="61"/>
  <c r="H81" i="61"/>
  <c r="M81" i="61"/>
  <c r="K81" i="61" s="1"/>
  <c r="N81" i="61"/>
  <c r="L81" i="61" s="1"/>
  <c r="G82" i="61"/>
  <c r="I82" i="61" s="1"/>
  <c r="J82" i="61" s="1"/>
  <c r="H82" i="61"/>
  <c r="M82" i="61"/>
  <c r="K82" i="61" s="1"/>
  <c r="N82" i="61"/>
  <c r="L82" i="61" s="1"/>
  <c r="G83" i="61"/>
  <c r="H83" i="61"/>
  <c r="M83" i="61"/>
  <c r="K83" i="61" s="1"/>
  <c r="N83" i="61"/>
  <c r="L83" i="61" s="1"/>
  <c r="G20" i="59"/>
  <c r="H20" i="59"/>
  <c r="K20" i="59"/>
  <c r="L20" i="59"/>
  <c r="G21" i="59"/>
  <c r="H21" i="59"/>
  <c r="K21" i="59"/>
  <c r="L21" i="59"/>
  <c r="G22" i="59"/>
  <c r="H22" i="59"/>
  <c r="K22" i="59"/>
  <c r="L22" i="59"/>
  <c r="G23" i="59"/>
  <c r="H23" i="59"/>
  <c r="K23" i="59"/>
  <c r="L23" i="59"/>
  <c r="G24" i="59"/>
  <c r="H24" i="59"/>
  <c r="K24" i="59"/>
  <c r="L24" i="59"/>
  <c r="G25" i="59"/>
  <c r="H25" i="59"/>
  <c r="I25" i="59" s="1"/>
  <c r="J25" i="59" s="1"/>
  <c r="K25" i="59"/>
  <c r="L25" i="59"/>
  <c r="G26" i="59"/>
  <c r="H26" i="59"/>
  <c r="I26" i="59" s="1"/>
  <c r="J26" i="59" s="1"/>
  <c r="K26" i="59"/>
  <c r="L26" i="59"/>
  <c r="G27" i="59"/>
  <c r="H27" i="59"/>
  <c r="I27" i="59" s="1"/>
  <c r="J27" i="59" s="1"/>
  <c r="K27" i="59"/>
  <c r="L27" i="59"/>
  <c r="G28" i="59"/>
  <c r="H28" i="59"/>
  <c r="I28" i="59" s="1"/>
  <c r="J28" i="59" s="1"/>
  <c r="K28" i="59"/>
  <c r="L28" i="59"/>
  <c r="G29" i="59"/>
  <c r="H29" i="59"/>
  <c r="I29" i="59" s="1"/>
  <c r="J29" i="59" s="1"/>
  <c r="K29" i="59"/>
  <c r="L29" i="59"/>
  <c r="G30" i="59"/>
  <c r="H30" i="59"/>
  <c r="I30" i="59" s="1"/>
  <c r="J30" i="59" s="1"/>
  <c r="K30" i="59"/>
  <c r="L30" i="59"/>
  <c r="G31" i="59"/>
  <c r="H31" i="59"/>
  <c r="I31" i="59" s="1"/>
  <c r="J31" i="59" s="1"/>
  <c r="K31" i="59"/>
  <c r="L31" i="59"/>
  <c r="G32" i="59"/>
  <c r="H32" i="59"/>
  <c r="I32" i="59" s="1"/>
  <c r="J32" i="59" s="1"/>
  <c r="K32" i="59"/>
  <c r="L32" i="59"/>
  <c r="G33" i="59"/>
  <c r="H33" i="59"/>
  <c r="I33" i="59" s="1"/>
  <c r="J33" i="59" s="1"/>
  <c r="K33" i="59"/>
  <c r="L33" i="59"/>
  <c r="G34" i="59"/>
  <c r="H34" i="59"/>
  <c r="I34" i="59" s="1"/>
  <c r="J34" i="59" s="1"/>
  <c r="K34" i="59"/>
  <c r="L34" i="59"/>
  <c r="G35" i="59"/>
  <c r="H35" i="59"/>
  <c r="I35" i="59" s="1"/>
  <c r="J35" i="59" s="1"/>
  <c r="K35" i="59"/>
  <c r="L35" i="59"/>
  <c r="G36" i="59"/>
  <c r="H36" i="59"/>
  <c r="I36" i="59" s="1"/>
  <c r="J36" i="59" s="1"/>
  <c r="K36" i="59"/>
  <c r="L36" i="59"/>
  <c r="G37" i="59"/>
  <c r="H37" i="59"/>
  <c r="I37" i="59" s="1"/>
  <c r="J37" i="59" s="1"/>
  <c r="K37" i="59"/>
  <c r="L37" i="59"/>
  <c r="G38" i="59"/>
  <c r="H38" i="59"/>
  <c r="I38" i="59" s="1"/>
  <c r="J38" i="59" s="1"/>
  <c r="K38" i="59"/>
  <c r="L38" i="59"/>
  <c r="G39" i="59"/>
  <c r="H39" i="59"/>
  <c r="I39" i="59" s="1"/>
  <c r="J39" i="59" s="1"/>
  <c r="K39" i="59"/>
  <c r="L39" i="59"/>
  <c r="G40" i="59"/>
  <c r="H40" i="59"/>
  <c r="I40" i="59" s="1"/>
  <c r="J40" i="59" s="1"/>
  <c r="K40" i="59"/>
  <c r="L40" i="59"/>
  <c r="G41" i="59"/>
  <c r="H41" i="59"/>
  <c r="I41" i="59" s="1"/>
  <c r="J41" i="59" s="1"/>
  <c r="K41" i="59"/>
  <c r="L41" i="59"/>
  <c r="G42" i="59"/>
  <c r="H42" i="59"/>
  <c r="I42" i="59" s="1"/>
  <c r="J42" i="59" s="1"/>
  <c r="K42" i="59"/>
  <c r="L42" i="59"/>
  <c r="G43" i="59"/>
  <c r="H43" i="59"/>
  <c r="I43" i="59" s="1"/>
  <c r="J43" i="59" s="1"/>
  <c r="K43" i="59"/>
  <c r="L43" i="59"/>
  <c r="G44" i="59"/>
  <c r="H44" i="59"/>
  <c r="K44" i="59"/>
  <c r="L44" i="59"/>
  <c r="G45" i="59"/>
  <c r="H45" i="59"/>
  <c r="I45" i="59" s="1"/>
  <c r="J45" i="59" s="1"/>
  <c r="K45" i="59"/>
  <c r="L45" i="59"/>
  <c r="G46" i="59"/>
  <c r="H46" i="59"/>
  <c r="I46" i="59" s="1"/>
  <c r="J46" i="59" s="1"/>
  <c r="K46" i="59"/>
  <c r="L46" i="59"/>
  <c r="G47" i="59"/>
  <c r="H47" i="59"/>
  <c r="I47" i="59" s="1"/>
  <c r="J47" i="59" s="1"/>
  <c r="K47" i="59"/>
  <c r="L47" i="59"/>
  <c r="G48" i="59"/>
  <c r="H48" i="59"/>
  <c r="I48" i="59" s="1"/>
  <c r="J48" i="59" s="1"/>
  <c r="K48" i="59"/>
  <c r="L48" i="59"/>
  <c r="G49" i="59"/>
  <c r="H49" i="59"/>
  <c r="K49" i="59"/>
  <c r="L49" i="59"/>
  <c r="G50" i="59"/>
  <c r="H50" i="59"/>
  <c r="I50" i="59" s="1"/>
  <c r="J50" i="59" s="1"/>
  <c r="K50" i="59"/>
  <c r="L50" i="59"/>
  <c r="G51" i="59"/>
  <c r="H51" i="59"/>
  <c r="I51" i="59" s="1"/>
  <c r="J51" i="59" s="1"/>
  <c r="K51" i="59"/>
  <c r="L51" i="59"/>
  <c r="G52" i="59"/>
  <c r="H52" i="59"/>
  <c r="I52" i="59" s="1"/>
  <c r="J52" i="59" s="1"/>
  <c r="K52" i="59"/>
  <c r="L52" i="59"/>
  <c r="G53" i="59"/>
  <c r="H53" i="59"/>
  <c r="I53" i="59" s="1"/>
  <c r="J53" i="59" s="1"/>
  <c r="K53" i="59"/>
  <c r="L53" i="59"/>
  <c r="G54" i="59"/>
  <c r="H54" i="59"/>
  <c r="K54" i="59"/>
  <c r="L54" i="59"/>
  <c r="G55" i="59"/>
  <c r="H55" i="59"/>
  <c r="K55" i="59"/>
  <c r="L55" i="59"/>
  <c r="G56" i="59"/>
  <c r="H56" i="59"/>
  <c r="K56" i="59"/>
  <c r="L56" i="59"/>
  <c r="G57" i="59"/>
  <c r="H57" i="59"/>
  <c r="K57" i="59"/>
  <c r="L57" i="59"/>
  <c r="G58" i="59"/>
  <c r="H58" i="59"/>
  <c r="K58" i="59"/>
  <c r="L58" i="59"/>
  <c r="G59" i="59"/>
  <c r="H59" i="59"/>
  <c r="I59" i="59" s="1"/>
  <c r="J59" i="59" s="1"/>
  <c r="K59" i="59"/>
  <c r="L59" i="59"/>
  <c r="G60" i="59"/>
  <c r="H60" i="59"/>
  <c r="K60" i="59"/>
  <c r="L60" i="59"/>
  <c r="G61" i="59"/>
  <c r="H61" i="59"/>
  <c r="K61" i="59"/>
  <c r="L61" i="59"/>
  <c r="G62" i="59"/>
  <c r="H62" i="59"/>
  <c r="K62" i="59"/>
  <c r="L62" i="59"/>
  <c r="G63" i="59"/>
  <c r="H63" i="59"/>
  <c r="K63" i="59"/>
  <c r="L63" i="59"/>
  <c r="G64" i="59"/>
  <c r="H64" i="59"/>
  <c r="K64" i="59"/>
  <c r="L64" i="59"/>
  <c r="G65" i="59"/>
  <c r="H65" i="59"/>
  <c r="K65" i="59"/>
  <c r="L65" i="59"/>
  <c r="G66" i="59"/>
  <c r="H66" i="59"/>
  <c r="K66" i="59"/>
  <c r="L66" i="59"/>
  <c r="G67" i="59"/>
  <c r="H67" i="59"/>
  <c r="K67" i="59"/>
  <c r="L67" i="59"/>
  <c r="G68" i="59"/>
  <c r="H68" i="59"/>
  <c r="K68" i="59"/>
  <c r="L68" i="59"/>
  <c r="G69" i="59"/>
  <c r="H69" i="59"/>
  <c r="K69" i="59"/>
  <c r="L69" i="59"/>
  <c r="G70" i="59"/>
  <c r="H70" i="59"/>
  <c r="K70" i="59"/>
  <c r="L70" i="59"/>
  <c r="G71" i="59"/>
  <c r="H71" i="59"/>
  <c r="K71" i="59"/>
  <c r="L71" i="59"/>
  <c r="G72" i="59"/>
  <c r="H72" i="59"/>
  <c r="K72" i="59"/>
  <c r="L72" i="59"/>
  <c r="G73" i="59"/>
  <c r="H73" i="59"/>
  <c r="K73" i="59"/>
  <c r="L73" i="59"/>
  <c r="G74" i="59"/>
  <c r="H74" i="59"/>
  <c r="K74" i="59"/>
  <c r="L74" i="59"/>
  <c r="G75" i="59"/>
  <c r="H75" i="59"/>
  <c r="K75" i="59"/>
  <c r="L75" i="59"/>
  <c r="G76" i="59"/>
  <c r="H76" i="59"/>
  <c r="K76" i="59"/>
  <c r="L76" i="59"/>
  <c r="G77" i="59"/>
  <c r="I77" i="59" s="1"/>
  <c r="J77" i="59" s="1"/>
  <c r="H77" i="59"/>
  <c r="K77" i="59"/>
  <c r="L77" i="59"/>
  <c r="G78" i="59"/>
  <c r="H78" i="59"/>
  <c r="K78" i="59"/>
  <c r="L78" i="59"/>
  <c r="G79" i="59"/>
  <c r="I79" i="59" s="1"/>
  <c r="J79" i="59" s="1"/>
  <c r="H79" i="59"/>
  <c r="K79" i="59"/>
  <c r="L79" i="59"/>
  <c r="G19" i="60"/>
  <c r="I19" i="60" s="1"/>
  <c r="J19" i="60" s="1"/>
  <c r="H19" i="60"/>
  <c r="M19" i="60"/>
  <c r="K19" i="60" s="1"/>
  <c r="N19" i="60"/>
  <c r="L19" i="60" s="1"/>
  <c r="G20" i="60"/>
  <c r="I20" i="60" s="1"/>
  <c r="J20" i="60" s="1"/>
  <c r="H20" i="60"/>
  <c r="M20" i="60"/>
  <c r="K20" i="60" s="1"/>
  <c r="N20" i="60"/>
  <c r="L20" i="60" s="1"/>
  <c r="G21" i="60"/>
  <c r="H21" i="60"/>
  <c r="M21" i="60"/>
  <c r="K21" i="60" s="1"/>
  <c r="N21" i="60"/>
  <c r="L21" i="60" s="1"/>
  <c r="G22" i="60"/>
  <c r="H22" i="60"/>
  <c r="M22" i="60"/>
  <c r="K22" i="60" s="1"/>
  <c r="N22" i="60"/>
  <c r="L22" i="60" s="1"/>
  <c r="G23" i="60"/>
  <c r="H23" i="60"/>
  <c r="M23" i="60"/>
  <c r="K23" i="60" s="1"/>
  <c r="N23" i="60"/>
  <c r="L23" i="60" s="1"/>
  <c r="G24" i="60"/>
  <c r="H24" i="60"/>
  <c r="M24" i="60"/>
  <c r="K24" i="60" s="1"/>
  <c r="N24" i="60"/>
  <c r="L24" i="60" s="1"/>
  <c r="G25" i="60"/>
  <c r="H25" i="60"/>
  <c r="M25" i="60"/>
  <c r="K25" i="60" s="1"/>
  <c r="N25" i="60"/>
  <c r="L25" i="60" s="1"/>
  <c r="G26" i="60"/>
  <c r="H26" i="60"/>
  <c r="M26" i="60"/>
  <c r="K26" i="60" s="1"/>
  <c r="N26" i="60"/>
  <c r="L26" i="60" s="1"/>
  <c r="G27" i="60"/>
  <c r="H27" i="60"/>
  <c r="M27" i="60"/>
  <c r="K27" i="60" s="1"/>
  <c r="N27" i="60"/>
  <c r="L27" i="60" s="1"/>
  <c r="G28" i="60"/>
  <c r="H28" i="60"/>
  <c r="M28" i="60"/>
  <c r="K28" i="60" s="1"/>
  <c r="N28" i="60"/>
  <c r="L28" i="60" s="1"/>
  <c r="G29" i="60"/>
  <c r="H29" i="60"/>
  <c r="M29" i="60"/>
  <c r="K29" i="60" s="1"/>
  <c r="N29" i="60"/>
  <c r="L29" i="60" s="1"/>
  <c r="G30" i="60"/>
  <c r="H30" i="60"/>
  <c r="I30" i="60" s="1"/>
  <c r="J30" i="60" s="1"/>
  <c r="M30" i="60"/>
  <c r="K30" i="60" s="1"/>
  <c r="N30" i="60"/>
  <c r="L30" i="60" s="1"/>
  <c r="G31" i="60"/>
  <c r="H31" i="60"/>
  <c r="M31" i="60"/>
  <c r="K31" i="60" s="1"/>
  <c r="N31" i="60"/>
  <c r="L31" i="60" s="1"/>
  <c r="G32" i="60"/>
  <c r="H32" i="60"/>
  <c r="M32" i="60"/>
  <c r="K32" i="60" s="1"/>
  <c r="N32" i="60"/>
  <c r="L32" i="60" s="1"/>
  <c r="G33" i="60"/>
  <c r="H33" i="60"/>
  <c r="M33" i="60"/>
  <c r="K33" i="60" s="1"/>
  <c r="N33" i="60"/>
  <c r="L33" i="60" s="1"/>
  <c r="G34" i="60"/>
  <c r="H34" i="60"/>
  <c r="M34" i="60"/>
  <c r="K34" i="60" s="1"/>
  <c r="N34" i="60"/>
  <c r="L34" i="60" s="1"/>
  <c r="G35" i="60"/>
  <c r="H35" i="60"/>
  <c r="M35" i="60"/>
  <c r="K35" i="60" s="1"/>
  <c r="N35" i="60"/>
  <c r="L35" i="60" s="1"/>
  <c r="G36" i="60"/>
  <c r="H36" i="60"/>
  <c r="M36" i="60"/>
  <c r="K36" i="60" s="1"/>
  <c r="N36" i="60"/>
  <c r="L36" i="60" s="1"/>
  <c r="G37" i="60"/>
  <c r="H37" i="60"/>
  <c r="M37" i="60"/>
  <c r="K37" i="60" s="1"/>
  <c r="N37" i="60"/>
  <c r="L37" i="60" s="1"/>
  <c r="G38" i="60"/>
  <c r="H38" i="60"/>
  <c r="M38" i="60"/>
  <c r="K38" i="60" s="1"/>
  <c r="N38" i="60"/>
  <c r="L38" i="60" s="1"/>
  <c r="G39" i="60"/>
  <c r="H39" i="60"/>
  <c r="M39" i="60"/>
  <c r="K39" i="60" s="1"/>
  <c r="N39" i="60"/>
  <c r="L39" i="60" s="1"/>
  <c r="G40" i="60"/>
  <c r="H40" i="60"/>
  <c r="M40" i="60"/>
  <c r="K40" i="60" s="1"/>
  <c r="N40" i="60"/>
  <c r="L40" i="60" s="1"/>
  <c r="G41" i="60"/>
  <c r="H41" i="60"/>
  <c r="M41" i="60"/>
  <c r="K41" i="60" s="1"/>
  <c r="N41" i="60"/>
  <c r="L41" i="60" s="1"/>
  <c r="G42" i="60"/>
  <c r="H42" i="60"/>
  <c r="M42" i="60"/>
  <c r="K42" i="60" s="1"/>
  <c r="N42" i="60"/>
  <c r="L42" i="60" s="1"/>
  <c r="G43" i="60"/>
  <c r="H43" i="60"/>
  <c r="M43" i="60"/>
  <c r="K43" i="60" s="1"/>
  <c r="N43" i="60"/>
  <c r="L43" i="60" s="1"/>
  <c r="G44" i="60"/>
  <c r="H44" i="60"/>
  <c r="M44" i="60"/>
  <c r="K44" i="60" s="1"/>
  <c r="N44" i="60"/>
  <c r="L44" i="60" s="1"/>
  <c r="G45" i="60"/>
  <c r="H45" i="60"/>
  <c r="M45" i="60"/>
  <c r="K45" i="60" s="1"/>
  <c r="N45" i="60"/>
  <c r="L45" i="60" s="1"/>
  <c r="G46" i="60"/>
  <c r="H46" i="60"/>
  <c r="M46" i="60"/>
  <c r="K46" i="60" s="1"/>
  <c r="N46" i="60"/>
  <c r="L46" i="60" s="1"/>
  <c r="G47" i="60"/>
  <c r="H47" i="60"/>
  <c r="M47" i="60"/>
  <c r="K47" i="60" s="1"/>
  <c r="N47" i="60"/>
  <c r="L47" i="60" s="1"/>
  <c r="G48" i="60"/>
  <c r="H48" i="60"/>
  <c r="M48" i="60"/>
  <c r="K48" i="60" s="1"/>
  <c r="N48" i="60"/>
  <c r="L48" i="60" s="1"/>
  <c r="G49" i="60"/>
  <c r="H49" i="60"/>
  <c r="M49" i="60"/>
  <c r="K49" i="60" s="1"/>
  <c r="N49" i="60"/>
  <c r="L49" i="60" s="1"/>
  <c r="G50" i="60"/>
  <c r="H50" i="60"/>
  <c r="M50" i="60"/>
  <c r="K50" i="60" s="1"/>
  <c r="N50" i="60"/>
  <c r="L50" i="60" s="1"/>
  <c r="G51" i="60"/>
  <c r="H51" i="60"/>
  <c r="M51" i="60"/>
  <c r="K51" i="60" s="1"/>
  <c r="N51" i="60"/>
  <c r="L51" i="60" s="1"/>
  <c r="G52" i="60"/>
  <c r="H52" i="60"/>
  <c r="M52" i="60"/>
  <c r="K52" i="60" s="1"/>
  <c r="N52" i="60"/>
  <c r="L52" i="60" s="1"/>
  <c r="G53" i="60"/>
  <c r="H53" i="60"/>
  <c r="M53" i="60"/>
  <c r="K53" i="60" s="1"/>
  <c r="N53" i="60"/>
  <c r="L53" i="60" s="1"/>
  <c r="G54" i="60"/>
  <c r="H54" i="60"/>
  <c r="M54" i="60"/>
  <c r="K54" i="60" s="1"/>
  <c r="N54" i="60"/>
  <c r="L54" i="60" s="1"/>
  <c r="G55" i="60"/>
  <c r="H55" i="60"/>
  <c r="M55" i="60"/>
  <c r="K55" i="60" s="1"/>
  <c r="N55" i="60"/>
  <c r="L55" i="60" s="1"/>
  <c r="G56" i="60"/>
  <c r="H56" i="60"/>
  <c r="M56" i="60"/>
  <c r="K56" i="60" s="1"/>
  <c r="N56" i="60"/>
  <c r="L56" i="60" s="1"/>
  <c r="G57" i="60"/>
  <c r="H57" i="60"/>
  <c r="M57" i="60"/>
  <c r="K57" i="60" s="1"/>
  <c r="N57" i="60"/>
  <c r="L57" i="60" s="1"/>
  <c r="G58" i="60"/>
  <c r="H58" i="60"/>
  <c r="M58" i="60"/>
  <c r="K58" i="60" s="1"/>
  <c r="N58" i="60"/>
  <c r="L58" i="60" s="1"/>
  <c r="G59" i="60"/>
  <c r="H59" i="60"/>
  <c r="M59" i="60"/>
  <c r="K59" i="60" s="1"/>
  <c r="N59" i="60"/>
  <c r="L59" i="60" s="1"/>
  <c r="G60" i="60"/>
  <c r="H60" i="60"/>
  <c r="M60" i="60"/>
  <c r="K60" i="60" s="1"/>
  <c r="N60" i="60"/>
  <c r="L60" i="60" s="1"/>
  <c r="G61" i="60"/>
  <c r="H61" i="60"/>
  <c r="M61" i="60"/>
  <c r="K61" i="60" s="1"/>
  <c r="N61" i="60"/>
  <c r="L61" i="60" s="1"/>
  <c r="G62" i="60"/>
  <c r="H62" i="60"/>
  <c r="M62" i="60"/>
  <c r="K62" i="60" s="1"/>
  <c r="N62" i="60"/>
  <c r="L62" i="60" s="1"/>
  <c r="G63" i="60"/>
  <c r="H63" i="60"/>
  <c r="M63" i="60"/>
  <c r="K63" i="60" s="1"/>
  <c r="N63" i="60"/>
  <c r="L63" i="60" s="1"/>
  <c r="G64" i="60"/>
  <c r="H64" i="60"/>
  <c r="M64" i="60"/>
  <c r="K64" i="60" s="1"/>
  <c r="N64" i="60"/>
  <c r="L64" i="60" s="1"/>
  <c r="G65" i="60"/>
  <c r="H65" i="60"/>
  <c r="M65" i="60"/>
  <c r="K65" i="60" s="1"/>
  <c r="N65" i="60"/>
  <c r="L65" i="60" s="1"/>
  <c r="G66" i="60"/>
  <c r="H66" i="60"/>
  <c r="M66" i="60"/>
  <c r="K66" i="60" s="1"/>
  <c r="N66" i="60"/>
  <c r="L66" i="60" s="1"/>
  <c r="G67" i="60"/>
  <c r="H67" i="60"/>
  <c r="M67" i="60"/>
  <c r="K67" i="60" s="1"/>
  <c r="N67" i="60"/>
  <c r="L67" i="60" s="1"/>
  <c r="G68" i="60"/>
  <c r="H68" i="60"/>
  <c r="M68" i="60"/>
  <c r="K68" i="60" s="1"/>
  <c r="N68" i="60"/>
  <c r="L68" i="60" s="1"/>
  <c r="G69" i="60"/>
  <c r="H69" i="60"/>
  <c r="M69" i="60"/>
  <c r="K69" i="60" s="1"/>
  <c r="N69" i="60"/>
  <c r="L69" i="60" s="1"/>
  <c r="G70" i="60"/>
  <c r="H70" i="60"/>
  <c r="M70" i="60"/>
  <c r="K70" i="60" s="1"/>
  <c r="N70" i="60"/>
  <c r="L70" i="60" s="1"/>
  <c r="G71" i="60"/>
  <c r="H71" i="60"/>
  <c r="M71" i="60"/>
  <c r="K71" i="60" s="1"/>
  <c r="N71" i="60"/>
  <c r="L71" i="60" s="1"/>
  <c r="G72" i="60"/>
  <c r="H72" i="60"/>
  <c r="I72" i="60" s="1"/>
  <c r="J72" i="60" s="1"/>
  <c r="M72" i="60"/>
  <c r="K72" i="60" s="1"/>
  <c r="N72" i="60"/>
  <c r="L72" i="60" s="1"/>
  <c r="G73" i="60"/>
  <c r="H73" i="60"/>
  <c r="M73" i="60"/>
  <c r="K73" i="60" s="1"/>
  <c r="N73" i="60"/>
  <c r="L73" i="60" s="1"/>
  <c r="G74" i="60"/>
  <c r="H74" i="60"/>
  <c r="M74" i="60"/>
  <c r="K74" i="60" s="1"/>
  <c r="N74" i="60"/>
  <c r="L74" i="60" s="1"/>
  <c r="G75" i="60"/>
  <c r="H75" i="60"/>
  <c r="M75" i="60"/>
  <c r="K75" i="60" s="1"/>
  <c r="N75" i="60"/>
  <c r="L75" i="60" s="1"/>
  <c r="G76" i="60"/>
  <c r="H76" i="60"/>
  <c r="M76" i="60"/>
  <c r="K76" i="60" s="1"/>
  <c r="N76" i="60"/>
  <c r="L76" i="60" s="1"/>
  <c r="G77" i="60"/>
  <c r="H77" i="60"/>
  <c r="M77" i="60"/>
  <c r="K77" i="60" s="1"/>
  <c r="N77" i="60"/>
  <c r="L77" i="60" s="1"/>
  <c r="G78" i="60"/>
  <c r="H78" i="60"/>
  <c r="I78" i="60"/>
  <c r="J78" i="60" s="1"/>
  <c r="M78" i="60"/>
  <c r="K78" i="60" s="1"/>
  <c r="N78" i="60"/>
  <c r="L78" i="60" s="1"/>
  <c r="G21" i="57"/>
  <c r="I21" i="57" s="1"/>
  <c r="J21" i="57" s="1"/>
  <c r="H21" i="57"/>
  <c r="M21" i="57"/>
  <c r="K21" i="57" s="1"/>
  <c r="N21" i="57"/>
  <c r="L21" i="57" s="1"/>
  <c r="G22" i="57"/>
  <c r="H22" i="57"/>
  <c r="I22" i="57"/>
  <c r="J22" i="57" s="1"/>
  <c r="M22" i="57"/>
  <c r="K22" i="57" s="1"/>
  <c r="N22" i="57"/>
  <c r="L22" i="57" s="1"/>
  <c r="G23" i="57"/>
  <c r="H23" i="57"/>
  <c r="M23" i="57"/>
  <c r="K23" i="57" s="1"/>
  <c r="N23" i="57"/>
  <c r="L23" i="57" s="1"/>
  <c r="G24" i="57"/>
  <c r="H24" i="57"/>
  <c r="I24" i="57" s="1"/>
  <c r="J24" i="57" s="1"/>
  <c r="M24" i="57"/>
  <c r="K24" i="57" s="1"/>
  <c r="N24" i="57"/>
  <c r="L24" i="57" s="1"/>
  <c r="G25" i="57"/>
  <c r="H25" i="57"/>
  <c r="M25" i="57"/>
  <c r="K25" i="57" s="1"/>
  <c r="N25" i="57"/>
  <c r="L25" i="57" s="1"/>
  <c r="G26" i="57"/>
  <c r="H26" i="57"/>
  <c r="M26" i="57"/>
  <c r="K26" i="57" s="1"/>
  <c r="N26" i="57"/>
  <c r="L26" i="57" s="1"/>
  <c r="G27" i="57"/>
  <c r="H27" i="57"/>
  <c r="M27" i="57"/>
  <c r="K27" i="57" s="1"/>
  <c r="N27" i="57"/>
  <c r="L27" i="57" s="1"/>
  <c r="G28" i="57"/>
  <c r="H28" i="57"/>
  <c r="M28" i="57"/>
  <c r="K28" i="57" s="1"/>
  <c r="N28" i="57"/>
  <c r="L28" i="57" s="1"/>
  <c r="G29" i="57"/>
  <c r="H29" i="57"/>
  <c r="M29" i="57"/>
  <c r="K29" i="57" s="1"/>
  <c r="N29" i="57"/>
  <c r="L29" i="57" s="1"/>
  <c r="G30" i="57"/>
  <c r="H30" i="57"/>
  <c r="M30" i="57"/>
  <c r="K30" i="57" s="1"/>
  <c r="N30" i="57"/>
  <c r="L30" i="57" s="1"/>
  <c r="G31" i="57"/>
  <c r="H31" i="57"/>
  <c r="M31" i="57"/>
  <c r="K31" i="57" s="1"/>
  <c r="N31" i="57"/>
  <c r="L31" i="57" s="1"/>
  <c r="G32" i="57"/>
  <c r="H32" i="57"/>
  <c r="M32" i="57"/>
  <c r="K32" i="57" s="1"/>
  <c r="N32" i="57"/>
  <c r="L32" i="57" s="1"/>
  <c r="G33" i="57"/>
  <c r="H33" i="57"/>
  <c r="M33" i="57"/>
  <c r="K33" i="57" s="1"/>
  <c r="N33" i="57"/>
  <c r="L33" i="57" s="1"/>
  <c r="G34" i="57"/>
  <c r="H34" i="57"/>
  <c r="M34" i="57"/>
  <c r="K34" i="57" s="1"/>
  <c r="N34" i="57"/>
  <c r="L34" i="57" s="1"/>
  <c r="G35" i="57"/>
  <c r="H35" i="57"/>
  <c r="M35" i="57"/>
  <c r="K35" i="57" s="1"/>
  <c r="N35" i="57"/>
  <c r="L35" i="57" s="1"/>
  <c r="G36" i="57"/>
  <c r="H36" i="57"/>
  <c r="M36" i="57"/>
  <c r="K36" i="57" s="1"/>
  <c r="N36" i="57"/>
  <c r="L36" i="57" s="1"/>
  <c r="G37" i="57"/>
  <c r="H37" i="57"/>
  <c r="M37" i="57"/>
  <c r="K37" i="57" s="1"/>
  <c r="N37" i="57"/>
  <c r="L37" i="57" s="1"/>
  <c r="G38" i="57"/>
  <c r="H38" i="57"/>
  <c r="M38" i="57"/>
  <c r="K38" i="57" s="1"/>
  <c r="N38" i="57"/>
  <c r="L38" i="57" s="1"/>
  <c r="G39" i="57"/>
  <c r="H39" i="57"/>
  <c r="M39" i="57"/>
  <c r="K39" i="57" s="1"/>
  <c r="N39" i="57"/>
  <c r="L39" i="57" s="1"/>
  <c r="G40" i="57"/>
  <c r="H40" i="57"/>
  <c r="I40" i="57" s="1"/>
  <c r="J40" i="57" s="1"/>
  <c r="M40" i="57"/>
  <c r="K40" i="57" s="1"/>
  <c r="N40" i="57"/>
  <c r="L40" i="57" s="1"/>
  <c r="G41" i="57"/>
  <c r="H41" i="57"/>
  <c r="M41" i="57"/>
  <c r="K41" i="57" s="1"/>
  <c r="N41" i="57"/>
  <c r="L41" i="57" s="1"/>
  <c r="G42" i="57"/>
  <c r="H42" i="57"/>
  <c r="M42" i="57"/>
  <c r="K42" i="57" s="1"/>
  <c r="N42" i="57"/>
  <c r="L42" i="57" s="1"/>
  <c r="G43" i="57"/>
  <c r="H43" i="57"/>
  <c r="M43" i="57"/>
  <c r="K43" i="57" s="1"/>
  <c r="N43" i="57"/>
  <c r="L43" i="57" s="1"/>
  <c r="G44" i="57"/>
  <c r="H44" i="57"/>
  <c r="M44" i="57"/>
  <c r="K44" i="57" s="1"/>
  <c r="N44" i="57"/>
  <c r="L44" i="57" s="1"/>
  <c r="G45" i="57"/>
  <c r="H45" i="57"/>
  <c r="M45" i="57"/>
  <c r="K45" i="57" s="1"/>
  <c r="N45" i="57"/>
  <c r="L45" i="57" s="1"/>
  <c r="G46" i="57"/>
  <c r="H46" i="57"/>
  <c r="M46" i="57"/>
  <c r="K46" i="57" s="1"/>
  <c r="N46" i="57"/>
  <c r="L46" i="57" s="1"/>
  <c r="G47" i="57"/>
  <c r="H47" i="57"/>
  <c r="M47" i="57"/>
  <c r="K47" i="57" s="1"/>
  <c r="N47" i="57"/>
  <c r="L47" i="57" s="1"/>
  <c r="G48" i="57"/>
  <c r="H48" i="57"/>
  <c r="M48" i="57"/>
  <c r="K48" i="57" s="1"/>
  <c r="N48" i="57"/>
  <c r="L48" i="57" s="1"/>
  <c r="G49" i="57"/>
  <c r="H49" i="57"/>
  <c r="M49" i="57"/>
  <c r="K49" i="57" s="1"/>
  <c r="N49" i="57"/>
  <c r="L49" i="57" s="1"/>
  <c r="G50" i="57"/>
  <c r="H50" i="57"/>
  <c r="M50" i="57"/>
  <c r="K50" i="57" s="1"/>
  <c r="N50" i="57"/>
  <c r="L50" i="57" s="1"/>
  <c r="G51" i="57"/>
  <c r="H51" i="57"/>
  <c r="M51" i="57"/>
  <c r="K51" i="57" s="1"/>
  <c r="N51" i="57"/>
  <c r="L51" i="57" s="1"/>
  <c r="G52" i="57"/>
  <c r="H52" i="57"/>
  <c r="M52" i="57"/>
  <c r="K52" i="57" s="1"/>
  <c r="N52" i="57"/>
  <c r="L52" i="57" s="1"/>
  <c r="G53" i="57"/>
  <c r="H53" i="57"/>
  <c r="M53" i="57"/>
  <c r="K53" i="57" s="1"/>
  <c r="N53" i="57"/>
  <c r="L53" i="57" s="1"/>
  <c r="G54" i="57"/>
  <c r="H54" i="57"/>
  <c r="M54" i="57"/>
  <c r="K54" i="57" s="1"/>
  <c r="N54" i="57"/>
  <c r="L54" i="57" s="1"/>
  <c r="G55" i="57"/>
  <c r="H55" i="57"/>
  <c r="M55" i="57"/>
  <c r="K55" i="57" s="1"/>
  <c r="N55" i="57"/>
  <c r="L55" i="57" s="1"/>
  <c r="G56" i="57"/>
  <c r="H56" i="57"/>
  <c r="M56" i="57"/>
  <c r="K56" i="57" s="1"/>
  <c r="N56" i="57"/>
  <c r="L56" i="57" s="1"/>
  <c r="G57" i="57"/>
  <c r="H57" i="57"/>
  <c r="M57" i="57"/>
  <c r="K57" i="57" s="1"/>
  <c r="N57" i="57"/>
  <c r="L57" i="57" s="1"/>
  <c r="G58" i="57"/>
  <c r="H58" i="57"/>
  <c r="M58" i="57"/>
  <c r="K58" i="57" s="1"/>
  <c r="N58" i="57"/>
  <c r="L58" i="57" s="1"/>
  <c r="G59" i="57"/>
  <c r="H59" i="57"/>
  <c r="M59" i="57"/>
  <c r="K59" i="57" s="1"/>
  <c r="N59" i="57"/>
  <c r="L59" i="57" s="1"/>
  <c r="G60" i="57"/>
  <c r="H60" i="57"/>
  <c r="M60" i="57"/>
  <c r="K60" i="57" s="1"/>
  <c r="N60" i="57"/>
  <c r="L60" i="57" s="1"/>
  <c r="G61" i="57"/>
  <c r="H61" i="57"/>
  <c r="M61" i="57"/>
  <c r="K61" i="57" s="1"/>
  <c r="N61" i="57"/>
  <c r="L61" i="57" s="1"/>
  <c r="G62" i="57"/>
  <c r="H62" i="57"/>
  <c r="M62" i="57"/>
  <c r="K62" i="57" s="1"/>
  <c r="N62" i="57"/>
  <c r="L62" i="57" s="1"/>
  <c r="G63" i="57"/>
  <c r="H63" i="57"/>
  <c r="M63" i="57"/>
  <c r="K63" i="57" s="1"/>
  <c r="N63" i="57"/>
  <c r="L63" i="57" s="1"/>
  <c r="G64" i="57"/>
  <c r="H64" i="57"/>
  <c r="M64" i="57"/>
  <c r="K64" i="57" s="1"/>
  <c r="N64" i="57"/>
  <c r="L64" i="57" s="1"/>
  <c r="G65" i="57"/>
  <c r="H65" i="57"/>
  <c r="M65" i="57"/>
  <c r="K65" i="57" s="1"/>
  <c r="N65" i="57"/>
  <c r="L65" i="57" s="1"/>
  <c r="G66" i="57"/>
  <c r="H66" i="57"/>
  <c r="M66" i="57"/>
  <c r="K66" i="57" s="1"/>
  <c r="N66" i="57"/>
  <c r="L66" i="57" s="1"/>
  <c r="G67" i="57"/>
  <c r="H67" i="57"/>
  <c r="M67" i="57"/>
  <c r="K67" i="57" s="1"/>
  <c r="N67" i="57"/>
  <c r="L67" i="57" s="1"/>
  <c r="G68" i="57"/>
  <c r="H68" i="57"/>
  <c r="M68" i="57"/>
  <c r="K68" i="57" s="1"/>
  <c r="N68" i="57"/>
  <c r="L68" i="57" s="1"/>
  <c r="G69" i="57"/>
  <c r="H69" i="57"/>
  <c r="M69" i="57"/>
  <c r="K69" i="57" s="1"/>
  <c r="N69" i="57"/>
  <c r="L69" i="57" s="1"/>
  <c r="G70" i="57"/>
  <c r="H70" i="57"/>
  <c r="M70" i="57"/>
  <c r="K70" i="57" s="1"/>
  <c r="N70" i="57"/>
  <c r="L70" i="57" s="1"/>
  <c r="G71" i="57"/>
  <c r="H71" i="57"/>
  <c r="M71" i="57"/>
  <c r="K71" i="57" s="1"/>
  <c r="N71" i="57"/>
  <c r="L71" i="57" s="1"/>
  <c r="G72" i="57"/>
  <c r="H72" i="57"/>
  <c r="M72" i="57"/>
  <c r="K72" i="57" s="1"/>
  <c r="N72" i="57"/>
  <c r="L72" i="57" s="1"/>
  <c r="G73" i="57"/>
  <c r="H73" i="57"/>
  <c r="M73" i="57"/>
  <c r="K73" i="57" s="1"/>
  <c r="N73" i="57"/>
  <c r="L73" i="57" s="1"/>
  <c r="G74" i="57"/>
  <c r="H74" i="57"/>
  <c r="M74" i="57"/>
  <c r="K74" i="57" s="1"/>
  <c r="N74" i="57"/>
  <c r="L74" i="57" s="1"/>
  <c r="G75" i="57"/>
  <c r="H75" i="57"/>
  <c r="M75" i="57"/>
  <c r="K75" i="57" s="1"/>
  <c r="N75" i="57"/>
  <c r="L75" i="57" s="1"/>
  <c r="G76" i="57"/>
  <c r="H76" i="57"/>
  <c r="M76" i="57"/>
  <c r="K76" i="57" s="1"/>
  <c r="N76" i="57"/>
  <c r="L76" i="57" s="1"/>
  <c r="G77" i="57"/>
  <c r="H77" i="57"/>
  <c r="M77" i="57"/>
  <c r="K77" i="57" s="1"/>
  <c r="N77" i="57"/>
  <c r="L77" i="57" s="1"/>
  <c r="G78" i="57"/>
  <c r="H78" i="57"/>
  <c r="I78" i="57"/>
  <c r="J78" i="57" s="1"/>
  <c r="M78" i="57"/>
  <c r="K78" i="57" s="1"/>
  <c r="N78" i="57"/>
  <c r="L78" i="57" s="1"/>
  <c r="G79" i="57"/>
  <c r="H79" i="57"/>
  <c r="M79" i="57"/>
  <c r="K79" i="57" s="1"/>
  <c r="N79" i="57"/>
  <c r="L79" i="57" s="1"/>
  <c r="G22" i="58"/>
  <c r="H22" i="58"/>
  <c r="K22" i="58"/>
  <c r="L22" i="58"/>
  <c r="G23" i="58"/>
  <c r="H23" i="58"/>
  <c r="K23" i="58"/>
  <c r="L23" i="58"/>
  <c r="G24" i="58"/>
  <c r="H24" i="58"/>
  <c r="K24" i="58"/>
  <c r="L24" i="58"/>
  <c r="G25" i="58"/>
  <c r="H25" i="58"/>
  <c r="K25" i="58"/>
  <c r="L25" i="58"/>
  <c r="G26" i="58"/>
  <c r="H26" i="58"/>
  <c r="K26" i="58"/>
  <c r="L26" i="58"/>
  <c r="G27" i="58"/>
  <c r="H27" i="58"/>
  <c r="K27" i="58"/>
  <c r="L27" i="58"/>
  <c r="G28" i="58"/>
  <c r="H28" i="58"/>
  <c r="K28" i="58"/>
  <c r="L28" i="58"/>
  <c r="G29" i="58"/>
  <c r="H29" i="58"/>
  <c r="K29" i="58"/>
  <c r="L29" i="58"/>
  <c r="G30" i="58"/>
  <c r="H30" i="58"/>
  <c r="K30" i="58"/>
  <c r="L30" i="58"/>
  <c r="G31" i="58"/>
  <c r="H31" i="58"/>
  <c r="K31" i="58"/>
  <c r="L31" i="58"/>
  <c r="G32" i="58"/>
  <c r="H32" i="58"/>
  <c r="K32" i="58"/>
  <c r="L32" i="58"/>
  <c r="G33" i="58"/>
  <c r="I33" i="58" s="1"/>
  <c r="J33" i="58" s="1"/>
  <c r="H33" i="58"/>
  <c r="K33" i="58"/>
  <c r="L33" i="58"/>
  <c r="G34" i="58"/>
  <c r="H34" i="58"/>
  <c r="K34" i="58"/>
  <c r="L34" i="58"/>
  <c r="G35" i="58"/>
  <c r="I35" i="58" s="1"/>
  <c r="J35" i="58" s="1"/>
  <c r="H35" i="58"/>
  <c r="K35" i="58"/>
  <c r="L35" i="58"/>
  <c r="G36" i="58"/>
  <c r="H36" i="58"/>
  <c r="K36" i="58"/>
  <c r="L36" i="58"/>
  <c r="G37" i="58"/>
  <c r="H37" i="58"/>
  <c r="K37" i="58"/>
  <c r="L37" i="58"/>
  <c r="G38" i="58"/>
  <c r="H38" i="58"/>
  <c r="K38" i="58"/>
  <c r="L38" i="58"/>
  <c r="G39" i="58"/>
  <c r="H39" i="58"/>
  <c r="K39" i="58"/>
  <c r="L39" i="58"/>
  <c r="G40" i="58"/>
  <c r="H40" i="58"/>
  <c r="K40" i="58"/>
  <c r="L40" i="58"/>
  <c r="G41" i="58"/>
  <c r="H41" i="58"/>
  <c r="K41" i="58"/>
  <c r="L41" i="58"/>
  <c r="G42" i="58"/>
  <c r="H42" i="58"/>
  <c r="K42" i="58"/>
  <c r="L42" i="58"/>
  <c r="G43" i="58"/>
  <c r="H43" i="58"/>
  <c r="K43" i="58"/>
  <c r="L43" i="58"/>
  <c r="G44" i="58"/>
  <c r="H44" i="58"/>
  <c r="K44" i="58"/>
  <c r="L44" i="58"/>
  <c r="G45" i="58"/>
  <c r="H45" i="58"/>
  <c r="K45" i="58"/>
  <c r="L45" i="58"/>
  <c r="G46" i="58"/>
  <c r="H46" i="58"/>
  <c r="K46" i="58"/>
  <c r="L46" i="58"/>
  <c r="G47" i="58"/>
  <c r="H47" i="58"/>
  <c r="K47" i="58"/>
  <c r="L47" i="58"/>
  <c r="G48" i="58"/>
  <c r="H48" i="58"/>
  <c r="K48" i="58"/>
  <c r="L48" i="58"/>
  <c r="G49" i="58"/>
  <c r="I49" i="58" s="1"/>
  <c r="J49" i="58" s="1"/>
  <c r="H49" i="58"/>
  <c r="K49" i="58"/>
  <c r="L49" i="58"/>
  <c r="G50" i="58"/>
  <c r="H50" i="58"/>
  <c r="K50" i="58"/>
  <c r="L50" i="58"/>
  <c r="G51" i="58"/>
  <c r="I51" i="58" s="1"/>
  <c r="J51" i="58" s="1"/>
  <c r="H51" i="58"/>
  <c r="K51" i="58"/>
  <c r="L51" i="58"/>
  <c r="G52" i="58"/>
  <c r="H52" i="58"/>
  <c r="K52" i="58"/>
  <c r="L52" i="58"/>
  <c r="G53" i="58"/>
  <c r="H53" i="58"/>
  <c r="K53" i="58"/>
  <c r="L53" i="58"/>
  <c r="G54" i="58"/>
  <c r="H54" i="58"/>
  <c r="K54" i="58"/>
  <c r="L54" i="58"/>
  <c r="G55" i="58"/>
  <c r="H55" i="58"/>
  <c r="K55" i="58"/>
  <c r="L55" i="58"/>
  <c r="G56" i="58"/>
  <c r="H56" i="58"/>
  <c r="K56" i="58"/>
  <c r="L56" i="58"/>
  <c r="G57" i="58"/>
  <c r="H57" i="58"/>
  <c r="K57" i="58"/>
  <c r="L57" i="58"/>
  <c r="G58" i="58"/>
  <c r="H58" i="58"/>
  <c r="K58" i="58"/>
  <c r="L58" i="58"/>
  <c r="G59" i="58"/>
  <c r="H59" i="58"/>
  <c r="K59" i="58"/>
  <c r="L59" i="58"/>
  <c r="G60" i="58"/>
  <c r="H60" i="58"/>
  <c r="K60" i="58"/>
  <c r="L60" i="58"/>
  <c r="G61" i="58"/>
  <c r="H61" i="58"/>
  <c r="K61" i="58"/>
  <c r="L61" i="58"/>
  <c r="G62" i="58"/>
  <c r="H62" i="58"/>
  <c r="K62" i="58"/>
  <c r="L62" i="58"/>
  <c r="G63" i="58"/>
  <c r="H63" i="58"/>
  <c r="K63" i="58"/>
  <c r="L63" i="58"/>
  <c r="G64" i="58"/>
  <c r="H64" i="58"/>
  <c r="K64" i="58"/>
  <c r="L64" i="58"/>
  <c r="G65" i="58"/>
  <c r="I65" i="58" s="1"/>
  <c r="J65" i="58" s="1"/>
  <c r="H65" i="58"/>
  <c r="K65" i="58"/>
  <c r="L65" i="58"/>
  <c r="G66" i="58"/>
  <c r="H66" i="58"/>
  <c r="K66" i="58"/>
  <c r="L66" i="58"/>
  <c r="G67" i="58"/>
  <c r="H67" i="58"/>
  <c r="I67" i="58" s="1"/>
  <c r="J67" i="58" s="1"/>
  <c r="K67" i="58"/>
  <c r="L67" i="58"/>
  <c r="G68" i="58"/>
  <c r="H68" i="58"/>
  <c r="K68" i="58"/>
  <c r="L68" i="58"/>
  <c r="G69" i="58"/>
  <c r="H69" i="58"/>
  <c r="K69" i="58"/>
  <c r="L69" i="58"/>
  <c r="G70" i="58"/>
  <c r="H70" i="58"/>
  <c r="K70" i="58"/>
  <c r="L70" i="58"/>
  <c r="G20" i="55"/>
  <c r="H20" i="55"/>
  <c r="M20" i="55"/>
  <c r="K20" i="55" s="1"/>
  <c r="N20" i="55"/>
  <c r="L20" i="55" s="1"/>
  <c r="G21" i="55"/>
  <c r="H21" i="55"/>
  <c r="M21" i="55"/>
  <c r="K21" i="55" s="1"/>
  <c r="N21" i="55"/>
  <c r="L21" i="55" s="1"/>
  <c r="G22" i="55"/>
  <c r="H22" i="55"/>
  <c r="M22" i="55"/>
  <c r="K22" i="55" s="1"/>
  <c r="N22" i="55"/>
  <c r="L22" i="55" s="1"/>
  <c r="G23" i="55"/>
  <c r="H23" i="55"/>
  <c r="M23" i="55"/>
  <c r="K23" i="55" s="1"/>
  <c r="N23" i="55"/>
  <c r="L23" i="55" s="1"/>
  <c r="G24" i="55"/>
  <c r="H24" i="55"/>
  <c r="M24" i="55"/>
  <c r="K24" i="55" s="1"/>
  <c r="N24" i="55"/>
  <c r="L24" i="55" s="1"/>
  <c r="G25" i="55"/>
  <c r="H25" i="55"/>
  <c r="M25" i="55"/>
  <c r="K25" i="55" s="1"/>
  <c r="N25" i="55"/>
  <c r="L25" i="55" s="1"/>
  <c r="G26" i="55"/>
  <c r="H26" i="55"/>
  <c r="M26" i="55"/>
  <c r="K26" i="55" s="1"/>
  <c r="N26" i="55"/>
  <c r="L26" i="55" s="1"/>
  <c r="G27" i="55"/>
  <c r="H27" i="55"/>
  <c r="M27" i="55"/>
  <c r="K27" i="55" s="1"/>
  <c r="N27" i="55"/>
  <c r="L27" i="55" s="1"/>
  <c r="G28" i="55"/>
  <c r="H28" i="55"/>
  <c r="M28" i="55"/>
  <c r="K28" i="55" s="1"/>
  <c r="N28" i="55"/>
  <c r="L28" i="55" s="1"/>
  <c r="G29" i="55"/>
  <c r="H29" i="55"/>
  <c r="M29" i="55"/>
  <c r="K29" i="55" s="1"/>
  <c r="N29" i="55"/>
  <c r="L29" i="55" s="1"/>
  <c r="G30" i="55"/>
  <c r="H30" i="55"/>
  <c r="M30" i="55"/>
  <c r="K30" i="55" s="1"/>
  <c r="N30" i="55"/>
  <c r="L30" i="55" s="1"/>
  <c r="G31" i="55"/>
  <c r="H31" i="55"/>
  <c r="M31" i="55"/>
  <c r="K31" i="55" s="1"/>
  <c r="N31" i="55"/>
  <c r="L31" i="55" s="1"/>
  <c r="G32" i="55"/>
  <c r="H32" i="55"/>
  <c r="M32" i="55"/>
  <c r="K32" i="55" s="1"/>
  <c r="N32" i="55"/>
  <c r="L32" i="55" s="1"/>
  <c r="G33" i="55"/>
  <c r="H33" i="55"/>
  <c r="M33" i="55"/>
  <c r="K33" i="55" s="1"/>
  <c r="N33" i="55"/>
  <c r="L33" i="55" s="1"/>
  <c r="G34" i="55"/>
  <c r="H34" i="55"/>
  <c r="M34" i="55"/>
  <c r="K34" i="55" s="1"/>
  <c r="N34" i="55"/>
  <c r="L34" i="55" s="1"/>
  <c r="G35" i="55"/>
  <c r="H35" i="55"/>
  <c r="M35" i="55"/>
  <c r="K35" i="55" s="1"/>
  <c r="N35" i="55"/>
  <c r="L35" i="55" s="1"/>
  <c r="G36" i="55"/>
  <c r="H36" i="55"/>
  <c r="M36" i="55"/>
  <c r="K36" i="55" s="1"/>
  <c r="N36" i="55"/>
  <c r="L36" i="55" s="1"/>
  <c r="G37" i="55"/>
  <c r="H37" i="55"/>
  <c r="M37" i="55"/>
  <c r="K37" i="55" s="1"/>
  <c r="N37" i="55"/>
  <c r="L37" i="55" s="1"/>
  <c r="G38" i="55"/>
  <c r="H38" i="55"/>
  <c r="M38" i="55"/>
  <c r="K38" i="55" s="1"/>
  <c r="N38" i="55"/>
  <c r="L38" i="55" s="1"/>
  <c r="G39" i="55"/>
  <c r="H39" i="55"/>
  <c r="M39" i="55"/>
  <c r="K39" i="55" s="1"/>
  <c r="N39" i="55"/>
  <c r="L39" i="55" s="1"/>
  <c r="G40" i="55"/>
  <c r="H40" i="55"/>
  <c r="M40" i="55"/>
  <c r="K40" i="55" s="1"/>
  <c r="N40" i="55"/>
  <c r="L40" i="55" s="1"/>
  <c r="G41" i="55"/>
  <c r="H41" i="55"/>
  <c r="M41" i="55"/>
  <c r="K41" i="55" s="1"/>
  <c r="N41" i="55"/>
  <c r="L41" i="55" s="1"/>
  <c r="G42" i="55"/>
  <c r="H42" i="55"/>
  <c r="M42" i="55"/>
  <c r="K42" i="55" s="1"/>
  <c r="N42" i="55"/>
  <c r="L42" i="55" s="1"/>
  <c r="G43" i="55"/>
  <c r="H43" i="55"/>
  <c r="M43" i="55"/>
  <c r="K43" i="55" s="1"/>
  <c r="N43" i="55"/>
  <c r="L43" i="55" s="1"/>
  <c r="G44" i="55"/>
  <c r="H44" i="55"/>
  <c r="M44" i="55"/>
  <c r="K44" i="55" s="1"/>
  <c r="N44" i="55"/>
  <c r="L44" i="55" s="1"/>
  <c r="G45" i="55"/>
  <c r="H45" i="55"/>
  <c r="M45" i="55"/>
  <c r="K45" i="55" s="1"/>
  <c r="N45" i="55"/>
  <c r="L45" i="55" s="1"/>
  <c r="G46" i="55"/>
  <c r="H46" i="55"/>
  <c r="M46" i="55"/>
  <c r="K46" i="55" s="1"/>
  <c r="N46" i="55"/>
  <c r="L46" i="55" s="1"/>
  <c r="G47" i="55"/>
  <c r="H47" i="55"/>
  <c r="M47" i="55"/>
  <c r="K47" i="55" s="1"/>
  <c r="N47" i="55"/>
  <c r="L47" i="55" s="1"/>
  <c r="G48" i="55"/>
  <c r="H48" i="55"/>
  <c r="M48" i="55"/>
  <c r="K48" i="55" s="1"/>
  <c r="N48" i="55"/>
  <c r="L48" i="55" s="1"/>
  <c r="G49" i="55"/>
  <c r="H49" i="55"/>
  <c r="M49" i="55"/>
  <c r="K49" i="55" s="1"/>
  <c r="N49" i="55"/>
  <c r="L49" i="55" s="1"/>
  <c r="G50" i="55"/>
  <c r="H50" i="55"/>
  <c r="M50" i="55"/>
  <c r="K50" i="55" s="1"/>
  <c r="N50" i="55"/>
  <c r="L50" i="55" s="1"/>
  <c r="G51" i="55"/>
  <c r="H51" i="55"/>
  <c r="I51" i="55" s="1"/>
  <c r="J51" i="55" s="1"/>
  <c r="M51" i="55"/>
  <c r="K51" i="55" s="1"/>
  <c r="N51" i="55"/>
  <c r="L51" i="55" s="1"/>
  <c r="G52" i="55"/>
  <c r="H52" i="55"/>
  <c r="M52" i="55"/>
  <c r="K52" i="55" s="1"/>
  <c r="N52" i="55"/>
  <c r="L52" i="55" s="1"/>
  <c r="G53" i="55"/>
  <c r="H53" i="55"/>
  <c r="M53" i="55"/>
  <c r="K53" i="55" s="1"/>
  <c r="N53" i="55"/>
  <c r="L53" i="55" s="1"/>
  <c r="G54" i="55"/>
  <c r="H54" i="55"/>
  <c r="M54" i="55"/>
  <c r="K54" i="55" s="1"/>
  <c r="N54" i="55"/>
  <c r="L54" i="55" s="1"/>
  <c r="G55" i="55"/>
  <c r="H55" i="55"/>
  <c r="M55" i="55"/>
  <c r="K55" i="55" s="1"/>
  <c r="N55" i="55"/>
  <c r="L55" i="55" s="1"/>
  <c r="G56" i="55"/>
  <c r="H56" i="55"/>
  <c r="M56" i="55"/>
  <c r="K56" i="55" s="1"/>
  <c r="N56" i="55"/>
  <c r="L56" i="55" s="1"/>
  <c r="G57" i="55"/>
  <c r="H57" i="55"/>
  <c r="M57" i="55"/>
  <c r="K57" i="55" s="1"/>
  <c r="N57" i="55"/>
  <c r="L57" i="55" s="1"/>
  <c r="G58" i="55"/>
  <c r="H58" i="55"/>
  <c r="M58" i="55"/>
  <c r="K58" i="55" s="1"/>
  <c r="N58" i="55"/>
  <c r="L58" i="55" s="1"/>
  <c r="G59" i="55"/>
  <c r="H59" i="55"/>
  <c r="M59" i="55"/>
  <c r="K59" i="55" s="1"/>
  <c r="N59" i="55"/>
  <c r="L59" i="55" s="1"/>
  <c r="G60" i="55"/>
  <c r="H60" i="55"/>
  <c r="M60" i="55"/>
  <c r="K60" i="55" s="1"/>
  <c r="N60" i="55"/>
  <c r="L60" i="55" s="1"/>
  <c r="G61" i="55"/>
  <c r="H61" i="55"/>
  <c r="M61" i="55"/>
  <c r="K61" i="55" s="1"/>
  <c r="N61" i="55"/>
  <c r="L61" i="55" s="1"/>
  <c r="G62" i="55"/>
  <c r="H62" i="55"/>
  <c r="M62" i="55"/>
  <c r="K62" i="55" s="1"/>
  <c r="N62" i="55"/>
  <c r="L62" i="55" s="1"/>
  <c r="G63" i="55"/>
  <c r="H63" i="55"/>
  <c r="M63" i="55"/>
  <c r="K63" i="55" s="1"/>
  <c r="N63" i="55"/>
  <c r="L63" i="55" s="1"/>
  <c r="G64" i="55"/>
  <c r="H64" i="55"/>
  <c r="M64" i="55"/>
  <c r="K64" i="55" s="1"/>
  <c r="N64" i="55"/>
  <c r="L64" i="55" s="1"/>
  <c r="G65" i="55"/>
  <c r="H65" i="55"/>
  <c r="M65" i="55"/>
  <c r="K65" i="55" s="1"/>
  <c r="N65" i="55"/>
  <c r="L65" i="55" s="1"/>
  <c r="G66" i="55"/>
  <c r="H66" i="55"/>
  <c r="M66" i="55"/>
  <c r="K66" i="55" s="1"/>
  <c r="N66" i="55"/>
  <c r="L66" i="55" s="1"/>
  <c r="G67" i="55"/>
  <c r="H67" i="55"/>
  <c r="M67" i="55"/>
  <c r="K67" i="55" s="1"/>
  <c r="N67" i="55"/>
  <c r="L67" i="55" s="1"/>
  <c r="G68" i="55"/>
  <c r="H68" i="55"/>
  <c r="M68" i="55"/>
  <c r="K68" i="55" s="1"/>
  <c r="N68" i="55"/>
  <c r="L68" i="55" s="1"/>
  <c r="G69" i="55"/>
  <c r="H69" i="55"/>
  <c r="M69" i="55"/>
  <c r="K69" i="55" s="1"/>
  <c r="N69" i="55"/>
  <c r="L69" i="55" s="1"/>
  <c r="G70" i="55"/>
  <c r="H70" i="55"/>
  <c r="M70" i="55"/>
  <c r="K70" i="55" s="1"/>
  <c r="N70" i="55"/>
  <c r="L70" i="55" s="1"/>
  <c r="G71" i="55"/>
  <c r="H71" i="55"/>
  <c r="M71" i="55"/>
  <c r="K71" i="55" s="1"/>
  <c r="N71" i="55"/>
  <c r="L71" i="55" s="1"/>
  <c r="G72" i="55"/>
  <c r="H72" i="55"/>
  <c r="M72" i="55"/>
  <c r="K72" i="55" s="1"/>
  <c r="N72" i="55"/>
  <c r="L72" i="55" s="1"/>
  <c r="G73" i="55"/>
  <c r="H73" i="55"/>
  <c r="M73" i="55"/>
  <c r="K73" i="55" s="1"/>
  <c r="N73" i="55"/>
  <c r="L73" i="55" s="1"/>
  <c r="G74" i="55"/>
  <c r="H74" i="55"/>
  <c r="M74" i="55"/>
  <c r="K74" i="55" s="1"/>
  <c r="N74" i="55"/>
  <c r="L74" i="55" s="1"/>
  <c r="G75" i="55"/>
  <c r="H75" i="55"/>
  <c r="M75" i="55"/>
  <c r="K75" i="55" s="1"/>
  <c r="N75" i="55"/>
  <c r="L75" i="55" s="1"/>
  <c r="G76" i="55"/>
  <c r="H76" i="55"/>
  <c r="M76" i="55"/>
  <c r="K76" i="55" s="1"/>
  <c r="N76" i="55"/>
  <c r="L76" i="55" s="1"/>
  <c r="G77" i="55"/>
  <c r="H77" i="55"/>
  <c r="M77" i="55"/>
  <c r="K77" i="55" s="1"/>
  <c r="N77" i="55"/>
  <c r="L77" i="55" s="1"/>
  <c r="G78" i="55"/>
  <c r="H78" i="55"/>
  <c r="M78" i="55"/>
  <c r="K78" i="55" s="1"/>
  <c r="N78" i="55"/>
  <c r="L78" i="55" s="1"/>
  <c r="G79" i="55"/>
  <c r="H79" i="55"/>
  <c r="M79" i="55"/>
  <c r="K79" i="55" s="1"/>
  <c r="N79" i="55"/>
  <c r="L79" i="55" s="1"/>
  <c r="G80" i="55"/>
  <c r="H80" i="55"/>
  <c r="M80" i="55"/>
  <c r="K80" i="55" s="1"/>
  <c r="N80" i="55"/>
  <c r="L80" i="55" s="1"/>
  <c r="G81" i="55"/>
  <c r="H81" i="55"/>
  <c r="I81" i="55"/>
  <c r="J81" i="55" s="1"/>
  <c r="M81" i="55"/>
  <c r="K81" i="55" s="1"/>
  <c r="N81" i="55"/>
  <c r="L81" i="55" s="1"/>
  <c r="G82" i="55"/>
  <c r="H82" i="55"/>
  <c r="M82" i="55"/>
  <c r="K82" i="55" s="1"/>
  <c r="N82" i="55"/>
  <c r="L82" i="55" s="1"/>
  <c r="G83" i="55"/>
  <c r="I83" i="55" s="1"/>
  <c r="J83" i="55" s="1"/>
  <c r="H83" i="55"/>
  <c r="M83" i="55"/>
  <c r="K83" i="55" s="1"/>
  <c r="N83" i="55"/>
  <c r="L83" i="55" s="1"/>
  <c r="G21" i="54"/>
  <c r="H21" i="54"/>
  <c r="K21" i="54"/>
  <c r="L21" i="54"/>
  <c r="G22" i="54"/>
  <c r="H22" i="54"/>
  <c r="K22" i="54"/>
  <c r="L22" i="54"/>
  <c r="G23" i="54"/>
  <c r="H23" i="54"/>
  <c r="K23" i="54"/>
  <c r="L23" i="54"/>
  <c r="G24" i="54"/>
  <c r="H24" i="54"/>
  <c r="I24" i="54" s="1"/>
  <c r="J24" i="54" s="1"/>
  <c r="K24" i="54"/>
  <c r="L24" i="54"/>
  <c r="G25" i="54"/>
  <c r="H25" i="54"/>
  <c r="K25" i="54"/>
  <c r="L25" i="54"/>
  <c r="G26" i="54"/>
  <c r="H26" i="54"/>
  <c r="K26" i="54"/>
  <c r="L26" i="54"/>
  <c r="G27" i="54"/>
  <c r="H27" i="54"/>
  <c r="K27" i="54"/>
  <c r="L27" i="54"/>
  <c r="G28" i="54"/>
  <c r="H28" i="54"/>
  <c r="K28" i="54"/>
  <c r="L28" i="54"/>
  <c r="G29" i="54"/>
  <c r="H29" i="54"/>
  <c r="K29" i="54"/>
  <c r="L29" i="54"/>
  <c r="G30" i="54"/>
  <c r="H30" i="54"/>
  <c r="K30" i="54"/>
  <c r="L30" i="54"/>
  <c r="G31" i="54"/>
  <c r="H31" i="54"/>
  <c r="K31" i="54"/>
  <c r="L31" i="54"/>
  <c r="G32" i="54"/>
  <c r="H32" i="54"/>
  <c r="K32" i="54"/>
  <c r="L32" i="54"/>
  <c r="G33" i="54"/>
  <c r="H33" i="54"/>
  <c r="K33" i="54"/>
  <c r="L33" i="54"/>
  <c r="G34" i="54"/>
  <c r="H34" i="54"/>
  <c r="K34" i="54"/>
  <c r="L34" i="54"/>
  <c r="G35" i="54"/>
  <c r="H35" i="54"/>
  <c r="K35" i="54"/>
  <c r="L35" i="54"/>
  <c r="G36" i="54"/>
  <c r="H36" i="54"/>
  <c r="K36" i="54"/>
  <c r="L36" i="54"/>
  <c r="G37" i="54"/>
  <c r="H37" i="54"/>
  <c r="K37" i="54"/>
  <c r="L37" i="54"/>
  <c r="G38" i="54"/>
  <c r="H38" i="54"/>
  <c r="K38" i="54"/>
  <c r="L38" i="54"/>
  <c r="G39" i="54"/>
  <c r="H39" i="54"/>
  <c r="K39" i="54"/>
  <c r="L39" i="54"/>
  <c r="G40" i="54"/>
  <c r="H40" i="54"/>
  <c r="K40" i="54"/>
  <c r="L40" i="54"/>
  <c r="G41" i="54"/>
  <c r="H41" i="54"/>
  <c r="K41" i="54"/>
  <c r="L41" i="54"/>
  <c r="G42" i="54"/>
  <c r="H42" i="54"/>
  <c r="K42" i="54"/>
  <c r="L42" i="54"/>
  <c r="G43" i="54"/>
  <c r="H43" i="54"/>
  <c r="K43" i="54"/>
  <c r="L43" i="54"/>
  <c r="G44" i="54"/>
  <c r="H44" i="54"/>
  <c r="K44" i="54"/>
  <c r="L44" i="54"/>
  <c r="G45" i="54"/>
  <c r="H45" i="54"/>
  <c r="K45" i="54"/>
  <c r="L45" i="54"/>
  <c r="G46" i="54"/>
  <c r="H46" i="54"/>
  <c r="K46" i="54"/>
  <c r="L46" i="54"/>
  <c r="G47" i="54"/>
  <c r="H47" i="54"/>
  <c r="K47" i="54"/>
  <c r="L47" i="54"/>
  <c r="G48" i="54"/>
  <c r="H48" i="54"/>
  <c r="K48" i="54"/>
  <c r="L48" i="54"/>
  <c r="G49" i="54"/>
  <c r="H49" i="54"/>
  <c r="K49" i="54"/>
  <c r="L49" i="54"/>
  <c r="G50" i="54"/>
  <c r="H50" i="54"/>
  <c r="K50" i="54"/>
  <c r="L50" i="54"/>
  <c r="G51" i="54"/>
  <c r="H51" i="54"/>
  <c r="K51" i="54"/>
  <c r="L51" i="54"/>
  <c r="G52" i="54"/>
  <c r="H52" i="54"/>
  <c r="K52" i="54"/>
  <c r="L52" i="54"/>
  <c r="G53" i="54"/>
  <c r="H53" i="54"/>
  <c r="K53" i="54"/>
  <c r="L53" i="54"/>
  <c r="G54" i="54"/>
  <c r="H54" i="54"/>
  <c r="K54" i="54"/>
  <c r="L54" i="54"/>
  <c r="G55" i="54"/>
  <c r="H55" i="54"/>
  <c r="K55" i="54"/>
  <c r="L55" i="54"/>
  <c r="G56" i="54"/>
  <c r="H56" i="54"/>
  <c r="K56" i="54"/>
  <c r="L56" i="54"/>
  <c r="G57" i="54"/>
  <c r="H57" i="54"/>
  <c r="K57" i="54"/>
  <c r="L57" i="54"/>
  <c r="G58" i="54"/>
  <c r="H58" i="54"/>
  <c r="K58" i="54"/>
  <c r="L58" i="54"/>
  <c r="G59" i="54"/>
  <c r="H59" i="54"/>
  <c r="K59" i="54"/>
  <c r="L59" i="54"/>
  <c r="G60" i="54"/>
  <c r="H60" i="54"/>
  <c r="K60" i="54"/>
  <c r="L60" i="54"/>
  <c r="G61" i="54"/>
  <c r="H61" i="54"/>
  <c r="K61" i="54"/>
  <c r="L61" i="54"/>
  <c r="G62" i="54"/>
  <c r="H62" i="54"/>
  <c r="K62" i="54"/>
  <c r="L62" i="54"/>
  <c r="G63" i="54"/>
  <c r="H63" i="54"/>
  <c r="K63" i="54"/>
  <c r="L63" i="54"/>
  <c r="G64" i="54"/>
  <c r="H64" i="54"/>
  <c r="K64" i="54"/>
  <c r="L64" i="54"/>
  <c r="G65" i="54"/>
  <c r="H65" i="54"/>
  <c r="K65" i="54"/>
  <c r="L65" i="54"/>
  <c r="G66" i="54"/>
  <c r="H66" i="54"/>
  <c r="K66" i="54"/>
  <c r="L66" i="54"/>
  <c r="G67" i="54"/>
  <c r="H67" i="54"/>
  <c r="K67" i="54"/>
  <c r="L67" i="54"/>
  <c r="G68" i="54"/>
  <c r="H68" i="54"/>
  <c r="K68" i="54"/>
  <c r="L68" i="54"/>
  <c r="G69" i="54"/>
  <c r="H69" i="54"/>
  <c r="K69" i="54"/>
  <c r="L69" i="54"/>
  <c r="G70" i="54"/>
  <c r="H70" i="54"/>
  <c r="K70" i="54"/>
  <c r="L70" i="54"/>
  <c r="G71" i="54"/>
  <c r="H71" i="54"/>
  <c r="K71" i="54"/>
  <c r="L71" i="54"/>
  <c r="G72" i="54"/>
  <c r="H72" i="54"/>
  <c r="K72" i="54"/>
  <c r="L72" i="54"/>
  <c r="G73" i="54"/>
  <c r="H73" i="54"/>
  <c r="K73" i="54"/>
  <c r="L73" i="54"/>
  <c r="G74" i="54"/>
  <c r="H74" i="54"/>
  <c r="K74" i="54"/>
  <c r="L74" i="54"/>
  <c r="G75" i="54"/>
  <c r="H75" i="54"/>
  <c r="K75" i="54"/>
  <c r="L75" i="54"/>
  <c r="G76" i="54"/>
  <c r="H76" i="54"/>
  <c r="K76" i="54"/>
  <c r="L76" i="54"/>
  <c r="G77" i="54"/>
  <c r="H77" i="54"/>
  <c r="K77" i="54"/>
  <c r="L77" i="54"/>
  <c r="G78" i="54"/>
  <c r="I78" i="54" s="1"/>
  <c r="J78" i="54" s="1"/>
  <c r="H78" i="54"/>
  <c r="K78" i="54"/>
  <c r="L78" i="54"/>
  <c r="G79" i="54"/>
  <c r="H79" i="54"/>
  <c r="K79" i="54"/>
  <c r="L79" i="54"/>
  <c r="G80" i="54"/>
  <c r="I80" i="54" s="1"/>
  <c r="J80" i="54" s="1"/>
  <c r="H80" i="54"/>
  <c r="K80" i="54"/>
  <c r="L80" i="54"/>
  <c r="G16" i="53"/>
  <c r="H16" i="53"/>
  <c r="M16" i="53"/>
  <c r="K16" i="53" s="1"/>
  <c r="N16" i="53"/>
  <c r="L16" i="53" s="1"/>
  <c r="G17" i="53"/>
  <c r="H17" i="53"/>
  <c r="I17" i="53"/>
  <c r="J17" i="53" s="1"/>
  <c r="M17" i="53"/>
  <c r="K17" i="53" s="1"/>
  <c r="N17" i="53"/>
  <c r="L17" i="53" s="1"/>
  <c r="G18" i="53"/>
  <c r="H18" i="53"/>
  <c r="M18" i="53"/>
  <c r="K18" i="53" s="1"/>
  <c r="N18" i="53"/>
  <c r="L18" i="53" s="1"/>
  <c r="G19" i="53"/>
  <c r="H19" i="53"/>
  <c r="I19" i="53"/>
  <c r="J19" i="53" s="1"/>
  <c r="M19" i="53"/>
  <c r="K19" i="53" s="1"/>
  <c r="N19" i="53"/>
  <c r="L19" i="53" s="1"/>
  <c r="G20" i="53"/>
  <c r="H20" i="53"/>
  <c r="M20" i="53"/>
  <c r="K20" i="53" s="1"/>
  <c r="N20" i="53"/>
  <c r="L20" i="53" s="1"/>
  <c r="G21" i="53"/>
  <c r="I21" i="53" s="1"/>
  <c r="J21" i="53" s="1"/>
  <c r="H21" i="53"/>
  <c r="M21" i="53"/>
  <c r="K21" i="53" s="1"/>
  <c r="N21" i="53"/>
  <c r="L21" i="53" s="1"/>
  <c r="G22" i="53"/>
  <c r="H22" i="53"/>
  <c r="M22" i="53"/>
  <c r="K22" i="53" s="1"/>
  <c r="N22" i="53"/>
  <c r="L22" i="53" s="1"/>
  <c r="G23" i="53"/>
  <c r="H23" i="53"/>
  <c r="M23" i="53"/>
  <c r="K23" i="53" s="1"/>
  <c r="N23" i="53"/>
  <c r="L23" i="53" s="1"/>
  <c r="G24" i="53"/>
  <c r="H24" i="53"/>
  <c r="M24" i="53"/>
  <c r="K24" i="53" s="1"/>
  <c r="N24" i="53"/>
  <c r="L24" i="53" s="1"/>
  <c r="G25" i="53"/>
  <c r="H25" i="53"/>
  <c r="M25" i="53"/>
  <c r="K25" i="53" s="1"/>
  <c r="N25" i="53"/>
  <c r="L25" i="53" s="1"/>
  <c r="G26" i="53"/>
  <c r="H26" i="53"/>
  <c r="M26" i="53"/>
  <c r="K26" i="53" s="1"/>
  <c r="N26" i="53"/>
  <c r="L26" i="53" s="1"/>
  <c r="G27" i="53"/>
  <c r="H27" i="53"/>
  <c r="M27" i="53"/>
  <c r="K27" i="53" s="1"/>
  <c r="N27" i="53"/>
  <c r="L27" i="53" s="1"/>
  <c r="G28" i="53"/>
  <c r="H28" i="53"/>
  <c r="M28" i="53"/>
  <c r="K28" i="53" s="1"/>
  <c r="N28" i="53"/>
  <c r="L28" i="53" s="1"/>
  <c r="G29" i="53"/>
  <c r="H29" i="53"/>
  <c r="M29" i="53"/>
  <c r="K29" i="53" s="1"/>
  <c r="N29" i="53"/>
  <c r="L29" i="53" s="1"/>
  <c r="G30" i="53"/>
  <c r="H30" i="53"/>
  <c r="M30" i="53"/>
  <c r="K30" i="53" s="1"/>
  <c r="N30" i="53"/>
  <c r="L30" i="53" s="1"/>
  <c r="G31" i="53"/>
  <c r="I31" i="53" s="1"/>
  <c r="J31" i="53" s="1"/>
  <c r="H31" i="53"/>
  <c r="M31" i="53"/>
  <c r="K31" i="53" s="1"/>
  <c r="N31" i="53"/>
  <c r="L31" i="53" s="1"/>
  <c r="G32" i="53"/>
  <c r="H32" i="53"/>
  <c r="M32" i="53"/>
  <c r="K32" i="53" s="1"/>
  <c r="N32" i="53"/>
  <c r="L32" i="53" s="1"/>
  <c r="G33" i="53"/>
  <c r="I33" i="53" s="1"/>
  <c r="J33" i="53" s="1"/>
  <c r="H33" i="53"/>
  <c r="M33" i="53"/>
  <c r="K33" i="53" s="1"/>
  <c r="N33" i="53"/>
  <c r="L33" i="53" s="1"/>
  <c r="G34" i="53"/>
  <c r="H34" i="53"/>
  <c r="M34" i="53"/>
  <c r="K34" i="53" s="1"/>
  <c r="N34" i="53"/>
  <c r="L34" i="53" s="1"/>
  <c r="G35" i="53"/>
  <c r="H35" i="53"/>
  <c r="M35" i="53"/>
  <c r="K35" i="53" s="1"/>
  <c r="N35" i="53"/>
  <c r="L35" i="53" s="1"/>
  <c r="G36" i="53"/>
  <c r="H36" i="53"/>
  <c r="M36" i="53"/>
  <c r="K36" i="53" s="1"/>
  <c r="N36" i="53"/>
  <c r="L36" i="53" s="1"/>
  <c r="G37" i="53"/>
  <c r="H37" i="53"/>
  <c r="M37" i="53"/>
  <c r="K37" i="53" s="1"/>
  <c r="N37" i="53"/>
  <c r="L37" i="53" s="1"/>
  <c r="G38" i="53"/>
  <c r="H38" i="53"/>
  <c r="M38" i="53"/>
  <c r="K38" i="53" s="1"/>
  <c r="N38" i="53"/>
  <c r="L38" i="53" s="1"/>
  <c r="G39" i="53"/>
  <c r="H39" i="53"/>
  <c r="M39" i="53"/>
  <c r="K39" i="53" s="1"/>
  <c r="N39" i="53"/>
  <c r="L39" i="53" s="1"/>
  <c r="G40" i="53"/>
  <c r="H40" i="53"/>
  <c r="M40" i="53"/>
  <c r="K40" i="53" s="1"/>
  <c r="N40" i="53"/>
  <c r="L40" i="53" s="1"/>
  <c r="G41" i="53"/>
  <c r="H41" i="53"/>
  <c r="M41" i="53"/>
  <c r="K41" i="53" s="1"/>
  <c r="N41" i="53"/>
  <c r="L41" i="53" s="1"/>
  <c r="G42" i="53"/>
  <c r="H42" i="53"/>
  <c r="M42" i="53"/>
  <c r="K42" i="53" s="1"/>
  <c r="N42" i="53"/>
  <c r="L42" i="53" s="1"/>
  <c r="G43" i="53"/>
  <c r="H43" i="53"/>
  <c r="M43" i="53"/>
  <c r="K43" i="53" s="1"/>
  <c r="N43" i="53"/>
  <c r="L43" i="53" s="1"/>
  <c r="G44" i="53"/>
  <c r="H44" i="53"/>
  <c r="M44" i="53"/>
  <c r="K44" i="53" s="1"/>
  <c r="N44" i="53"/>
  <c r="L44" i="53" s="1"/>
  <c r="G45" i="53"/>
  <c r="H45" i="53"/>
  <c r="M45" i="53"/>
  <c r="K45" i="53" s="1"/>
  <c r="N45" i="53"/>
  <c r="L45" i="53" s="1"/>
  <c r="G46" i="53"/>
  <c r="H46" i="53"/>
  <c r="M46" i="53"/>
  <c r="K46" i="53" s="1"/>
  <c r="N46" i="53"/>
  <c r="L46" i="53" s="1"/>
  <c r="G47" i="53"/>
  <c r="I47" i="53" s="1"/>
  <c r="J47" i="53" s="1"/>
  <c r="H47" i="53"/>
  <c r="M47" i="53"/>
  <c r="K47" i="53" s="1"/>
  <c r="N47" i="53"/>
  <c r="L47" i="53" s="1"/>
  <c r="G48" i="53"/>
  <c r="H48" i="53"/>
  <c r="M48" i="53"/>
  <c r="K48" i="53" s="1"/>
  <c r="N48" i="53"/>
  <c r="L48" i="53" s="1"/>
  <c r="G49" i="53"/>
  <c r="H49" i="53"/>
  <c r="M49" i="53"/>
  <c r="K49" i="53" s="1"/>
  <c r="N49" i="53"/>
  <c r="L49" i="53" s="1"/>
  <c r="G50" i="53"/>
  <c r="H50" i="53"/>
  <c r="M50" i="53"/>
  <c r="K50" i="53" s="1"/>
  <c r="N50" i="53"/>
  <c r="L50" i="53" s="1"/>
  <c r="G51" i="53"/>
  <c r="H51" i="53"/>
  <c r="M51" i="53"/>
  <c r="K51" i="53" s="1"/>
  <c r="N51" i="53"/>
  <c r="L51" i="53" s="1"/>
  <c r="G52" i="53"/>
  <c r="H52" i="53"/>
  <c r="M52" i="53"/>
  <c r="K52" i="53" s="1"/>
  <c r="N52" i="53"/>
  <c r="L52" i="53" s="1"/>
  <c r="G53" i="53"/>
  <c r="H53" i="53"/>
  <c r="M53" i="53"/>
  <c r="K53" i="53" s="1"/>
  <c r="N53" i="53"/>
  <c r="L53" i="53" s="1"/>
  <c r="G54" i="53"/>
  <c r="H54" i="53"/>
  <c r="M54" i="53"/>
  <c r="K54" i="53" s="1"/>
  <c r="N54" i="53"/>
  <c r="L54" i="53" s="1"/>
  <c r="G55" i="53"/>
  <c r="H55" i="53"/>
  <c r="M55" i="53"/>
  <c r="K55" i="53" s="1"/>
  <c r="N55" i="53"/>
  <c r="L55" i="53" s="1"/>
  <c r="G56" i="53"/>
  <c r="H56" i="53"/>
  <c r="M56" i="53"/>
  <c r="K56" i="53" s="1"/>
  <c r="N56" i="53"/>
  <c r="L56" i="53" s="1"/>
  <c r="G57" i="53"/>
  <c r="H57" i="53"/>
  <c r="M57" i="53"/>
  <c r="K57" i="53" s="1"/>
  <c r="N57" i="53"/>
  <c r="L57" i="53" s="1"/>
  <c r="G58" i="53"/>
  <c r="H58" i="53"/>
  <c r="M58" i="53"/>
  <c r="K58" i="53" s="1"/>
  <c r="N58" i="53"/>
  <c r="L58" i="53" s="1"/>
  <c r="G59" i="53"/>
  <c r="H59" i="53"/>
  <c r="M59" i="53"/>
  <c r="K59" i="53" s="1"/>
  <c r="N59" i="53"/>
  <c r="L59" i="53" s="1"/>
  <c r="G60" i="53"/>
  <c r="H60" i="53"/>
  <c r="M60" i="53"/>
  <c r="K60" i="53" s="1"/>
  <c r="N60" i="53"/>
  <c r="L60" i="53" s="1"/>
  <c r="G61" i="53"/>
  <c r="H61" i="53"/>
  <c r="M61" i="53"/>
  <c r="K61" i="53" s="1"/>
  <c r="N61" i="53"/>
  <c r="L61" i="53" s="1"/>
  <c r="G62" i="53"/>
  <c r="H62" i="53"/>
  <c r="M62" i="53"/>
  <c r="K62" i="53" s="1"/>
  <c r="N62" i="53"/>
  <c r="L62" i="53" s="1"/>
  <c r="G63" i="53"/>
  <c r="I63" i="53" s="1"/>
  <c r="J63" i="53" s="1"/>
  <c r="H63" i="53"/>
  <c r="M63" i="53"/>
  <c r="K63" i="53" s="1"/>
  <c r="N63" i="53"/>
  <c r="L63" i="53" s="1"/>
  <c r="G64" i="53"/>
  <c r="H64" i="53"/>
  <c r="M64" i="53"/>
  <c r="K64" i="53" s="1"/>
  <c r="N64" i="53"/>
  <c r="L64" i="53" s="1"/>
  <c r="G65" i="53"/>
  <c r="I65" i="53" s="1"/>
  <c r="J65" i="53" s="1"/>
  <c r="H65" i="53"/>
  <c r="M65" i="53"/>
  <c r="K65" i="53" s="1"/>
  <c r="N65" i="53"/>
  <c r="L65" i="53" s="1"/>
  <c r="G66" i="53"/>
  <c r="H66" i="53"/>
  <c r="M66" i="53"/>
  <c r="K66" i="53" s="1"/>
  <c r="N66" i="53"/>
  <c r="L66" i="53" s="1"/>
  <c r="G67" i="53"/>
  <c r="H67" i="53"/>
  <c r="M67" i="53"/>
  <c r="K67" i="53" s="1"/>
  <c r="N67" i="53"/>
  <c r="L67" i="53" s="1"/>
  <c r="G68" i="53"/>
  <c r="H68" i="53"/>
  <c r="M68" i="53"/>
  <c r="K68" i="53" s="1"/>
  <c r="N68" i="53"/>
  <c r="L68" i="53" s="1"/>
  <c r="G69" i="53"/>
  <c r="H69" i="53"/>
  <c r="M69" i="53"/>
  <c r="K69" i="53" s="1"/>
  <c r="N69" i="53"/>
  <c r="L69" i="53" s="1"/>
  <c r="G70" i="53"/>
  <c r="H70" i="53"/>
  <c r="M70" i="53"/>
  <c r="K70" i="53" s="1"/>
  <c r="N70" i="53"/>
  <c r="L70" i="53" s="1"/>
  <c r="G71" i="53"/>
  <c r="H71" i="53"/>
  <c r="M71" i="53"/>
  <c r="K71" i="53" s="1"/>
  <c r="N71" i="53"/>
  <c r="L71" i="53" s="1"/>
  <c r="G72" i="53"/>
  <c r="H72" i="53"/>
  <c r="M72" i="53"/>
  <c r="K72" i="53" s="1"/>
  <c r="N72" i="53"/>
  <c r="L72" i="53" s="1"/>
  <c r="G73" i="53"/>
  <c r="H73" i="53"/>
  <c r="M73" i="53"/>
  <c r="K73" i="53" s="1"/>
  <c r="N73" i="53"/>
  <c r="L73" i="53" s="1"/>
  <c r="I70" i="63" l="1"/>
  <c r="J70" i="63" s="1"/>
  <c r="I22" i="63"/>
  <c r="J22" i="63" s="1"/>
  <c r="I72" i="54"/>
  <c r="J72" i="54" s="1"/>
  <c r="I68" i="54"/>
  <c r="J68" i="54" s="1"/>
  <c r="I66" i="54"/>
  <c r="J66" i="54" s="1"/>
  <c r="I64" i="54"/>
  <c r="J64" i="54" s="1"/>
  <c r="I62" i="54"/>
  <c r="J62" i="54" s="1"/>
  <c r="I40" i="54"/>
  <c r="J40" i="54" s="1"/>
  <c r="I38" i="54"/>
  <c r="J38" i="54" s="1"/>
  <c r="I35" i="54"/>
  <c r="J35" i="54" s="1"/>
  <c r="I32" i="54"/>
  <c r="J32" i="54" s="1"/>
  <c r="I30" i="54"/>
  <c r="J30" i="54" s="1"/>
  <c r="I70" i="54"/>
  <c r="J70" i="54" s="1"/>
  <c r="I67" i="54"/>
  <c r="J67" i="54" s="1"/>
  <c r="I56" i="54"/>
  <c r="J56" i="54" s="1"/>
  <c r="I46" i="54"/>
  <c r="J46" i="54" s="1"/>
  <c r="I36" i="54"/>
  <c r="J36" i="54" s="1"/>
  <c r="I34" i="54"/>
  <c r="J34" i="54" s="1"/>
  <c r="I49" i="53"/>
  <c r="J49" i="53" s="1"/>
  <c r="I67" i="55"/>
  <c r="J67" i="55" s="1"/>
  <c r="I65" i="55"/>
  <c r="J65" i="55" s="1"/>
  <c r="I49" i="55"/>
  <c r="J49" i="55" s="1"/>
  <c r="I35" i="55"/>
  <c r="J35" i="55" s="1"/>
  <c r="I33" i="55"/>
  <c r="J33" i="55" s="1"/>
  <c r="I40" i="60"/>
  <c r="J40" i="60" s="1"/>
  <c r="I42" i="61"/>
  <c r="J42" i="61" s="1"/>
  <c r="I72" i="53"/>
  <c r="J72" i="53" s="1"/>
  <c r="I70" i="53"/>
  <c r="J70" i="53" s="1"/>
  <c r="I68" i="53"/>
  <c r="J68" i="53" s="1"/>
  <c r="I70" i="57"/>
  <c r="J70" i="57" s="1"/>
  <c r="I69" i="57"/>
  <c r="J69" i="57" s="1"/>
  <c r="I66" i="57"/>
  <c r="J66" i="57" s="1"/>
  <c r="I65" i="57"/>
  <c r="J65" i="57" s="1"/>
  <c r="I62" i="57"/>
  <c r="J62" i="57" s="1"/>
  <c r="I61" i="57"/>
  <c r="J61" i="57" s="1"/>
  <c r="I60" i="57"/>
  <c r="J60" i="57" s="1"/>
  <c r="I58" i="57"/>
  <c r="J58" i="57" s="1"/>
  <c r="I57" i="57"/>
  <c r="J57" i="57" s="1"/>
  <c r="I46" i="57"/>
  <c r="J46" i="57" s="1"/>
  <c r="I24" i="60"/>
  <c r="J24" i="60" s="1"/>
  <c r="I22" i="60"/>
  <c r="J22" i="60" s="1"/>
  <c r="I69" i="59"/>
  <c r="J69" i="59" s="1"/>
  <c r="I70" i="61"/>
  <c r="J70" i="61" s="1"/>
  <c r="I40" i="61"/>
  <c r="J40" i="61" s="1"/>
  <c r="I34" i="61"/>
  <c r="J34" i="61" s="1"/>
  <c r="I32" i="61"/>
  <c r="J32" i="61" s="1"/>
  <c r="I26" i="61"/>
  <c r="J26" i="61" s="1"/>
  <c r="I72" i="63"/>
  <c r="J72" i="63" s="1"/>
  <c r="I52" i="62"/>
  <c r="J52" i="62" s="1"/>
  <c r="I45" i="62"/>
  <c r="J45" i="62" s="1"/>
  <c r="I27" i="53"/>
  <c r="J27" i="53" s="1"/>
  <c r="I62" i="60"/>
  <c r="J62" i="60" s="1"/>
  <c r="I60" i="60"/>
  <c r="J60" i="60" s="1"/>
  <c r="I59" i="60"/>
  <c r="J59" i="60" s="1"/>
  <c r="I58" i="60"/>
  <c r="J58" i="60" s="1"/>
  <c r="I54" i="60"/>
  <c r="J54" i="60" s="1"/>
  <c r="I52" i="60"/>
  <c r="J52" i="60" s="1"/>
  <c r="I51" i="60"/>
  <c r="J51" i="60" s="1"/>
  <c r="I50" i="60"/>
  <c r="J50" i="60" s="1"/>
  <c r="I48" i="60"/>
  <c r="J48" i="60" s="1"/>
  <c r="I46" i="60"/>
  <c r="J46" i="60" s="1"/>
  <c r="I66" i="61"/>
  <c r="J66" i="61" s="1"/>
  <c r="I64" i="61"/>
  <c r="J64" i="61" s="1"/>
  <c r="I63" i="61"/>
  <c r="J63" i="61" s="1"/>
  <c r="I62" i="61"/>
  <c r="J62" i="61" s="1"/>
  <c r="I60" i="61"/>
  <c r="J60" i="61" s="1"/>
  <c r="I58" i="61"/>
  <c r="J58" i="61" s="1"/>
  <c r="I68" i="63"/>
  <c r="J68" i="63" s="1"/>
  <c r="I67" i="63"/>
  <c r="J67" i="63" s="1"/>
  <c r="I54" i="63"/>
  <c r="J54" i="63" s="1"/>
  <c r="I52" i="63"/>
  <c r="J52" i="63" s="1"/>
  <c r="I51" i="63"/>
  <c r="J51" i="63" s="1"/>
  <c r="I50" i="63"/>
  <c r="J50" i="63" s="1"/>
  <c r="I48" i="63"/>
  <c r="J48" i="63" s="1"/>
  <c r="I46" i="63"/>
  <c r="J46" i="63" s="1"/>
  <c r="I44" i="63"/>
  <c r="J44" i="63" s="1"/>
  <c r="I43" i="63"/>
  <c r="J43" i="63" s="1"/>
  <c r="I42" i="63"/>
  <c r="J42" i="63" s="1"/>
  <c r="I38" i="63"/>
  <c r="J38" i="63" s="1"/>
  <c r="I24" i="53"/>
  <c r="J24" i="53" s="1"/>
  <c r="I64" i="55"/>
  <c r="J64" i="55" s="1"/>
  <c r="I63" i="55"/>
  <c r="J63" i="55" s="1"/>
  <c r="I62" i="55"/>
  <c r="J62" i="55" s="1"/>
  <c r="I61" i="55"/>
  <c r="J61" i="55" s="1"/>
  <c r="I59" i="55"/>
  <c r="J59" i="55" s="1"/>
  <c r="I57" i="55"/>
  <c r="J57" i="55" s="1"/>
  <c r="I27" i="55"/>
  <c r="J27" i="55" s="1"/>
  <c r="I25" i="55"/>
  <c r="J25" i="55" s="1"/>
  <c r="I43" i="58"/>
  <c r="J43" i="58" s="1"/>
  <c r="I41" i="58"/>
  <c r="J41" i="58" s="1"/>
  <c r="I38" i="57"/>
  <c r="J38" i="57" s="1"/>
  <c r="I37" i="57"/>
  <c r="J37" i="57" s="1"/>
  <c r="I36" i="57"/>
  <c r="J36" i="57" s="1"/>
  <c r="I35" i="57"/>
  <c r="J35" i="57" s="1"/>
  <c r="I34" i="57"/>
  <c r="J34" i="57" s="1"/>
  <c r="I33" i="57"/>
  <c r="J33" i="57" s="1"/>
  <c r="I30" i="57"/>
  <c r="J30" i="57" s="1"/>
  <c r="I67" i="59"/>
  <c r="J67" i="59" s="1"/>
  <c r="I65" i="59"/>
  <c r="J65" i="59" s="1"/>
  <c r="I64" i="59"/>
  <c r="J64" i="59" s="1"/>
  <c r="I63" i="59"/>
  <c r="J63" i="59" s="1"/>
  <c r="I61" i="59"/>
  <c r="J61" i="59" s="1"/>
  <c r="I36" i="63"/>
  <c r="J36" i="63" s="1"/>
  <c r="I35" i="63"/>
  <c r="J35" i="63" s="1"/>
  <c r="I34" i="63"/>
  <c r="J34" i="63" s="1"/>
  <c r="I32" i="63"/>
  <c r="J32" i="63" s="1"/>
  <c r="I30" i="63"/>
  <c r="J30" i="63" s="1"/>
  <c r="I28" i="63"/>
  <c r="J28" i="63" s="1"/>
  <c r="I27" i="63"/>
  <c r="J27" i="63" s="1"/>
  <c r="I26" i="63"/>
  <c r="J26" i="63" s="1"/>
  <c r="I37" i="62"/>
  <c r="J37" i="62" s="1"/>
  <c r="I35" i="62"/>
  <c r="J35" i="62" s="1"/>
  <c r="I34" i="62"/>
  <c r="J34" i="62" s="1"/>
  <c r="I33" i="62"/>
  <c r="J33" i="62" s="1"/>
  <c r="I32" i="62"/>
  <c r="J32" i="62" s="1"/>
  <c r="I55" i="53"/>
  <c r="J55" i="53" s="1"/>
  <c r="I25" i="53"/>
  <c r="J25" i="53" s="1"/>
  <c r="I54" i="54"/>
  <c r="J54" i="54" s="1"/>
  <c r="I52" i="54"/>
  <c r="J52" i="54" s="1"/>
  <c r="I51" i="54"/>
  <c r="J51" i="54" s="1"/>
  <c r="I50" i="54"/>
  <c r="J50" i="54" s="1"/>
  <c r="I48" i="54"/>
  <c r="J48" i="54" s="1"/>
  <c r="I22" i="54"/>
  <c r="J22" i="54" s="1"/>
  <c r="I38" i="60"/>
  <c r="J38" i="60" s="1"/>
  <c r="I36" i="60"/>
  <c r="J36" i="60" s="1"/>
  <c r="I35" i="60"/>
  <c r="J35" i="60" s="1"/>
  <c r="I34" i="60"/>
  <c r="J34" i="60" s="1"/>
  <c r="I32" i="60"/>
  <c r="J32" i="60" s="1"/>
  <c r="I74" i="61"/>
  <c r="J74" i="61" s="1"/>
  <c r="I72" i="61"/>
  <c r="J72" i="61" s="1"/>
  <c r="I50" i="61"/>
  <c r="J50" i="61" s="1"/>
  <c r="I48" i="61"/>
  <c r="J48" i="61" s="1"/>
  <c r="I22" i="61"/>
  <c r="J22" i="61" s="1"/>
  <c r="I76" i="63"/>
  <c r="J76" i="63" s="1"/>
  <c r="I75" i="63"/>
  <c r="J75" i="63" s="1"/>
  <c r="I74" i="63"/>
  <c r="J74" i="63" s="1"/>
  <c r="I57" i="53"/>
  <c r="J57" i="53" s="1"/>
  <c r="I41" i="53"/>
  <c r="J41" i="53" s="1"/>
  <c r="I39" i="53"/>
  <c r="J39" i="53" s="1"/>
  <c r="I75" i="55"/>
  <c r="J75" i="55" s="1"/>
  <c r="I73" i="55"/>
  <c r="J73" i="55" s="1"/>
  <c r="I43" i="55"/>
  <c r="J43" i="55" s="1"/>
  <c r="I41" i="55"/>
  <c r="J41" i="55" s="1"/>
  <c r="I59" i="58"/>
  <c r="J59" i="58" s="1"/>
  <c r="I57" i="58"/>
  <c r="J57" i="58" s="1"/>
  <c r="I27" i="58"/>
  <c r="J27" i="58" s="1"/>
  <c r="I25" i="58"/>
  <c r="J25" i="58" s="1"/>
  <c r="I76" i="57"/>
  <c r="J76" i="57" s="1"/>
  <c r="I72" i="57"/>
  <c r="J72" i="57" s="1"/>
  <c r="I54" i="57"/>
  <c r="J54" i="57" s="1"/>
  <c r="I48" i="57"/>
  <c r="J48" i="57" s="1"/>
  <c r="I76" i="60"/>
  <c r="J76" i="60" s="1"/>
  <c r="I75" i="60"/>
  <c r="J75" i="60" s="1"/>
  <c r="I74" i="60"/>
  <c r="J74" i="60" s="1"/>
  <c r="I70" i="60"/>
  <c r="J70" i="60" s="1"/>
  <c r="I68" i="60"/>
  <c r="J68" i="60" s="1"/>
  <c r="I67" i="60"/>
  <c r="J67" i="60" s="1"/>
  <c r="I66" i="60"/>
  <c r="J66" i="60" s="1"/>
  <c r="I64" i="60"/>
  <c r="J64" i="60" s="1"/>
  <c r="I56" i="60"/>
  <c r="J56" i="60" s="1"/>
  <c r="I75" i="59"/>
  <c r="J75" i="59" s="1"/>
  <c r="I36" i="61"/>
  <c r="J36" i="61" s="1"/>
  <c r="I66" i="63"/>
  <c r="J66" i="63" s="1"/>
  <c r="I64" i="63"/>
  <c r="J64" i="63" s="1"/>
  <c r="I62" i="63"/>
  <c r="J62" i="63" s="1"/>
  <c r="I60" i="63"/>
  <c r="J60" i="63" s="1"/>
  <c r="I59" i="63"/>
  <c r="J59" i="63" s="1"/>
  <c r="I58" i="63"/>
  <c r="J58" i="63" s="1"/>
  <c r="I40" i="63"/>
  <c r="J40" i="63" s="1"/>
  <c r="I68" i="62"/>
  <c r="J68" i="62" s="1"/>
  <c r="I66" i="62"/>
  <c r="J66" i="62" s="1"/>
  <c r="I65" i="62"/>
  <c r="J65" i="62" s="1"/>
  <c r="I64" i="62"/>
  <c r="J64" i="62" s="1"/>
  <c r="I63" i="62"/>
  <c r="J63" i="62" s="1"/>
  <c r="I47" i="62"/>
  <c r="J47" i="62" s="1"/>
  <c r="I80" i="55"/>
  <c r="J80" i="55" s="1"/>
  <c r="I79" i="55"/>
  <c r="J79" i="55" s="1"/>
  <c r="I78" i="55"/>
  <c r="J78" i="55" s="1"/>
  <c r="I77" i="55"/>
  <c r="J77" i="55" s="1"/>
  <c r="I58" i="62"/>
  <c r="J58" i="62" s="1"/>
  <c r="I57" i="62"/>
  <c r="J57" i="62" s="1"/>
  <c r="I56" i="62"/>
  <c r="J56" i="62" s="1"/>
  <c r="I55" i="62"/>
  <c r="J55" i="62" s="1"/>
  <c r="I27" i="62"/>
  <c r="J27" i="62" s="1"/>
  <c r="I26" i="62"/>
  <c r="J26" i="62" s="1"/>
  <c r="I25" i="62"/>
  <c r="J25" i="62" s="1"/>
  <c r="I81" i="62"/>
  <c r="J81" i="62" s="1"/>
  <c r="I80" i="62"/>
  <c r="J80" i="62" s="1"/>
  <c r="I79" i="62"/>
  <c r="J79" i="62" s="1"/>
  <c r="I50" i="62"/>
  <c r="J50" i="62" s="1"/>
  <c r="I49" i="62"/>
  <c r="J49" i="62" s="1"/>
  <c r="I48" i="62"/>
  <c r="J48" i="62" s="1"/>
  <c r="I74" i="62"/>
  <c r="J74" i="62" s="1"/>
  <c r="I73" i="62"/>
  <c r="J73" i="62" s="1"/>
  <c r="I72" i="62"/>
  <c r="J72" i="62" s="1"/>
  <c r="I71" i="62"/>
  <c r="J71" i="62" s="1"/>
  <c r="I62" i="62"/>
  <c r="J62" i="62" s="1"/>
  <c r="I43" i="62"/>
  <c r="J43" i="62" s="1"/>
  <c r="I42" i="62"/>
  <c r="J42" i="62" s="1"/>
  <c r="I41" i="62"/>
  <c r="J41" i="62" s="1"/>
  <c r="I40" i="62"/>
  <c r="J40" i="62" s="1"/>
  <c r="I31" i="62"/>
  <c r="J31" i="62" s="1"/>
  <c r="I24" i="62"/>
  <c r="J24" i="62" s="1"/>
  <c r="I77" i="62"/>
  <c r="J77" i="62" s="1"/>
  <c r="I69" i="62"/>
  <c r="J69" i="62" s="1"/>
  <c r="I61" i="62"/>
  <c r="J61" i="62" s="1"/>
  <c r="I53" i="62"/>
  <c r="J53" i="62" s="1"/>
  <c r="I46" i="62"/>
  <c r="J46" i="62" s="1"/>
  <c r="I38" i="62"/>
  <c r="J38" i="62" s="1"/>
  <c r="I30" i="62"/>
  <c r="J30" i="62" s="1"/>
  <c r="I22" i="62"/>
  <c r="J22" i="62" s="1"/>
  <c r="I75" i="62"/>
  <c r="J75" i="62" s="1"/>
  <c r="I67" i="62"/>
  <c r="J67" i="62" s="1"/>
  <c r="I59" i="62"/>
  <c r="J59" i="62" s="1"/>
  <c r="I51" i="62"/>
  <c r="J51" i="62" s="1"/>
  <c r="I44" i="62"/>
  <c r="J44" i="62" s="1"/>
  <c r="I36" i="62"/>
  <c r="J36" i="62" s="1"/>
  <c r="I28" i="62"/>
  <c r="J28" i="62" s="1"/>
  <c r="I21" i="63"/>
  <c r="J21" i="63" s="1"/>
  <c r="I73" i="63"/>
  <c r="J73" i="63" s="1"/>
  <c r="I65" i="63"/>
  <c r="J65" i="63" s="1"/>
  <c r="I49" i="63"/>
  <c r="J49" i="63" s="1"/>
  <c r="I41" i="63"/>
  <c r="J41" i="63" s="1"/>
  <c r="I33" i="63"/>
  <c r="J33" i="63" s="1"/>
  <c r="I25" i="63"/>
  <c r="J25" i="63" s="1"/>
  <c r="I71" i="63"/>
  <c r="J71" i="63" s="1"/>
  <c r="I63" i="63"/>
  <c r="J63" i="63" s="1"/>
  <c r="I55" i="63"/>
  <c r="J55" i="63" s="1"/>
  <c r="I47" i="63"/>
  <c r="J47" i="63" s="1"/>
  <c r="I31" i="63"/>
  <c r="J31" i="63" s="1"/>
  <c r="I69" i="63"/>
  <c r="J69" i="63" s="1"/>
  <c r="I61" i="63"/>
  <c r="J61" i="63" s="1"/>
  <c r="I53" i="63"/>
  <c r="J53" i="63" s="1"/>
  <c r="I45" i="63"/>
  <c r="J45" i="63" s="1"/>
  <c r="I37" i="63"/>
  <c r="J37" i="63" s="1"/>
  <c r="I29" i="63"/>
  <c r="J29" i="63" s="1"/>
  <c r="I57" i="63"/>
  <c r="J57" i="63" s="1"/>
  <c r="I39" i="63"/>
  <c r="J39" i="63" s="1"/>
  <c r="I23" i="63"/>
  <c r="J23" i="63" s="1"/>
  <c r="I71" i="61"/>
  <c r="J71" i="61" s="1"/>
  <c r="I46" i="61"/>
  <c r="J46" i="61" s="1"/>
  <c r="I45" i="61"/>
  <c r="J45" i="61" s="1"/>
  <c r="I44" i="61"/>
  <c r="J44" i="61" s="1"/>
  <c r="I30" i="61"/>
  <c r="J30" i="61" s="1"/>
  <c r="I29" i="61"/>
  <c r="J29" i="61" s="1"/>
  <c r="I28" i="61"/>
  <c r="J28" i="61" s="1"/>
  <c r="I79" i="61"/>
  <c r="J79" i="61" s="1"/>
  <c r="I54" i="61"/>
  <c r="J54" i="61" s="1"/>
  <c r="I53" i="61"/>
  <c r="J53" i="61" s="1"/>
  <c r="I52" i="61"/>
  <c r="J52" i="61" s="1"/>
  <c r="I38" i="61"/>
  <c r="J38" i="61" s="1"/>
  <c r="I37" i="61"/>
  <c r="J37" i="61" s="1"/>
  <c r="I77" i="61"/>
  <c r="J77" i="61" s="1"/>
  <c r="I69" i="61"/>
  <c r="J69" i="61" s="1"/>
  <c r="I61" i="61"/>
  <c r="J61" i="61" s="1"/>
  <c r="I83" i="61"/>
  <c r="J83" i="61" s="1"/>
  <c r="I75" i="61"/>
  <c r="J75" i="61" s="1"/>
  <c r="I67" i="61"/>
  <c r="J67" i="61" s="1"/>
  <c r="I59" i="61"/>
  <c r="J59" i="61" s="1"/>
  <c r="I51" i="61"/>
  <c r="J51" i="61" s="1"/>
  <c r="I43" i="61"/>
  <c r="J43" i="61" s="1"/>
  <c r="I35" i="61"/>
  <c r="J35" i="61" s="1"/>
  <c r="I27" i="61"/>
  <c r="J27" i="61" s="1"/>
  <c r="I81" i="61"/>
  <c r="J81" i="61" s="1"/>
  <c r="I73" i="61"/>
  <c r="J73" i="61" s="1"/>
  <c r="I65" i="61"/>
  <c r="J65" i="61" s="1"/>
  <c r="I57" i="61"/>
  <c r="J57" i="61" s="1"/>
  <c r="I49" i="61"/>
  <c r="J49" i="61" s="1"/>
  <c r="I41" i="61"/>
  <c r="J41" i="61" s="1"/>
  <c r="I33" i="61"/>
  <c r="J33" i="61" s="1"/>
  <c r="I25" i="61"/>
  <c r="J25" i="61" s="1"/>
  <c r="I55" i="61"/>
  <c r="J55" i="61" s="1"/>
  <c r="I47" i="61"/>
  <c r="J47" i="61" s="1"/>
  <c r="I39" i="61"/>
  <c r="J39" i="61" s="1"/>
  <c r="I31" i="61"/>
  <c r="J31" i="61" s="1"/>
  <c r="I23" i="61"/>
  <c r="J23" i="61" s="1"/>
  <c r="I73" i="59"/>
  <c r="J73" i="59" s="1"/>
  <c r="I72" i="59"/>
  <c r="J72" i="59" s="1"/>
  <c r="I71" i="59"/>
  <c r="J71" i="59" s="1"/>
  <c r="I57" i="59"/>
  <c r="J57" i="59" s="1"/>
  <c r="I56" i="59"/>
  <c r="J56" i="59" s="1"/>
  <c r="I55" i="59"/>
  <c r="J55" i="59" s="1"/>
  <c r="I78" i="59"/>
  <c r="J78" i="59" s="1"/>
  <c r="I62" i="59"/>
  <c r="J62" i="59" s="1"/>
  <c r="I70" i="59"/>
  <c r="J70" i="59" s="1"/>
  <c r="I54" i="59"/>
  <c r="J54" i="59" s="1"/>
  <c r="I20" i="59"/>
  <c r="J20" i="59" s="1"/>
  <c r="I76" i="59"/>
  <c r="J76" i="59" s="1"/>
  <c r="I68" i="59"/>
  <c r="J68" i="59" s="1"/>
  <c r="I60" i="59"/>
  <c r="J60" i="59" s="1"/>
  <c r="I74" i="59"/>
  <c r="J74" i="59" s="1"/>
  <c r="I66" i="59"/>
  <c r="J66" i="59" s="1"/>
  <c r="I58" i="59"/>
  <c r="J58" i="59" s="1"/>
  <c r="I44" i="60"/>
  <c r="J44" i="60" s="1"/>
  <c r="I43" i="60"/>
  <c r="J43" i="60" s="1"/>
  <c r="I42" i="60"/>
  <c r="J42" i="60" s="1"/>
  <c r="I28" i="60"/>
  <c r="J28" i="60" s="1"/>
  <c r="I27" i="60"/>
  <c r="J27" i="60" s="1"/>
  <c r="I26" i="60"/>
  <c r="J26" i="60" s="1"/>
  <c r="I73" i="60"/>
  <c r="J73" i="60" s="1"/>
  <c r="I65" i="60"/>
  <c r="J65" i="60" s="1"/>
  <c r="I57" i="60"/>
  <c r="J57" i="60" s="1"/>
  <c r="I49" i="60"/>
  <c r="J49" i="60" s="1"/>
  <c r="I41" i="60"/>
  <c r="J41" i="60" s="1"/>
  <c r="I33" i="60"/>
  <c r="J33" i="60" s="1"/>
  <c r="I25" i="60"/>
  <c r="J25" i="60" s="1"/>
  <c r="I71" i="60"/>
  <c r="J71" i="60" s="1"/>
  <c r="I63" i="60"/>
  <c r="J63" i="60" s="1"/>
  <c r="I55" i="60"/>
  <c r="J55" i="60" s="1"/>
  <c r="I47" i="60"/>
  <c r="J47" i="60" s="1"/>
  <c r="I39" i="60"/>
  <c r="J39" i="60" s="1"/>
  <c r="I31" i="60"/>
  <c r="J31" i="60" s="1"/>
  <c r="I23" i="60"/>
  <c r="J23" i="60" s="1"/>
  <c r="I77" i="60"/>
  <c r="J77" i="60" s="1"/>
  <c r="I69" i="60"/>
  <c r="J69" i="60" s="1"/>
  <c r="I61" i="60"/>
  <c r="J61" i="60" s="1"/>
  <c r="I53" i="60"/>
  <c r="J53" i="60" s="1"/>
  <c r="I45" i="60"/>
  <c r="J45" i="60" s="1"/>
  <c r="I37" i="60"/>
  <c r="J37" i="60" s="1"/>
  <c r="I29" i="60"/>
  <c r="J29" i="60" s="1"/>
  <c r="I21" i="60"/>
  <c r="J21" i="60" s="1"/>
  <c r="I56" i="57"/>
  <c r="J56" i="57" s="1"/>
  <c r="I29" i="57"/>
  <c r="J29" i="57" s="1"/>
  <c r="I28" i="57"/>
  <c r="J28" i="57" s="1"/>
  <c r="I27" i="57"/>
  <c r="J27" i="57" s="1"/>
  <c r="I26" i="57"/>
  <c r="J26" i="57" s="1"/>
  <c r="I25" i="57"/>
  <c r="J25" i="57" s="1"/>
  <c r="I50" i="57"/>
  <c r="J50" i="57" s="1"/>
  <c r="I53" i="57"/>
  <c r="J53" i="57" s="1"/>
  <c r="I52" i="57"/>
  <c r="J52" i="57" s="1"/>
  <c r="I49" i="57"/>
  <c r="J49" i="57" s="1"/>
  <c r="I77" i="57"/>
  <c r="J77" i="57" s="1"/>
  <c r="I74" i="57"/>
  <c r="J74" i="57" s="1"/>
  <c r="I73" i="57"/>
  <c r="J73" i="57" s="1"/>
  <c r="I68" i="57"/>
  <c r="J68" i="57" s="1"/>
  <c r="I64" i="57"/>
  <c r="J64" i="57" s="1"/>
  <c r="I45" i="57"/>
  <c r="J45" i="57" s="1"/>
  <c r="I44" i="57"/>
  <c r="J44" i="57" s="1"/>
  <c r="I43" i="57"/>
  <c r="J43" i="57" s="1"/>
  <c r="I42" i="57"/>
  <c r="J42" i="57" s="1"/>
  <c r="I41" i="57"/>
  <c r="J41" i="57" s="1"/>
  <c r="I32" i="57"/>
  <c r="J32" i="57" s="1"/>
  <c r="I79" i="57"/>
  <c r="J79" i="57" s="1"/>
  <c r="I71" i="57"/>
  <c r="J71" i="57" s="1"/>
  <c r="I63" i="57"/>
  <c r="J63" i="57" s="1"/>
  <c r="I55" i="57"/>
  <c r="J55" i="57" s="1"/>
  <c r="I47" i="57"/>
  <c r="J47" i="57" s="1"/>
  <c r="I39" i="57"/>
  <c r="J39" i="57" s="1"/>
  <c r="I31" i="57"/>
  <c r="J31" i="57" s="1"/>
  <c r="I23" i="57"/>
  <c r="J23" i="57" s="1"/>
  <c r="I75" i="57"/>
  <c r="J75" i="57" s="1"/>
  <c r="I67" i="57"/>
  <c r="J67" i="57" s="1"/>
  <c r="I59" i="57"/>
  <c r="J59" i="57" s="1"/>
  <c r="I51" i="57"/>
  <c r="J51" i="57" s="1"/>
  <c r="I69" i="58"/>
  <c r="J69" i="58" s="1"/>
  <c r="I55" i="58"/>
  <c r="J55" i="58" s="1"/>
  <c r="I54" i="58"/>
  <c r="J54" i="58" s="1"/>
  <c r="I53" i="58"/>
  <c r="J53" i="58" s="1"/>
  <c r="I39" i="58"/>
  <c r="J39" i="58" s="1"/>
  <c r="I38" i="58"/>
  <c r="J38" i="58" s="1"/>
  <c r="I37" i="58"/>
  <c r="J37" i="58" s="1"/>
  <c r="I23" i="58"/>
  <c r="J23" i="58" s="1"/>
  <c r="I70" i="58"/>
  <c r="J70" i="58" s="1"/>
  <c r="I63" i="58"/>
  <c r="J63" i="58" s="1"/>
  <c r="I62" i="58"/>
  <c r="J62" i="58" s="1"/>
  <c r="I61" i="58"/>
  <c r="J61" i="58" s="1"/>
  <c r="I47" i="58"/>
  <c r="J47" i="58" s="1"/>
  <c r="I46" i="58"/>
  <c r="J46" i="58" s="1"/>
  <c r="I45" i="58"/>
  <c r="J45" i="58" s="1"/>
  <c r="I31" i="58"/>
  <c r="J31" i="58" s="1"/>
  <c r="I30" i="58"/>
  <c r="J30" i="58" s="1"/>
  <c r="I29" i="58"/>
  <c r="J29" i="58" s="1"/>
  <c r="I68" i="58"/>
  <c r="J68" i="58" s="1"/>
  <c r="I60" i="58"/>
  <c r="J60" i="58" s="1"/>
  <c r="I52" i="58"/>
  <c r="J52" i="58" s="1"/>
  <c r="I44" i="58"/>
  <c r="J44" i="58" s="1"/>
  <c r="I36" i="58"/>
  <c r="J36" i="58" s="1"/>
  <c r="I28" i="58"/>
  <c r="J28" i="58" s="1"/>
  <c r="I66" i="58"/>
  <c r="J66" i="58" s="1"/>
  <c r="I58" i="58"/>
  <c r="J58" i="58" s="1"/>
  <c r="I50" i="58"/>
  <c r="J50" i="58" s="1"/>
  <c r="I42" i="58"/>
  <c r="J42" i="58" s="1"/>
  <c r="I34" i="58"/>
  <c r="J34" i="58" s="1"/>
  <c r="I26" i="58"/>
  <c r="J26" i="58" s="1"/>
  <c r="I64" i="58"/>
  <c r="J64" i="58" s="1"/>
  <c r="I56" i="58"/>
  <c r="J56" i="58" s="1"/>
  <c r="I48" i="58"/>
  <c r="J48" i="58" s="1"/>
  <c r="I40" i="58"/>
  <c r="J40" i="58" s="1"/>
  <c r="I32" i="58"/>
  <c r="J32" i="58" s="1"/>
  <c r="I24" i="58"/>
  <c r="J24" i="58" s="1"/>
  <c r="I71" i="55"/>
  <c r="J71" i="55" s="1"/>
  <c r="I69" i="55"/>
  <c r="J69" i="55" s="1"/>
  <c r="I55" i="55"/>
  <c r="J55" i="55" s="1"/>
  <c r="I53" i="55"/>
  <c r="J53" i="55" s="1"/>
  <c r="I39" i="55"/>
  <c r="J39" i="55" s="1"/>
  <c r="I38" i="55"/>
  <c r="J38" i="55" s="1"/>
  <c r="I23" i="55"/>
  <c r="J23" i="55" s="1"/>
  <c r="I21" i="55"/>
  <c r="J21" i="55" s="1"/>
  <c r="I72" i="55"/>
  <c r="J72" i="55" s="1"/>
  <c r="I70" i="55"/>
  <c r="J70" i="55" s="1"/>
  <c r="I56" i="55"/>
  <c r="J56" i="55" s="1"/>
  <c r="I54" i="55"/>
  <c r="J54" i="55" s="1"/>
  <c r="I37" i="55"/>
  <c r="J37" i="55" s="1"/>
  <c r="I22" i="55"/>
  <c r="J22" i="55" s="1"/>
  <c r="I48" i="55"/>
  <c r="J48" i="55" s="1"/>
  <c r="I47" i="55"/>
  <c r="J47" i="55" s="1"/>
  <c r="I46" i="55"/>
  <c r="J46" i="55" s="1"/>
  <c r="I45" i="55"/>
  <c r="J45" i="55" s="1"/>
  <c r="I31" i="55"/>
  <c r="J31" i="55" s="1"/>
  <c r="I30" i="55"/>
  <c r="J30" i="55" s="1"/>
  <c r="I29" i="55"/>
  <c r="J29" i="55" s="1"/>
  <c r="I52" i="55"/>
  <c r="J52" i="55" s="1"/>
  <c r="I36" i="55"/>
  <c r="J36" i="55" s="1"/>
  <c r="I28" i="55"/>
  <c r="J28" i="55" s="1"/>
  <c r="I82" i="55"/>
  <c r="J82" i="55" s="1"/>
  <c r="I74" i="55"/>
  <c r="J74" i="55" s="1"/>
  <c r="I66" i="55"/>
  <c r="J66" i="55" s="1"/>
  <c r="I58" i="55"/>
  <c r="J58" i="55" s="1"/>
  <c r="I50" i="55"/>
  <c r="J50" i="55" s="1"/>
  <c r="I42" i="55"/>
  <c r="J42" i="55" s="1"/>
  <c r="I34" i="55"/>
  <c r="J34" i="55" s="1"/>
  <c r="I26" i="55"/>
  <c r="J26" i="55" s="1"/>
  <c r="I76" i="55"/>
  <c r="J76" i="55" s="1"/>
  <c r="I68" i="55"/>
  <c r="J68" i="55" s="1"/>
  <c r="I60" i="55"/>
  <c r="J60" i="55" s="1"/>
  <c r="I44" i="55"/>
  <c r="J44" i="55" s="1"/>
  <c r="I20" i="55"/>
  <c r="J20" i="55" s="1"/>
  <c r="I40" i="55"/>
  <c r="J40" i="55" s="1"/>
  <c r="I32" i="55"/>
  <c r="J32" i="55" s="1"/>
  <c r="I24" i="55"/>
  <c r="J24" i="55" s="1"/>
  <c r="I76" i="54"/>
  <c r="J76" i="54" s="1"/>
  <c r="I75" i="54"/>
  <c r="J75" i="54" s="1"/>
  <c r="I74" i="54"/>
  <c r="J74" i="54" s="1"/>
  <c r="I60" i="54"/>
  <c r="J60" i="54" s="1"/>
  <c r="I59" i="54"/>
  <c r="J59" i="54" s="1"/>
  <c r="I58" i="54"/>
  <c r="J58" i="54" s="1"/>
  <c r="I44" i="54"/>
  <c r="J44" i="54" s="1"/>
  <c r="I43" i="54"/>
  <c r="J43" i="54" s="1"/>
  <c r="I42" i="54"/>
  <c r="J42" i="54" s="1"/>
  <c r="I28" i="54"/>
  <c r="J28" i="54" s="1"/>
  <c r="I27" i="54"/>
  <c r="J27" i="54" s="1"/>
  <c r="I26" i="54"/>
  <c r="J26" i="54" s="1"/>
  <c r="I73" i="54"/>
  <c r="J73" i="54" s="1"/>
  <c r="I65" i="54"/>
  <c r="J65" i="54" s="1"/>
  <c r="I57" i="54"/>
  <c r="J57" i="54" s="1"/>
  <c r="I49" i="54"/>
  <c r="J49" i="54" s="1"/>
  <c r="I41" i="54"/>
  <c r="J41" i="54" s="1"/>
  <c r="I33" i="54"/>
  <c r="J33" i="54" s="1"/>
  <c r="I25" i="54"/>
  <c r="J25" i="54" s="1"/>
  <c r="I79" i="54"/>
  <c r="J79" i="54" s="1"/>
  <c r="I71" i="54"/>
  <c r="J71" i="54" s="1"/>
  <c r="I63" i="54"/>
  <c r="J63" i="54" s="1"/>
  <c r="I55" i="54"/>
  <c r="J55" i="54" s="1"/>
  <c r="I47" i="54"/>
  <c r="J47" i="54" s="1"/>
  <c r="I39" i="54"/>
  <c r="J39" i="54" s="1"/>
  <c r="I31" i="54"/>
  <c r="J31" i="54" s="1"/>
  <c r="I23" i="54"/>
  <c r="J23" i="54" s="1"/>
  <c r="I77" i="54"/>
  <c r="J77" i="54" s="1"/>
  <c r="I69" i="54"/>
  <c r="J69" i="54" s="1"/>
  <c r="I61" i="54"/>
  <c r="J61" i="54" s="1"/>
  <c r="I53" i="54"/>
  <c r="J53" i="54" s="1"/>
  <c r="I45" i="54"/>
  <c r="J45" i="54" s="1"/>
  <c r="I37" i="54"/>
  <c r="J37" i="54" s="1"/>
  <c r="I29" i="54"/>
  <c r="J29" i="54" s="1"/>
  <c r="I53" i="53"/>
  <c r="J53" i="53" s="1"/>
  <c r="I52" i="53"/>
  <c r="J52" i="53" s="1"/>
  <c r="I51" i="53"/>
  <c r="J51" i="53" s="1"/>
  <c r="I37" i="53"/>
  <c r="J37" i="53" s="1"/>
  <c r="I36" i="53"/>
  <c r="J36" i="53" s="1"/>
  <c r="I35" i="53"/>
  <c r="J35" i="53" s="1"/>
  <c r="I61" i="53"/>
  <c r="J61" i="53" s="1"/>
  <c r="I60" i="53"/>
  <c r="J60" i="53" s="1"/>
  <c r="I59" i="53"/>
  <c r="J59" i="53" s="1"/>
  <c r="I45" i="53"/>
  <c r="J45" i="53" s="1"/>
  <c r="I44" i="53"/>
  <c r="J44" i="53" s="1"/>
  <c r="I43" i="53"/>
  <c r="J43" i="53" s="1"/>
  <c r="I29" i="53"/>
  <c r="J29" i="53" s="1"/>
  <c r="I28" i="53"/>
  <c r="J28" i="53" s="1"/>
  <c r="I23" i="53"/>
  <c r="J23" i="53" s="1"/>
  <c r="I16" i="53"/>
  <c r="J16" i="53" s="1"/>
  <c r="I73" i="53"/>
  <c r="J73" i="53" s="1"/>
  <c r="I71" i="53"/>
  <c r="J71" i="53" s="1"/>
  <c r="I67" i="53"/>
  <c r="J67" i="53" s="1"/>
  <c r="I62" i="53"/>
  <c r="J62" i="53" s="1"/>
  <c r="I54" i="53"/>
  <c r="J54" i="53" s="1"/>
  <c r="I46" i="53"/>
  <c r="J46" i="53" s="1"/>
  <c r="I38" i="53"/>
  <c r="J38" i="53" s="1"/>
  <c r="I30" i="53"/>
  <c r="J30" i="53" s="1"/>
  <c r="I22" i="53"/>
  <c r="J22" i="53" s="1"/>
  <c r="I20" i="53"/>
  <c r="J20" i="53" s="1"/>
  <c r="I69" i="53"/>
  <c r="J69" i="53" s="1"/>
  <c r="I66" i="53"/>
  <c r="J66" i="53" s="1"/>
  <c r="I58" i="53"/>
  <c r="J58" i="53" s="1"/>
  <c r="I50" i="53"/>
  <c r="J50" i="53" s="1"/>
  <c r="I42" i="53"/>
  <c r="J42" i="53" s="1"/>
  <c r="I34" i="53"/>
  <c r="J34" i="53" s="1"/>
  <c r="I26" i="53"/>
  <c r="J26" i="53" s="1"/>
  <c r="I18" i="53"/>
  <c r="J18" i="53" s="1"/>
  <c r="I64" i="53"/>
  <c r="J64" i="53" s="1"/>
  <c r="I56" i="53"/>
  <c r="J56" i="53" s="1"/>
  <c r="I48" i="53"/>
  <c r="J48" i="53" s="1"/>
  <c r="I40" i="53"/>
  <c r="J40" i="53" s="1"/>
  <c r="I32" i="53"/>
  <c r="J32" i="53" s="1"/>
  <c r="I24" i="59"/>
  <c r="J24" i="59" s="1"/>
  <c r="I23" i="59"/>
  <c r="J23" i="59" s="1"/>
  <c r="I22" i="59"/>
  <c r="J22" i="59" s="1"/>
  <c r="I21" i="59"/>
  <c r="J21" i="59" s="1"/>
  <c r="I49" i="59"/>
  <c r="J49" i="59" s="1"/>
  <c r="I44" i="59"/>
  <c r="J44" i="59" s="1"/>
  <c r="I22" i="58"/>
  <c r="J22" i="58" s="1"/>
  <c r="I21" i="54"/>
  <c r="J21" i="54" s="1"/>
  <c r="G33" i="52"/>
  <c r="H33" i="52"/>
  <c r="K33" i="52"/>
  <c r="L33" i="52"/>
  <c r="G34" i="52"/>
  <c r="H34" i="52"/>
  <c r="I34" i="52"/>
  <c r="J34" i="52" s="1"/>
  <c r="K34" i="52"/>
  <c r="L34" i="52"/>
  <c r="G35" i="52"/>
  <c r="H35" i="52"/>
  <c r="K35" i="52"/>
  <c r="L35" i="52"/>
  <c r="G36" i="52"/>
  <c r="H36" i="52"/>
  <c r="I36" i="52" s="1"/>
  <c r="J36" i="52" s="1"/>
  <c r="K36" i="52"/>
  <c r="L36" i="52"/>
  <c r="G37" i="52"/>
  <c r="H37" i="52"/>
  <c r="K37" i="52"/>
  <c r="L37" i="52"/>
  <c r="G38" i="52"/>
  <c r="H38" i="52"/>
  <c r="K38" i="52"/>
  <c r="L38" i="52"/>
  <c r="G39" i="52"/>
  <c r="H39" i="52"/>
  <c r="K39" i="52"/>
  <c r="L39" i="52"/>
  <c r="G40" i="52"/>
  <c r="H40" i="52"/>
  <c r="K40" i="52"/>
  <c r="L40" i="52"/>
  <c r="G41" i="52"/>
  <c r="H41" i="52"/>
  <c r="K41" i="52"/>
  <c r="L41" i="52"/>
  <c r="G42" i="52"/>
  <c r="H42" i="52"/>
  <c r="K42" i="52"/>
  <c r="L42" i="52"/>
  <c r="G43" i="52"/>
  <c r="H43" i="52"/>
  <c r="K43" i="52"/>
  <c r="L43" i="52"/>
  <c r="G44" i="52"/>
  <c r="H44" i="52"/>
  <c r="K44" i="52"/>
  <c r="L44" i="52"/>
  <c r="G45" i="52"/>
  <c r="H45" i="52"/>
  <c r="K45" i="52"/>
  <c r="L45" i="52"/>
  <c r="G46" i="52"/>
  <c r="H46" i="52"/>
  <c r="K46" i="52"/>
  <c r="L46" i="52"/>
  <c r="G47" i="52"/>
  <c r="H47" i="52"/>
  <c r="K47" i="52"/>
  <c r="L47" i="52"/>
  <c r="G48" i="52"/>
  <c r="H48" i="52"/>
  <c r="K48" i="52"/>
  <c r="L48" i="52"/>
  <c r="G49" i="52"/>
  <c r="H49" i="52"/>
  <c r="K49" i="52"/>
  <c r="L49" i="52"/>
  <c r="G50" i="52"/>
  <c r="H50" i="52"/>
  <c r="K50" i="52"/>
  <c r="L50" i="52"/>
  <c r="G51" i="52"/>
  <c r="H51" i="52"/>
  <c r="K51" i="52"/>
  <c r="L51" i="52"/>
  <c r="G52" i="52"/>
  <c r="H52" i="52"/>
  <c r="K52" i="52"/>
  <c r="L52" i="52"/>
  <c r="G53" i="52"/>
  <c r="H53" i="52"/>
  <c r="K53" i="52"/>
  <c r="L53" i="52"/>
  <c r="G54" i="52"/>
  <c r="H54" i="52"/>
  <c r="K54" i="52"/>
  <c r="L54" i="52"/>
  <c r="G55" i="52"/>
  <c r="H55" i="52"/>
  <c r="K55" i="52"/>
  <c r="L55" i="52"/>
  <c r="G56" i="52"/>
  <c r="H56" i="52"/>
  <c r="K56" i="52"/>
  <c r="L56" i="52"/>
  <c r="G57" i="52"/>
  <c r="H57" i="52"/>
  <c r="K57" i="52"/>
  <c r="L57" i="52"/>
  <c r="G58" i="52"/>
  <c r="H58" i="52"/>
  <c r="K58" i="52"/>
  <c r="L58" i="52"/>
  <c r="G59" i="52"/>
  <c r="H59" i="52"/>
  <c r="K59" i="52"/>
  <c r="L59" i="52"/>
  <c r="G60" i="52"/>
  <c r="H60" i="52"/>
  <c r="K60" i="52"/>
  <c r="L60" i="52"/>
  <c r="G61" i="52"/>
  <c r="H61" i="52"/>
  <c r="K61" i="52"/>
  <c r="L61" i="52"/>
  <c r="G62" i="52"/>
  <c r="H62" i="52"/>
  <c r="K62" i="52"/>
  <c r="L62" i="52"/>
  <c r="G63" i="52"/>
  <c r="H63" i="52"/>
  <c r="K63" i="52"/>
  <c r="L63" i="52"/>
  <c r="G64" i="52"/>
  <c r="H64" i="52"/>
  <c r="K64" i="52"/>
  <c r="L64" i="52"/>
  <c r="G65" i="52"/>
  <c r="H65" i="52"/>
  <c r="K65" i="52"/>
  <c r="L65" i="52"/>
  <c r="G66" i="52"/>
  <c r="H66" i="52"/>
  <c r="K66" i="52"/>
  <c r="L66" i="52"/>
  <c r="G67" i="52"/>
  <c r="H67" i="52"/>
  <c r="K67" i="52"/>
  <c r="L67" i="52"/>
  <c r="G68" i="52"/>
  <c r="H68" i="52"/>
  <c r="K68" i="52"/>
  <c r="L68" i="52"/>
  <c r="G69" i="52"/>
  <c r="H69" i="52"/>
  <c r="K69" i="52"/>
  <c r="L69" i="52"/>
  <c r="G70" i="52"/>
  <c r="H70" i="52"/>
  <c r="K70" i="52"/>
  <c r="L70" i="52"/>
  <c r="G71" i="52"/>
  <c r="H71" i="52"/>
  <c r="K71" i="52"/>
  <c r="L71" i="52"/>
  <c r="G72" i="52"/>
  <c r="H72" i="52"/>
  <c r="K72" i="52"/>
  <c r="L72" i="52"/>
  <c r="G73" i="52"/>
  <c r="H73" i="52"/>
  <c r="K73" i="52"/>
  <c r="L73" i="52"/>
  <c r="G74" i="52"/>
  <c r="H74" i="52"/>
  <c r="K74" i="52"/>
  <c r="L74" i="52"/>
  <c r="G75" i="52"/>
  <c r="H75" i="52"/>
  <c r="K75" i="52"/>
  <c r="L75" i="52"/>
  <c r="G76" i="52"/>
  <c r="H76" i="52"/>
  <c r="K76" i="52"/>
  <c r="L76" i="52"/>
  <c r="G77" i="52"/>
  <c r="H77" i="52"/>
  <c r="K77" i="52"/>
  <c r="L77" i="52"/>
  <c r="G78" i="52"/>
  <c r="H78" i="52"/>
  <c r="I78" i="52" s="1"/>
  <c r="J78" i="52" s="1"/>
  <c r="K78" i="52"/>
  <c r="L78" i="52"/>
  <c r="G79" i="52"/>
  <c r="H79" i="52"/>
  <c r="K79" i="52"/>
  <c r="L79" i="52"/>
  <c r="G80" i="52"/>
  <c r="H80" i="52"/>
  <c r="K80" i="52"/>
  <c r="L80" i="52"/>
  <c r="G81" i="52"/>
  <c r="H81" i="52"/>
  <c r="K81" i="52"/>
  <c r="L81" i="52"/>
  <c r="G82" i="52"/>
  <c r="H82" i="52"/>
  <c r="I82" i="52" s="1"/>
  <c r="J82" i="52" s="1"/>
  <c r="K82" i="52"/>
  <c r="L82" i="52"/>
  <c r="G83" i="52"/>
  <c r="H83" i="52"/>
  <c r="K83" i="52"/>
  <c r="L83" i="52"/>
  <c r="G84" i="52"/>
  <c r="H84" i="52"/>
  <c r="K84" i="52"/>
  <c r="L84" i="52"/>
  <c r="G85" i="52"/>
  <c r="H85" i="52"/>
  <c r="K85" i="52"/>
  <c r="L85" i="52"/>
  <c r="G86" i="52"/>
  <c r="H86" i="52"/>
  <c r="I86" i="52" s="1"/>
  <c r="J86" i="52" s="1"/>
  <c r="K86" i="52"/>
  <c r="L86" i="52"/>
  <c r="G87" i="52"/>
  <c r="H87" i="52"/>
  <c r="K87" i="52"/>
  <c r="L87" i="52"/>
  <c r="G88" i="52"/>
  <c r="H88" i="52"/>
  <c r="K88" i="52"/>
  <c r="L88" i="52"/>
  <c r="G89" i="52"/>
  <c r="H89" i="52"/>
  <c r="K89" i="52"/>
  <c r="L89" i="52"/>
  <c r="G90" i="52"/>
  <c r="H90" i="52"/>
  <c r="K90" i="52"/>
  <c r="L90" i="52"/>
  <c r="G91" i="52"/>
  <c r="H91" i="52"/>
  <c r="K91" i="52"/>
  <c r="L91" i="52"/>
  <c r="G92" i="52"/>
  <c r="H92" i="52"/>
  <c r="K92" i="52"/>
  <c r="L92" i="52"/>
  <c r="G93" i="52"/>
  <c r="H93" i="52"/>
  <c r="K93" i="52"/>
  <c r="L93" i="52"/>
  <c r="G94" i="52"/>
  <c r="H94" i="52"/>
  <c r="K94" i="52"/>
  <c r="L94" i="52"/>
  <c r="G95" i="52"/>
  <c r="H95" i="52"/>
  <c r="K95" i="52"/>
  <c r="L95" i="52"/>
  <c r="G96" i="52"/>
  <c r="H96" i="52"/>
  <c r="K96" i="52"/>
  <c r="L96" i="52"/>
  <c r="G97" i="52"/>
  <c r="H97" i="52"/>
  <c r="K97" i="52"/>
  <c r="L97" i="52"/>
  <c r="G61" i="3"/>
  <c r="H61" i="3"/>
  <c r="M61" i="3"/>
  <c r="K61" i="3" s="1"/>
  <c r="N61" i="3"/>
  <c r="L61" i="3" s="1"/>
  <c r="G62" i="3"/>
  <c r="H62" i="3"/>
  <c r="M62" i="3"/>
  <c r="K62" i="3" s="1"/>
  <c r="N62" i="3"/>
  <c r="L62" i="3" s="1"/>
  <c r="G63" i="3"/>
  <c r="H63" i="3"/>
  <c r="M63" i="3"/>
  <c r="K63" i="3" s="1"/>
  <c r="N63" i="3"/>
  <c r="L63" i="3" s="1"/>
  <c r="G64" i="3"/>
  <c r="H64" i="3"/>
  <c r="M64" i="3"/>
  <c r="K64" i="3" s="1"/>
  <c r="N64" i="3"/>
  <c r="L64" i="3" s="1"/>
  <c r="G65" i="3"/>
  <c r="H65" i="3"/>
  <c r="I65" i="3" s="1"/>
  <c r="J65" i="3" s="1"/>
  <c r="M65" i="3"/>
  <c r="K65" i="3" s="1"/>
  <c r="N65" i="3"/>
  <c r="L65" i="3" s="1"/>
  <c r="G66" i="3"/>
  <c r="H66" i="3"/>
  <c r="M66" i="3"/>
  <c r="K66" i="3" s="1"/>
  <c r="N66" i="3"/>
  <c r="L66" i="3" s="1"/>
  <c r="G67" i="3"/>
  <c r="H67" i="3"/>
  <c r="M67" i="3"/>
  <c r="K67" i="3" s="1"/>
  <c r="N67" i="3"/>
  <c r="L67" i="3" s="1"/>
  <c r="G68" i="3"/>
  <c r="H68" i="3"/>
  <c r="M68" i="3"/>
  <c r="K68" i="3" s="1"/>
  <c r="N68" i="3"/>
  <c r="L68" i="3" s="1"/>
  <c r="G69" i="3"/>
  <c r="H69" i="3"/>
  <c r="M69" i="3"/>
  <c r="K69" i="3" s="1"/>
  <c r="N69" i="3"/>
  <c r="L69" i="3" s="1"/>
  <c r="G70" i="3"/>
  <c r="H70" i="3"/>
  <c r="M70" i="3"/>
  <c r="K70" i="3" s="1"/>
  <c r="N70" i="3"/>
  <c r="L70" i="3" s="1"/>
  <c r="G71" i="3"/>
  <c r="H71" i="3"/>
  <c r="M71" i="3"/>
  <c r="K71" i="3" s="1"/>
  <c r="N71" i="3"/>
  <c r="L71" i="3" s="1"/>
  <c r="G72" i="3"/>
  <c r="H72" i="3"/>
  <c r="M72" i="3"/>
  <c r="K72" i="3" s="1"/>
  <c r="N72" i="3"/>
  <c r="L72" i="3" s="1"/>
  <c r="G73" i="3"/>
  <c r="H73" i="3"/>
  <c r="M73" i="3"/>
  <c r="K73" i="3" s="1"/>
  <c r="N73" i="3"/>
  <c r="L73" i="3" s="1"/>
  <c r="G74" i="3"/>
  <c r="H74" i="3"/>
  <c r="M74" i="3"/>
  <c r="K74" i="3" s="1"/>
  <c r="N74" i="3"/>
  <c r="L74" i="3" s="1"/>
  <c r="G75" i="3"/>
  <c r="H75" i="3"/>
  <c r="M75" i="3"/>
  <c r="K75" i="3" s="1"/>
  <c r="N75" i="3"/>
  <c r="L75" i="3" s="1"/>
  <c r="G76" i="3"/>
  <c r="H76" i="3"/>
  <c r="M76" i="3"/>
  <c r="K76" i="3" s="1"/>
  <c r="N76" i="3"/>
  <c r="L76" i="3" s="1"/>
  <c r="G77" i="3"/>
  <c r="H77" i="3"/>
  <c r="M77" i="3"/>
  <c r="K77" i="3" s="1"/>
  <c r="N77" i="3"/>
  <c r="L77" i="3" s="1"/>
  <c r="G78" i="3"/>
  <c r="H78" i="3"/>
  <c r="M78" i="3"/>
  <c r="K78" i="3" s="1"/>
  <c r="N78" i="3"/>
  <c r="L78" i="3" s="1"/>
  <c r="G79" i="3"/>
  <c r="H79" i="3"/>
  <c r="M79" i="3"/>
  <c r="K79" i="3" s="1"/>
  <c r="N79" i="3"/>
  <c r="L79" i="3" s="1"/>
  <c r="G80" i="3"/>
  <c r="H80" i="3"/>
  <c r="M80" i="3"/>
  <c r="K80" i="3" s="1"/>
  <c r="N80" i="3"/>
  <c r="L80" i="3" s="1"/>
  <c r="G81" i="3"/>
  <c r="H81" i="3"/>
  <c r="M81" i="3"/>
  <c r="K81" i="3" s="1"/>
  <c r="N81" i="3"/>
  <c r="L81" i="3" s="1"/>
  <c r="G82" i="3"/>
  <c r="H82" i="3"/>
  <c r="M82" i="3"/>
  <c r="K82" i="3" s="1"/>
  <c r="N82" i="3"/>
  <c r="L82" i="3" s="1"/>
  <c r="G83" i="3"/>
  <c r="H83" i="3"/>
  <c r="M83" i="3"/>
  <c r="K83" i="3" s="1"/>
  <c r="N83" i="3"/>
  <c r="L83" i="3" s="1"/>
  <c r="G84" i="3"/>
  <c r="H84" i="3"/>
  <c r="M84" i="3"/>
  <c r="K84" i="3" s="1"/>
  <c r="N84" i="3"/>
  <c r="L84" i="3" s="1"/>
  <c r="G85" i="3"/>
  <c r="H85" i="3"/>
  <c r="M85" i="3"/>
  <c r="K85" i="3" s="1"/>
  <c r="N85" i="3"/>
  <c r="L85" i="3" s="1"/>
  <c r="G86" i="3"/>
  <c r="H86" i="3"/>
  <c r="M86" i="3"/>
  <c r="K86" i="3" s="1"/>
  <c r="N86" i="3"/>
  <c r="L86" i="3" s="1"/>
  <c r="G87" i="3"/>
  <c r="H87" i="3"/>
  <c r="M87" i="3"/>
  <c r="K87" i="3" s="1"/>
  <c r="N87" i="3"/>
  <c r="L87" i="3" s="1"/>
  <c r="G88" i="3"/>
  <c r="H88" i="3"/>
  <c r="M88" i="3"/>
  <c r="K88" i="3" s="1"/>
  <c r="N88" i="3"/>
  <c r="L88" i="3" s="1"/>
  <c r="G89" i="3"/>
  <c r="H89" i="3"/>
  <c r="I89" i="3" s="1"/>
  <c r="J89" i="3" s="1"/>
  <c r="M89" i="3"/>
  <c r="K89" i="3" s="1"/>
  <c r="N89" i="3"/>
  <c r="L89" i="3" s="1"/>
  <c r="G90" i="3"/>
  <c r="H90" i="3"/>
  <c r="M90" i="3"/>
  <c r="K90" i="3" s="1"/>
  <c r="N90" i="3"/>
  <c r="L90" i="3" s="1"/>
  <c r="G91" i="3"/>
  <c r="H91" i="3"/>
  <c r="I91" i="3" s="1"/>
  <c r="J91" i="3" s="1"/>
  <c r="M91" i="3"/>
  <c r="K91" i="3" s="1"/>
  <c r="N91" i="3"/>
  <c r="L91" i="3" s="1"/>
  <c r="G92" i="3"/>
  <c r="H92" i="3"/>
  <c r="M92" i="3"/>
  <c r="K92" i="3" s="1"/>
  <c r="N92" i="3"/>
  <c r="L92" i="3" s="1"/>
  <c r="G93" i="3"/>
  <c r="H93" i="3"/>
  <c r="M93" i="3"/>
  <c r="K93" i="3" s="1"/>
  <c r="N93" i="3"/>
  <c r="L93" i="3" s="1"/>
  <c r="G94" i="3"/>
  <c r="H94" i="3"/>
  <c r="M94" i="3"/>
  <c r="K94" i="3" s="1"/>
  <c r="N94" i="3"/>
  <c r="L94" i="3" s="1"/>
  <c r="G95" i="3"/>
  <c r="H95" i="3"/>
  <c r="M95" i="3"/>
  <c r="K95" i="3" s="1"/>
  <c r="N95" i="3"/>
  <c r="L95" i="3" s="1"/>
  <c r="G96" i="3"/>
  <c r="H96" i="3"/>
  <c r="M96" i="3"/>
  <c r="K96" i="3" s="1"/>
  <c r="N96" i="3"/>
  <c r="L96" i="3" s="1"/>
  <c r="G97" i="3"/>
  <c r="H97" i="3"/>
  <c r="M97" i="3"/>
  <c r="K97" i="3" s="1"/>
  <c r="N97" i="3"/>
  <c r="L97" i="3" s="1"/>
  <c r="G98" i="3"/>
  <c r="H98" i="3"/>
  <c r="M98" i="3"/>
  <c r="K98" i="3" s="1"/>
  <c r="N98" i="3"/>
  <c r="L98" i="3" s="1"/>
  <c r="G99" i="3"/>
  <c r="H99" i="3"/>
  <c r="M99" i="3"/>
  <c r="K99" i="3" s="1"/>
  <c r="N99" i="3"/>
  <c r="L99" i="3" s="1"/>
  <c r="G100" i="3"/>
  <c r="H100" i="3"/>
  <c r="M100" i="3"/>
  <c r="K100" i="3" s="1"/>
  <c r="N100" i="3"/>
  <c r="L100" i="3" s="1"/>
  <c r="G101" i="3"/>
  <c r="H101" i="3"/>
  <c r="M101" i="3"/>
  <c r="K101" i="3" s="1"/>
  <c r="N101" i="3"/>
  <c r="L101" i="3" s="1"/>
  <c r="G102" i="3"/>
  <c r="H102" i="3"/>
  <c r="M102" i="3"/>
  <c r="K102" i="3" s="1"/>
  <c r="N102" i="3"/>
  <c r="L102" i="3" s="1"/>
  <c r="G103" i="3"/>
  <c r="H103" i="3"/>
  <c r="M103" i="3"/>
  <c r="K103" i="3" s="1"/>
  <c r="N103" i="3"/>
  <c r="L103" i="3" s="1"/>
  <c r="G104" i="3"/>
  <c r="H104" i="3"/>
  <c r="M104" i="3"/>
  <c r="K104" i="3" s="1"/>
  <c r="N104" i="3"/>
  <c r="L104" i="3" s="1"/>
  <c r="G105" i="3"/>
  <c r="I105" i="3" s="1"/>
  <c r="J105" i="3" s="1"/>
  <c r="H105" i="3"/>
  <c r="M105" i="3"/>
  <c r="K105" i="3" s="1"/>
  <c r="N105" i="3"/>
  <c r="L105" i="3" s="1"/>
  <c r="G106" i="3"/>
  <c r="H106" i="3"/>
  <c r="M106" i="3"/>
  <c r="K106" i="3" s="1"/>
  <c r="N106" i="3"/>
  <c r="L106" i="3" s="1"/>
  <c r="G107" i="3"/>
  <c r="H107" i="3"/>
  <c r="M107" i="3"/>
  <c r="K107" i="3" s="1"/>
  <c r="N107" i="3"/>
  <c r="L107" i="3" s="1"/>
  <c r="G108" i="3"/>
  <c r="H108" i="3"/>
  <c r="M108" i="3"/>
  <c r="K108" i="3" s="1"/>
  <c r="N108" i="3"/>
  <c r="L108" i="3" s="1"/>
  <c r="G109" i="3"/>
  <c r="H109" i="3"/>
  <c r="M109" i="3"/>
  <c r="K109" i="3" s="1"/>
  <c r="N109" i="3"/>
  <c r="L109" i="3" s="1"/>
  <c r="G110" i="3"/>
  <c r="H110" i="3"/>
  <c r="M110" i="3"/>
  <c r="K110" i="3" s="1"/>
  <c r="N110" i="3"/>
  <c r="L110" i="3" s="1"/>
  <c r="G111" i="3"/>
  <c r="H111" i="3"/>
  <c r="M111" i="3"/>
  <c r="K111" i="3" s="1"/>
  <c r="N111" i="3"/>
  <c r="L111" i="3" s="1"/>
  <c r="I63" i="3" l="1"/>
  <c r="J63" i="3" s="1"/>
  <c r="I68" i="52"/>
  <c r="J68" i="52" s="1"/>
  <c r="I66" i="52"/>
  <c r="J66" i="52" s="1"/>
  <c r="I60" i="52"/>
  <c r="J60" i="52" s="1"/>
  <c r="I58" i="52"/>
  <c r="J58" i="52" s="1"/>
  <c r="I50" i="52"/>
  <c r="J50" i="52" s="1"/>
  <c r="I70" i="52"/>
  <c r="J70" i="52" s="1"/>
  <c r="I38" i="52"/>
  <c r="J38" i="52" s="1"/>
  <c r="I76" i="3"/>
  <c r="J76" i="3" s="1"/>
  <c r="I75" i="3"/>
  <c r="J75" i="3" s="1"/>
  <c r="I71" i="3"/>
  <c r="J71" i="3" s="1"/>
  <c r="I52" i="52"/>
  <c r="J52" i="52" s="1"/>
  <c r="I87" i="3"/>
  <c r="J87" i="3" s="1"/>
  <c r="I79" i="3"/>
  <c r="J79" i="3" s="1"/>
  <c r="I78" i="3"/>
  <c r="J78" i="3" s="1"/>
  <c r="I77" i="3"/>
  <c r="J77" i="3" s="1"/>
  <c r="I92" i="52"/>
  <c r="J92" i="52" s="1"/>
  <c r="I84" i="52"/>
  <c r="J84" i="52" s="1"/>
  <c r="I107" i="3"/>
  <c r="J107" i="3" s="1"/>
  <c r="I102" i="3"/>
  <c r="J102" i="3" s="1"/>
  <c r="I99" i="3"/>
  <c r="J99" i="3" s="1"/>
  <c r="I97" i="3"/>
  <c r="J97" i="3" s="1"/>
  <c r="I104" i="3"/>
  <c r="J104" i="3" s="1"/>
  <c r="I103" i="3"/>
  <c r="J103" i="3" s="1"/>
  <c r="I101" i="3"/>
  <c r="J101" i="3" s="1"/>
  <c r="I81" i="3"/>
  <c r="J81" i="3" s="1"/>
  <c r="I76" i="52"/>
  <c r="J76" i="52" s="1"/>
  <c r="I74" i="52"/>
  <c r="J74" i="52" s="1"/>
  <c r="I49" i="52"/>
  <c r="J49" i="52" s="1"/>
  <c r="I48" i="52"/>
  <c r="J48" i="52" s="1"/>
  <c r="I47" i="52"/>
  <c r="J47" i="52" s="1"/>
  <c r="I44" i="52"/>
  <c r="J44" i="52" s="1"/>
  <c r="I42" i="52"/>
  <c r="J42" i="52" s="1"/>
  <c r="I94" i="52"/>
  <c r="J94" i="52" s="1"/>
  <c r="I62" i="52"/>
  <c r="J62" i="52" s="1"/>
  <c r="I54" i="52"/>
  <c r="J54" i="52" s="1"/>
  <c r="I90" i="52"/>
  <c r="J90" i="52" s="1"/>
  <c r="I88" i="52"/>
  <c r="J88" i="52" s="1"/>
  <c r="I57" i="52"/>
  <c r="J57" i="52" s="1"/>
  <c r="I41" i="52"/>
  <c r="J41" i="52" s="1"/>
  <c r="I39" i="52"/>
  <c r="J39" i="52" s="1"/>
  <c r="I72" i="52"/>
  <c r="J72" i="52" s="1"/>
  <c r="I55" i="52"/>
  <c r="J55" i="52" s="1"/>
  <c r="I46" i="52"/>
  <c r="J46" i="52" s="1"/>
  <c r="I89" i="52"/>
  <c r="J89" i="52" s="1"/>
  <c r="I87" i="52"/>
  <c r="J87" i="52" s="1"/>
  <c r="I73" i="52"/>
  <c r="J73" i="52" s="1"/>
  <c r="I71" i="52"/>
  <c r="J71" i="52" s="1"/>
  <c r="I56" i="52"/>
  <c r="J56" i="52" s="1"/>
  <c r="I40" i="52"/>
  <c r="J40" i="52" s="1"/>
  <c r="I97" i="52"/>
  <c r="J97" i="52" s="1"/>
  <c r="I96" i="52"/>
  <c r="J96" i="52" s="1"/>
  <c r="I95" i="52"/>
  <c r="J95" i="52" s="1"/>
  <c r="I81" i="52"/>
  <c r="J81" i="52" s="1"/>
  <c r="I80" i="52"/>
  <c r="J80" i="52" s="1"/>
  <c r="I79" i="52"/>
  <c r="J79" i="52" s="1"/>
  <c r="I65" i="52"/>
  <c r="J65" i="52" s="1"/>
  <c r="I64" i="52"/>
  <c r="J64" i="52" s="1"/>
  <c r="I63" i="52"/>
  <c r="J63" i="52" s="1"/>
  <c r="I93" i="52"/>
  <c r="J93" i="52" s="1"/>
  <c r="I85" i="52"/>
  <c r="J85" i="52" s="1"/>
  <c r="I77" i="52"/>
  <c r="J77" i="52" s="1"/>
  <c r="I69" i="52"/>
  <c r="J69" i="52" s="1"/>
  <c r="I61" i="52"/>
  <c r="J61" i="52" s="1"/>
  <c r="I53" i="52"/>
  <c r="J53" i="52" s="1"/>
  <c r="I45" i="52"/>
  <c r="J45" i="52" s="1"/>
  <c r="I37" i="52"/>
  <c r="J37" i="52" s="1"/>
  <c r="I91" i="52"/>
  <c r="J91" i="52" s="1"/>
  <c r="I83" i="52"/>
  <c r="J83" i="52" s="1"/>
  <c r="I75" i="52"/>
  <c r="J75" i="52" s="1"/>
  <c r="I67" i="52"/>
  <c r="J67" i="52" s="1"/>
  <c r="I59" i="52"/>
  <c r="J59" i="52" s="1"/>
  <c r="I51" i="52"/>
  <c r="J51" i="52" s="1"/>
  <c r="I43" i="52"/>
  <c r="J43" i="52" s="1"/>
  <c r="I35" i="52"/>
  <c r="J35" i="52" s="1"/>
  <c r="I33" i="52"/>
  <c r="J33" i="52" s="1"/>
  <c r="I110" i="3"/>
  <c r="J110" i="3" s="1"/>
  <c r="I96" i="3"/>
  <c r="J96" i="3" s="1"/>
  <c r="I93" i="3"/>
  <c r="J93" i="3" s="1"/>
  <c r="I70" i="3"/>
  <c r="J70" i="3" s="1"/>
  <c r="I69" i="3"/>
  <c r="J69" i="3" s="1"/>
  <c r="I68" i="3"/>
  <c r="J68" i="3" s="1"/>
  <c r="I67" i="3"/>
  <c r="J67" i="3" s="1"/>
  <c r="I111" i="3"/>
  <c r="J111" i="3" s="1"/>
  <c r="I109" i="3"/>
  <c r="J109" i="3" s="1"/>
  <c r="I95" i="3"/>
  <c r="J95" i="3" s="1"/>
  <c r="I94" i="3"/>
  <c r="J94" i="3" s="1"/>
  <c r="I85" i="3"/>
  <c r="J85" i="3" s="1"/>
  <c r="I84" i="3"/>
  <c r="J84" i="3" s="1"/>
  <c r="I83" i="3"/>
  <c r="J83" i="3" s="1"/>
  <c r="I82" i="3"/>
  <c r="J82" i="3" s="1"/>
  <c r="I73" i="3"/>
  <c r="J73" i="3" s="1"/>
  <c r="I62" i="3"/>
  <c r="J62" i="3" s="1"/>
  <c r="I61" i="3"/>
  <c r="J61" i="3" s="1"/>
  <c r="I92" i="3"/>
  <c r="J92" i="3" s="1"/>
  <c r="I74" i="3"/>
  <c r="J74" i="3" s="1"/>
  <c r="I66" i="3"/>
  <c r="J66" i="3" s="1"/>
  <c r="I106" i="3"/>
  <c r="J106" i="3" s="1"/>
  <c r="I98" i="3"/>
  <c r="J98" i="3" s="1"/>
  <c r="I88" i="3"/>
  <c r="J88" i="3" s="1"/>
  <c r="I80" i="3"/>
  <c r="J80" i="3" s="1"/>
  <c r="I72" i="3"/>
  <c r="J72" i="3" s="1"/>
  <c r="I64" i="3"/>
  <c r="J64" i="3" s="1"/>
  <c r="I108" i="3"/>
  <c r="J108" i="3" s="1"/>
  <c r="I100" i="3"/>
  <c r="J100" i="3" s="1"/>
  <c r="I86" i="3"/>
  <c r="J86" i="3" s="1"/>
  <c r="I90" i="3"/>
  <c r="J90" i="3" s="1"/>
  <c r="N60" i="3"/>
  <c r="L60" i="3" s="1"/>
  <c r="M60" i="3"/>
  <c r="K60" i="3" s="1"/>
  <c r="N59" i="3"/>
  <c r="L59" i="3" s="1"/>
  <c r="M59" i="3"/>
  <c r="K59" i="3" s="1"/>
  <c r="N58" i="3"/>
  <c r="L58" i="3" s="1"/>
  <c r="M58" i="3"/>
  <c r="K58" i="3" s="1"/>
  <c r="N57" i="3"/>
  <c r="L57" i="3" s="1"/>
  <c r="M57" i="3"/>
  <c r="K57" i="3" s="1"/>
  <c r="N56" i="3"/>
  <c r="L56" i="3" s="1"/>
  <c r="M56" i="3"/>
  <c r="K56" i="3" s="1"/>
  <c r="N55" i="3"/>
  <c r="L55" i="3" s="1"/>
  <c r="M55" i="3"/>
  <c r="K55" i="3" s="1"/>
  <c r="N54" i="3"/>
  <c r="L54" i="3" s="1"/>
  <c r="M54" i="3"/>
  <c r="K54" i="3" s="1"/>
  <c r="N53" i="3"/>
  <c r="L53" i="3" s="1"/>
  <c r="M53" i="3"/>
  <c r="K53" i="3" s="1"/>
  <c r="N52" i="3"/>
  <c r="L52" i="3" s="1"/>
  <c r="M52" i="3"/>
  <c r="K52" i="3" s="1"/>
  <c r="N51" i="3"/>
  <c r="L51" i="3" s="1"/>
  <c r="M51" i="3"/>
  <c r="K51" i="3" s="1"/>
  <c r="N50" i="3"/>
  <c r="L50" i="3" s="1"/>
  <c r="M50" i="3"/>
  <c r="K50" i="3" s="1"/>
  <c r="N49" i="3"/>
  <c r="L49" i="3" s="1"/>
  <c r="M49" i="3"/>
  <c r="K49" i="3" s="1"/>
  <c r="N48" i="3"/>
  <c r="L48" i="3" s="1"/>
  <c r="M48" i="3"/>
  <c r="K48" i="3" s="1"/>
  <c r="N47" i="3"/>
  <c r="L47" i="3" s="1"/>
  <c r="M47" i="3"/>
  <c r="K47" i="3" s="1"/>
  <c r="N46" i="3"/>
  <c r="L46" i="3" s="1"/>
  <c r="M46" i="3"/>
  <c r="K46" i="3" s="1"/>
  <c r="N45" i="3"/>
  <c r="L45" i="3" s="1"/>
  <c r="M45" i="3"/>
  <c r="K45" i="3" s="1"/>
  <c r="N44" i="3"/>
  <c r="L44" i="3" s="1"/>
  <c r="M44" i="3"/>
  <c r="K44" i="3" s="1"/>
  <c r="N43" i="3"/>
  <c r="L43" i="3" s="1"/>
  <c r="M43" i="3"/>
  <c r="K43" i="3" s="1"/>
  <c r="N42" i="3"/>
  <c r="L42" i="3" s="1"/>
  <c r="M42" i="3"/>
  <c r="K42" i="3" s="1"/>
  <c r="N41" i="3"/>
  <c r="L41" i="3" s="1"/>
  <c r="M41" i="3"/>
  <c r="K41" i="3" s="1"/>
  <c r="N40" i="3"/>
  <c r="L40" i="3" s="1"/>
  <c r="M40" i="3"/>
  <c r="K40" i="3" s="1"/>
  <c r="N39" i="3"/>
  <c r="L39" i="3" s="1"/>
  <c r="M39" i="3"/>
  <c r="K39" i="3" s="1"/>
  <c r="N38" i="3"/>
  <c r="L38" i="3" s="1"/>
  <c r="M38" i="3"/>
  <c r="K38" i="3" s="1"/>
  <c r="N37" i="3"/>
  <c r="L37" i="3" s="1"/>
  <c r="M37" i="3"/>
  <c r="K37" i="3" s="1"/>
  <c r="N36" i="3"/>
  <c r="L36" i="3" s="1"/>
  <c r="M36" i="3"/>
  <c r="K36" i="3" s="1"/>
  <c r="N35" i="3"/>
  <c r="L35" i="3" s="1"/>
  <c r="M35" i="3"/>
  <c r="K35" i="3" s="1"/>
  <c r="N34" i="3"/>
  <c r="L34" i="3" s="1"/>
  <c r="M34" i="3"/>
  <c r="K34" i="3" s="1"/>
  <c r="N33" i="3"/>
  <c r="L33" i="3" s="1"/>
  <c r="M33" i="3"/>
  <c r="K33" i="3" s="1"/>
  <c r="N32" i="3"/>
  <c r="L32" i="3" s="1"/>
  <c r="M32" i="3"/>
  <c r="K32" i="3" s="1"/>
  <c r="N31" i="3"/>
  <c r="L31" i="3" s="1"/>
  <c r="M31" i="3"/>
  <c r="K31" i="3" s="1"/>
  <c r="N30" i="3"/>
  <c r="L30" i="3" s="1"/>
  <c r="M30" i="3"/>
  <c r="K30" i="3" s="1"/>
  <c r="N29" i="3"/>
  <c r="L29" i="3" s="1"/>
  <c r="M29" i="3"/>
  <c r="K29" i="3" s="1"/>
  <c r="N28" i="3"/>
  <c r="L28" i="3" s="1"/>
  <c r="M28" i="3"/>
  <c r="K28" i="3" s="1"/>
  <c r="N27" i="3"/>
  <c r="L27" i="3" s="1"/>
  <c r="M27" i="3"/>
  <c r="K27" i="3" s="1"/>
  <c r="N26" i="3"/>
  <c r="L26" i="3" s="1"/>
  <c r="M26" i="3"/>
  <c r="K26" i="3" s="1"/>
  <c r="N25" i="3"/>
  <c r="L25" i="3" s="1"/>
  <c r="M25" i="3"/>
  <c r="K25" i="3" s="1"/>
  <c r="N24" i="3"/>
  <c r="L24" i="3" s="1"/>
  <c r="M24" i="3"/>
  <c r="K24" i="3" s="1"/>
  <c r="N23" i="3"/>
  <c r="L23" i="3" s="1"/>
  <c r="M23" i="3"/>
  <c r="K23" i="3" s="1"/>
  <c r="N22" i="3"/>
  <c r="L22" i="3" s="1"/>
  <c r="M22" i="3"/>
  <c r="K22" i="3" s="1"/>
  <c r="N21" i="3"/>
  <c r="L21" i="3" s="1"/>
  <c r="M21" i="3"/>
  <c r="K21" i="3" s="1"/>
  <c r="N20" i="3"/>
  <c r="L20" i="3" s="1"/>
  <c r="M20" i="3"/>
  <c r="K20" i="3" s="1"/>
  <c r="N19" i="3"/>
  <c r="L19" i="3" s="1"/>
  <c r="M19" i="3"/>
  <c r="K19" i="3" s="1"/>
  <c r="N18" i="3"/>
  <c r="L18" i="3" s="1"/>
  <c r="M18" i="3"/>
  <c r="K18" i="3" s="1"/>
  <c r="N17" i="3"/>
  <c r="L17" i="3" s="1"/>
  <c r="M17" i="3"/>
  <c r="K17" i="3" s="1"/>
  <c r="N16" i="3"/>
  <c r="L16" i="3" s="1"/>
  <c r="M16" i="3"/>
  <c r="K16" i="3" s="1"/>
  <c r="N15" i="3"/>
  <c r="L15" i="3" s="1"/>
  <c r="M15" i="3"/>
  <c r="K15" i="3" s="1"/>
  <c r="N14" i="3"/>
  <c r="L14" i="3" s="1"/>
  <c r="M14" i="3"/>
  <c r="K14" i="3" s="1"/>
  <c r="N13" i="3"/>
  <c r="L13" i="3" s="1"/>
  <c r="M13" i="3"/>
  <c r="K13" i="3" s="1"/>
  <c r="L12" i="3"/>
  <c r="K12" i="3"/>
  <c r="L111" i="52"/>
  <c r="K111" i="52"/>
  <c r="L110" i="52"/>
  <c r="K110" i="52"/>
  <c r="L109" i="52"/>
  <c r="K109" i="52"/>
  <c r="L108" i="52"/>
  <c r="K108" i="52"/>
  <c r="L107" i="52"/>
  <c r="K107" i="52"/>
  <c r="L106" i="52"/>
  <c r="K106" i="52"/>
  <c r="L105" i="52"/>
  <c r="K105" i="52"/>
  <c r="L104" i="52"/>
  <c r="K104" i="52"/>
  <c r="L103" i="52"/>
  <c r="K103" i="52"/>
  <c r="L102" i="52"/>
  <c r="K102" i="52"/>
  <c r="L101" i="52"/>
  <c r="K101" i="52"/>
  <c r="L100" i="52"/>
  <c r="K100" i="52"/>
  <c r="L99" i="52"/>
  <c r="K99" i="52"/>
  <c r="L98" i="52"/>
  <c r="K98" i="52"/>
  <c r="L32" i="52"/>
  <c r="K32" i="52"/>
  <c r="L31" i="52"/>
  <c r="K31" i="52"/>
  <c r="L30" i="52"/>
  <c r="K30" i="52"/>
  <c r="L29" i="52"/>
  <c r="K29" i="52"/>
  <c r="L28" i="52"/>
  <c r="K28" i="52"/>
  <c r="L27" i="52"/>
  <c r="K27" i="52"/>
  <c r="L26" i="52"/>
  <c r="K26" i="52"/>
  <c r="L25" i="52"/>
  <c r="K25" i="52"/>
  <c r="L24" i="52"/>
  <c r="K24" i="52"/>
  <c r="L23" i="52"/>
  <c r="K23" i="52"/>
  <c r="L22" i="52"/>
  <c r="K22" i="52"/>
  <c r="L21" i="52"/>
  <c r="K21" i="52"/>
  <c r="L20" i="52"/>
  <c r="K20" i="52"/>
  <c r="L19" i="52"/>
  <c r="K19" i="52"/>
  <c r="L18" i="52"/>
  <c r="K18" i="52"/>
  <c r="L17" i="52"/>
  <c r="K17" i="52"/>
  <c r="L16" i="52"/>
  <c r="K16" i="52"/>
  <c r="L15" i="52"/>
  <c r="K15" i="52"/>
  <c r="L14" i="52"/>
  <c r="K14" i="52"/>
  <c r="L13" i="52"/>
  <c r="K13" i="52"/>
  <c r="L12" i="52"/>
  <c r="K12" i="52"/>
  <c r="N111" i="53"/>
  <c r="L111" i="53" s="1"/>
  <c r="M111" i="53"/>
  <c r="K111" i="53" s="1"/>
  <c r="N110" i="53"/>
  <c r="L110" i="53" s="1"/>
  <c r="M110" i="53"/>
  <c r="K110" i="53" s="1"/>
  <c r="N109" i="53"/>
  <c r="L109" i="53" s="1"/>
  <c r="M109" i="53"/>
  <c r="K109" i="53" s="1"/>
  <c r="N108" i="53"/>
  <c r="L108" i="53" s="1"/>
  <c r="M108" i="53"/>
  <c r="K108" i="53" s="1"/>
  <c r="N107" i="53"/>
  <c r="L107" i="53" s="1"/>
  <c r="M107" i="53"/>
  <c r="K107" i="53" s="1"/>
  <c r="N106" i="53"/>
  <c r="L106" i="53" s="1"/>
  <c r="M106" i="53"/>
  <c r="K106" i="53" s="1"/>
  <c r="N105" i="53"/>
  <c r="L105" i="53" s="1"/>
  <c r="M105" i="53"/>
  <c r="K105" i="53" s="1"/>
  <c r="N104" i="53"/>
  <c r="L104" i="53" s="1"/>
  <c r="M104" i="53"/>
  <c r="K104" i="53" s="1"/>
  <c r="N103" i="53"/>
  <c r="L103" i="53" s="1"/>
  <c r="M103" i="53"/>
  <c r="K103" i="53" s="1"/>
  <c r="N102" i="53"/>
  <c r="L102" i="53" s="1"/>
  <c r="M102" i="53"/>
  <c r="K102" i="53" s="1"/>
  <c r="N101" i="53"/>
  <c r="L101" i="53" s="1"/>
  <c r="M101" i="53"/>
  <c r="K101" i="53" s="1"/>
  <c r="N100" i="53"/>
  <c r="L100" i="53" s="1"/>
  <c r="M100" i="53"/>
  <c r="K100" i="53" s="1"/>
  <c r="N99" i="53"/>
  <c r="L99" i="53" s="1"/>
  <c r="M99" i="53"/>
  <c r="K99" i="53" s="1"/>
  <c r="N98" i="53"/>
  <c r="L98" i="53" s="1"/>
  <c r="M98" i="53"/>
  <c r="K98" i="53" s="1"/>
  <c r="N97" i="53"/>
  <c r="L97" i="53" s="1"/>
  <c r="M97" i="53"/>
  <c r="K97" i="53" s="1"/>
  <c r="N96" i="53"/>
  <c r="L96" i="53" s="1"/>
  <c r="M96" i="53"/>
  <c r="K96" i="53" s="1"/>
  <c r="N95" i="53"/>
  <c r="L95" i="53" s="1"/>
  <c r="M95" i="53"/>
  <c r="K95" i="53" s="1"/>
  <c r="N94" i="53"/>
  <c r="L94" i="53" s="1"/>
  <c r="M94" i="53"/>
  <c r="K94" i="53" s="1"/>
  <c r="N93" i="53"/>
  <c r="L93" i="53" s="1"/>
  <c r="M93" i="53"/>
  <c r="K93" i="53" s="1"/>
  <c r="N92" i="53"/>
  <c r="L92" i="53" s="1"/>
  <c r="M92" i="53"/>
  <c r="K92" i="53" s="1"/>
  <c r="N91" i="53"/>
  <c r="L91" i="53" s="1"/>
  <c r="M91" i="53"/>
  <c r="K91" i="53" s="1"/>
  <c r="N90" i="53"/>
  <c r="L90" i="53" s="1"/>
  <c r="M90" i="53"/>
  <c r="K90" i="53" s="1"/>
  <c r="N89" i="53"/>
  <c r="L89" i="53" s="1"/>
  <c r="M89" i="53"/>
  <c r="K89" i="53" s="1"/>
  <c r="N88" i="53"/>
  <c r="L88" i="53" s="1"/>
  <c r="M88" i="53"/>
  <c r="K88" i="53" s="1"/>
  <c r="N87" i="53"/>
  <c r="L87" i="53" s="1"/>
  <c r="M87" i="53"/>
  <c r="K87" i="53" s="1"/>
  <c r="N86" i="53"/>
  <c r="L86" i="53" s="1"/>
  <c r="M86" i="53"/>
  <c r="K86" i="53" s="1"/>
  <c r="N85" i="53"/>
  <c r="L85" i="53" s="1"/>
  <c r="M85" i="53"/>
  <c r="K85" i="53" s="1"/>
  <c r="N84" i="53"/>
  <c r="L84" i="53" s="1"/>
  <c r="M84" i="53"/>
  <c r="K84" i="53" s="1"/>
  <c r="N83" i="53"/>
  <c r="L83" i="53" s="1"/>
  <c r="M83" i="53"/>
  <c r="K83" i="53" s="1"/>
  <c r="N82" i="53"/>
  <c r="L82" i="53" s="1"/>
  <c r="M82" i="53"/>
  <c r="K82" i="53" s="1"/>
  <c r="N81" i="53"/>
  <c r="L81" i="53" s="1"/>
  <c r="M81" i="53"/>
  <c r="K81" i="53" s="1"/>
  <c r="N80" i="53"/>
  <c r="L80" i="53" s="1"/>
  <c r="M80" i="53"/>
  <c r="K80" i="53" s="1"/>
  <c r="N79" i="53"/>
  <c r="L79" i="53" s="1"/>
  <c r="M79" i="53"/>
  <c r="K79" i="53" s="1"/>
  <c r="N78" i="53"/>
  <c r="L78" i="53" s="1"/>
  <c r="M78" i="53"/>
  <c r="K78" i="53" s="1"/>
  <c r="N77" i="53"/>
  <c r="L77" i="53" s="1"/>
  <c r="M77" i="53"/>
  <c r="K77" i="53" s="1"/>
  <c r="N76" i="53"/>
  <c r="L76" i="53" s="1"/>
  <c r="M76" i="53"/>
  <c r="K76" i="53" s="1"/>
  <c r="N75" i="53"/>
  <c r="L75" i="53" s="1"/>
  <c r="M75" i="53"/>
  <c r="K75" i="53" s="1"/>
  <c r="N74" i="53"/>
  <c r="L74" i="53" s="1"/>
  <c r="M74" i="53"/>
  <c r="K74" i="53" s="1"/>
  <c r="N15" i="53"/>
  <c r="L15" i="53" s="1"/>
  <c r="M15" i="53"/>
  <c r="K15" i="53" s="1"/>
  <c r="N14" i="53"/>
  <c r="L14" i="53" s="1"/>
  <c r="M14" i="53"/>
  <c r="K14" i="53" s="1"/>
  <c r="N13" i="53"/>
  <c r="L13" i="53" s="1"/>
  <c r="M13" i="53"/>
  <c r="K13" i="53" s="1"/>
  <c r="L12" i="53"/>
  <c r="L111" i="54"/>
  <c r="K111" i="54"/>
  <c r="L110" i="54"/>
  <c r="K110" i="54"/>
  <c r="L109" i="54"/>
  <c r="K109" i="54"/>
  <c r="L108" i="54"/>
  <c r="K108" i="54"/>
  <c r="L107" i="54"/>
  <c r="K107" i="54"/>
  <c r="L106" i="54"/>
  <c r="K106" i="54"/>
  <c r="L105" i="54"/>
  <c r="K105" i="54"/>
  <c r="L104" i="54"/>
  <c r="K104" i="54"/>
  <c r="L103" i="54"/>
  <c r="K103" i="54"/>
  <c r="L102" i="54"/>
  <c r="K102" i="54"/>
  <c r="L101" i="54"/>
  <c r="K101" i="54"/>
  <c r="L100" i="54"/>
  <c r="K100" i="54"/>
  <c r="L99" i="54"/>
  <c r="K99" i="54"/>
  <c r="L98" i="54"/>
  <c r="K98" i="54"/>
  <c r="L97" i="54"/>
  <c r="K97" i="54"/>
  <c r="L96" i="54"/>
  <c r="K96" i="54"/>
  <c r="L95" i="54"/>
  <c r="K95" i="54"/>
  <c r="L94" i="54"/>
  <c r="K94" i="54"/>
  <c r="L93" i="54"/>
  <c r="K93" i="54"/>
  <c r="L92" i="54"/>
  <c r="K92" i="54"/>
  <c r="L91" i="54"/>
  <c r="K91" i="54"/>
  <c r="L90" i="54"/>
  <c r="K90" i="54"/>
  <c r="L89" i="54"/>
  <c r="K89" i="54"/>
  <c r="L88" i="54"/>
  <c r="K88" i="54"/>
  <c r="L87" i="54"/>
  <c r="K87" i="54"/>
  <c r="L86" i="54"/>
  <c r="K86" i="54"/>
  <c r="L85" i="54"/>
  <c r="K85" i="54"/>
  <c r="L84" i="54"/>
  <c r="K84" i="54"/>
  <c r="L83" i="54"/>
  <c r="K83" i="54"/>
  <c r="L82" i="54"/>
  <c r="K82" i="54"/>
  <c r="L81" i="54"/>
  <c r="K81" i="54"/>
  <c r="L20" i="54"/>
  <c r="K20" i="54"/>
  <c r="L19" i="54"/>
  <c r="K19" i="54"/>
  <c r="L18" i="54"/>
  <c r="K18" i="54"/>
  <c r="L17" i="54"/>
  <c r="K17" i="54"/>
  <c r="L16" i="54"/>
  <c r="K16" i="54"/>
  <c r="L15" i="54"/>
  <c r="K15" i="54"/>
  <c r="L14" i="54"/>
  <c r="K14" i="54"/>
  <c r="L13" i="54"/>
  <c r="K13" i="54"/>
  <c r="L12" i="54"/>
  <c r="K12" i="54"/>
  <c r="N111" i="55"/>
  <c r="L111" i="55" s="1"/>
  <c r="M111" i="55"/>
  <c r="K111" i="55" s="1"/>
  <c r="N110" i="55"/>
  <c r="L110" i="55" s="1"/>
  <c r="M110" i="55"/>
  <c r="K110" i="55" s="1"/>
  <c r="N109" i="55"/>
  <c r="L109" i="55" s="1"/>
  <c r="M109" i="55"/>
  <c r="K109" i="55" s="1"/>
  <c r="N108" i="55"/>
  <c r="L108" i="55" s="1"/>
  <c r="M108" i="55"/>
  <c r="K108" i="55" s="1"/>
  <c r="N107" i="55"/>
  <c r="L107" i="55" s="1"/>
  <c r="M107" i="55"/>
  <c r="K107" i="55" s="1"/>
  <c r="N106" i="55"/>
  <c r="L106" i="55" s="1"/>
  <c r="M106" i="55"/>
  <c r="K106" i="55" s="1"/>
  <c r="N105" i="55"/>
  <c r="L105" i="55" s="1"/>
  <c r="M105" i="55"/>
  <c r="K105" i="55" s="1"/>
  <c r="N104" i="55"/>
  <c r="L104" i="55" s="1"/>
  <c r="M104" i="55"/>
  <c r="K104" i="55" s="1"/>
  <c r="N103" i="55"/>
  <c r="L103" i="55" s="1"/>
  <c r="M103" i="55"/>
  <c r="K103" i="55" s="1"/>
  <c r="N102" i="55"/>
  <c r="L102" i="55" s="1"/>
  <c r="M102" i="55"/>
  <c r="K102" i="55" s="1"/>
  <c r="N101" i="55"/>
  <c r="L101" i="55" s="1"/>
  <c r="M101" i="55"/>
  <c r="K101" i="55" s="1"/>
  <c r="N100" i="55"/>
  <c r="L100" i="55" s="1"/>
  <c r="M100" i="55"/>
  <c r="K100" i="55" s="1"/>
  <c r="N99" i="55"/>
  <c r="L99" i="55" s="1"/>
  <c r="M99" i="55"/>
  <c r="K99" i="55" s="1"/>
  <c r="N98" i="55"/>
  <c r="L98" i="55" s="1"/>
  <c r="M98" i="55"/>
  <c r="K98" i="55" s="1"/>
  <c r="N97" i="55"/>
  <c r="L97" i="55" s="1"/>
  <c r="M97" i="55"/>
  <c r="K97" i="55" s="1"/>
  <c r="N96" i="55"/>
  <c r="L96" i="55" s="1"/>
  <c r="M96" i="55"/>
  <c r="K96" i="55" s="1"/>
  <c r="N95" i="55"/>
  <c r="L95" i="55" s="1"/>
  <c r="M95" i="55"/>
  <c r="K95" i="55" s="1"/>
  <c r="N94" i="55"/>
  <c r="L94" i="55" s="1"/>
  <c r="M94" i="55"/>
  <c r="K94" i="55" s="1"/>
  <c r="N93" i="55"/>
  <c r="L93" i="55" s="1"/>
  <c r="M93" i="55"/>
  <c r="K93" i="55" s="1"/>
  <c r="N92" i="55"/>
  <c r="L92" i="55" s="1"/>
  <c r="M92" i="55"/>
  <c r="K92" i="55" s="1"/>
  <c r="N91" i="55"/>
  <c r="L91" i="55" s="1"/>
  <c r="M91" i="55"/>
  <c r="K91" i="55" s="1"/>
  <c r="N90" i="55"/>
  <c r="L90" i="55" s="1"/>
  <c r="M90" i="55"/>
  <c r="K90" i="55" s="1"/>
  <c r="N89" i="55"/>
  <c r="L89" i="55" s="1"/>
  <c r="M89" i="55"/>
  <c r="K89" i="55" s="1"/>
  <c r="N88" i="55"/>
  <c r="L88" i="55" s="1"/>
  <c r="M88" i="55"/>
  <c r="K88" i="55" s="1"/>
  <c r="N87" i="55"/>
  <c r="L87" i="55" s="1"/>
  <c r="M87" i="55"/>
  <c r="K87" i="55" s="1"/>
  <c r="N86" i="55"/>
  <c r="L86" i="55" s="1"/>
  <c r="M86" i="55"/>
  <c r="K86" i="55" s="1"/>
  <c r="N85" i="55"/>
  <c r="L85" i="55" s="1"/>
  <c r="M85" i="55"/>
  <c r="K85" i="55" s="1"/>
  <c r="N84" i="55"/>
  <c r="L84" i="55" s="1"/>
  <c r="M84" i="55"/>
  <c r="K84" i="55" s="1"/>
  <c r="N19" i="55"/>
  <c r="L19" i="55" s="1"/>
  <c r="M19" i="55"/>
  <c r="K19" i="55" s="1"/>
  <c r="N18" i="55"/>
  <c r="L18" i="55" s="1"/>
  <c r="M18" i="55"/>
  <c r="K18" i="55" s="1"/>
  <c r="N17" i="55"/>
  <c r="L17" i="55" s="1"/>
  <c r="M17" i="55"/>
  <c r="K17" i="55" s="1"/>
  <c r="N16" i="55"/>
  <c r="L16" i="55" s="1"/>
  <c r="M16" i="55"/>
  <c r="K16" i="55" s="1"/>
  <c r="N15" i="55"/>
  <c r="L15" i="55" s="1"/>
  <c r="M15" i="55"/>
  <c r="K15" i="55" s="1"/>
  <c r="N14" i="55"/>
  <c r="L14" i="55" s="1"/>
  <c r="M14" i="55"/>
  <c r="K14" i="55" s="1"/>
  <c r="N13" i="55"/>
  <c r="L13" i="55" s="1"/>
  <c r="M13" i="55"/>
  <c r="K13" i="55" s="1"/>
  <c r="N12" i="55"/>
  <c r="L12" i="55" s="1"/>
  <c r="M12" i="55"/>
  <c r="K12" i="55" s="1"/>
  <c r="L111" i="58"/>
  <c r="K111" i="58"/>
  <c r="L110" i="58"/>
  <c r="K110" i="58"/>
  <c r="L109" i="58"/>
  <c r="K109" i="58"/>
  <c r="L108" i="58"/>
  <c r="K108" i="58"/>
  <c r="L107" i="58"/>
  <c r="K107" i="58"/>
  <c r="L106" i="58"/>
  <c r="K106" i="58"/>
  <c r="L105" i="58"/>
  <c r="K105" i="58"/>
  <c r="L104" i="58"/>
  <c r="K104" i="58"/>
  <c r="L103" i="58"/>
  <c r="K103" i="58"/>
  <c r="L102" i="58"/>
  <c r="K102" i="58"/>
  <c r="L101" i="58"/>
  <c r="K101" i="58"/>
  <c r="L100" i="58"/>
  <c r="K100" i="58"/>
  <c r="L99" i="58"/>
  <c r="K99" i="58"/>
  <c r="L98" i="58"/>
  <c r="K98" i="58"/>
  <c r="L97" i="58"/>
  <c r="K97" i="58"/>
  <c r="L96" i="58"/>
  <c r="K96" i="58"/>
  <c r="L95" i="58"/>
  <c r="K95" i="58"/>
  <c r="L94" i="58"/>
  <c r="K94" i="58"/>
  <c r="L93" i="58"/>
  <c r="K93" i="58"/>
  <c r="L92" i="58"/>
  <c r="K92" i="58"/>
  <c r="L91" i="58"/>
  <c r="K91" i="58"/>
  <c r="L90" i="58"/>
  <c r="K90" i="58"/>
  <c r="L89" i="58"/>
  <c r="K89" i="58"/>
  <c r="L88" i="58"/>
  <c r="K88" i="58"/>
  <c r="L87" i="58"/>
  <c r="K87" i="58"/>
  <c r="L86" i="58"/>
  <c r="K86" i="58"/>
  <c r="L85" i="58"/>
  <c r="K85" i="58"/>
  <c r="L84" i="58"/>
  <c r="K84" i="58"/>
  <c r="L83" i="58"/>
  <c r="K83" i="58"/>
  <c r="L82" i="58"/>
  <c r="K82" i="58"/>
  <c r="L81" i="58"/>
  <c r="K81" i="58"/>
  <c r="L80" i="58"/>
  <c r="K80" i="58"/>
  <c r="L79" i="58"/>
  <c r="K79" i="58"/>
  <c r="L78" i="58"/>
  <c r="K78" i="58"/>
  <c r="L77" i="58"/>
  <c r="K77" i="58"/>
  <c r="L76" i="58"/>
  <c r="K76" i="58"/>
  <c r="L75" i="58"/>
  <c r="K75" i="58"/>
  <c r="L74" i="58"/>
  <c r="K74" i="58"/>
  <c r="L73" i="58"/>
  <c r="K73" i="58"/>
  <c r="L72" i="58"/>
  <c r="K72" i="58"/>
  <c r="L71" i="58"/>
  <c r="K71" i="58"/>
  <c r="L21" i="58"/>
  <c r="K21" i="58"/>
  <c r="L20" i="58"/>
  <c r="K20" i="58"/>
  <c r="L19" i="58"/>
  <c r="K19" i="58"/>
  <c r="L18" i="58"/>
  <c r="K18" i="58"/>
  <c r="L17" i="58"/>
  <c r="K17" i="58"/>
  <c r="L16" i="58"/>
  <c r="K16" i="58"/>
  <c r="L15" i="58"/>
  <c r="K15" i="58"/>
  <c r="L14" i="58"/>
  <c r="K14" i="58"/>
  <c r="L13" i="58"/>
  <c r="K13" i="58"/>
  <c r="L12" i="58"/>
  <c r="K12" i="58"/>
  <c r="N111" i="57"/>
  <c r="L111" i="57" s="1"/>
  <c r="M111" i="57"/>
  <c r="K111" i="57" s="1"/>
  <c r="N110" i="57"/>
  <c r="L110" i="57" s="1"/>
  <c r="M110" i="57"/>
  <c r="K110" i="57" s="1"/>
  <c r="N109" i="57"/>
  <c r="L109" i="57" s="1"/>
  <c r="M109" i="57"/>
  <c r="K109" i="57" s="1"/>
  <c r="N108" i="57"/>
  <c r="L108" i="57" s="1"/>
  <c r="M108" i="57"/>
  <c r="K108" i="57" s="1"/>
  <c r="N107" i="57"/>
  <c r="L107" i="57" s="1"/>
  <c r="M107" i="57"/>
  <c r="K107" i="57" s="1"/>
  <c r="N106" i="57"/>
  <c r="L106" i="57" s="1"/>
  <c r="M106" i="57"/>
  <c r="K106" i="57" s="1"/>
  <c r="N105" i="57"/>
  <c r="L105" i="57" s="1"/>
  <c r="M105" i="57"/>
  <c r="K105" i="57" s="1"/>
  <c r="N104" i="57"/>
  <c r="L104" i="57" s="1"/>
  <c r="M104" i="57"/>
  <c r="K104" i="57" s="1"/>
  <c r="N103" i="57"/>
  <c r="L103" i="57" s="1"/>
  <c r="M103" i="57"/>
  <c r="K103" i="57" s="1"/>
  <c r="N102" i="57"/>
  <c r="L102" i="57" s="1"/>
  <c r="M102" i="57"/>
  <c r="K102" i="57" s="1"/>
  <c r="N101" i="57"/>
  <c r="L101" i="57" s="1"/>
  <c r="M101" i="57"/>
  <c r="K101" i="57" s="1"/>
  <c r="N100" i="57"/>
  <c r="L100" i="57" s="1"/>
  <c r="M100" i="57"/>
  <c r="K100" i="57" s="1"/>
  <c r="N99" i="57"/>
  <c r="L99" i="57" s="1"/>
  <c r="M99" i="57"/>
  <c r="K99" i="57" s="1"/>
  <c r="N98" i="57"/>
  <c r="L98" i="57" s="1"/>
  <c r="M98" i="57"/>
  <c r="K98" i="57" s="1"/>
  <c r="N97" i="57"/>
  <c r="L97" i="57" s="1"/>
  <c r="M97" i="57"/>
  <c r="K97" i="57" s="1"/>
  <c r="N96" i="57"/>
  <c r="L96" i="57" s="1"/>
  <c r="M96" i="57"/>
  <c r="K96" i="57" s="1"/>
  <c r="N95" i="57"/>
  <c r="L95" i="57" s="1"/>
  <c r="M95" i="57"/>
  <c r="K95" i="57" s="1"/>
  <c r="N94" i="57"/>
  <c r="L94" i="57" s="1"/>
  <c r="M94" i="57"/>
  <c r="K94" i="57" s="1"/>
  <c r="N93" i="57"/>
  <c r="L93" i="57" s="1"/>
  <c r="M93" i="57"/>
  <c r="K93" i="57" s="1"/>
  <c r="N92" i="57"/>
  <c r="L92" i="57" s="1"/>
  <c r="M92" i="57"/>
  <c r="K92" i="57" s="1"/>
  <c r="N91" i="57"/>
  <c r="L91" i="57" s="1"/>
  <c r="M91" i="57"/>
  <c r="K91" i="57" s="1"/>
  <c r="N90" i="57"/>
  <c r="L90" i="57" s="1"/>
  <c r="M90" i="57"/>
  <c r="K90" i="57" s="1"/>
  <c r="N89" i="57"/>
  <c r="L89" i="57" s="1"/>
  <c r="M89" i="57"/>
  <c r="K89" i="57" s="1"/>
  <c r="N88" i="57"/>
  <c r="L88" i="57" s="1"/>
  <c r="M88" i="57"/>
  <c r="K88" i="57" s="1"/>
  <c r="N87" i="57"/>
  <c r="L87" i="57" s="1"/>
  <c r="M87" i="57"/>
  <c r="K87" i="57" s="1"/>
  <c r="N86" i="57"/>
  <c r="L86" i="57" s="1"/>
  <c r="M86" i="57"/>
  <c r="K86" i="57" s="1"/>
  <c r="N85" i="57"/>
  <c r="L85" i="57" s="1"/>
  <c r="M85" i="57"/>
  <c r="K85" i="57" s="1"/>
  <c r="N84" i="57"/>
  <c r="L84" i="57" s="1"/>
  <c r="M84" i="57"/>
  <c r="K84" i="57" s="1"/>
  <c r="N83" i="57"/>
  <c r="L83" i="57" s="1"/>
  <c r="M83" i="57"/>
  <c r="K83" i="57" s="1"/>
  <c r="N82" i="57"/>
  <c r="L82" i="57" s="1"/>
  <c r="M82" i="57"/>
  <c r="K82" i="57" s="1"/>
  <c r="N81" i="57"/>
  <c r="L81" i="57" s="1"/>
  <c r="M81" i="57"/>
  <c r="K81" i="57" s="1"/>
  <c r="N80" i="57"/>
  <c r="L80" i="57" s="1"/>
  <c r="M80" i="57"/>
  <c r="K80" i="57" s="1"/>
  <c r="N20" i="57"/>
  <c r="L20" i="57" s="1"/>
  <c r="M20" i="57"/>
  <c r="K20" i="57" s="1"/>
  <c r="N19" i="57"/>
  <c r="L19" i="57" s="1"/>
  <c r="M19" i="57"/>
  <c r="K19" i="57" s="1"/>
  <c r="N18" i="57"/>
  <c r="L18" i="57" s="1"/>
  <c r="M18" i="57"/>
  <c r="K18" i="57" s="1"/>
  <c r="N17" i="57"/>
  <c r="L17" i="57" s="1"/>
  <c r="M17" i="57"/>
  <c r="K17" i="57" s="1"/>
  <c r="N16" i="57"/>
  <c r="L16" i="57" s="1"/>
  <c r="M16" i="57"/>
  <c r="K16" i="57" s="1"/>
  <c r="N15" i="57"/>
  <c r="L15" i="57" s="1"/>
  <c r="M15" i="57"/>
  <c r="K15" i="57" s="1"/>
  <c r="N14" i="57"/>
  <c r="L14" i="57" s="1"/>
  <c r="M14" i="57"/>
  <c r="K14" i="57" s="1"/>
  <c r="N13" i="57"/>
  <c r="L13" i="57" s="1"/>
  <c r="M13" i="57"/>
  <c r="K13" i="57" s="1"/>
  <c r="L12" i="57"/>
  <c r="M12" i="57"/>
  <c r="K12" i="57" s="1"/>
  <c r="N111" i="60"/>
  <c r="L111" i="60" s="1"/>
  <c r="M111" i="60"/>
  <c r="K111" i="60" s="1"/>
  <c r="N110" i="60"/>
  <c r="L110" i="60" s="1"/>
  <c r="M110" i="60"/>
  <c r="K110" i="60" s="1"/>
  <c r="N109" i="60"/>
  <c r="L109" i="60" s="1"/>
  <c r="M109" i="60"/>
  <c r="K109" i="60" s="1"/>
  <c r="N108" i="60"/>
  <c r="L108" i="60" s="1"/>
  <c r="M108" i="60"/>
  <c r="K108" i="60" s="1"/>
  <c r="N107" i="60"/>
  <c r="L107" i="60" s="1"/>
  <c r="M107" i="60"/>
  <c r="K107" i="60" s="1"/>
  <c r="N106" i="60"/>
  <c r="L106" i="60" s="1"/>
  <c r="M106" i="60"/>
  <c r="K106" i="60" s="1"/>
  <c r="N105" i="60"/>
  <c r="L105" i="60" s="1"/>
  <c r="M105" i="60"/>
  <c r="K105" i="60" s="1"/>
  <c r="N104" i="60"/>
  <c r="L104" i="60" s="1"/>
  <c r="M104" i="60"/>
  <c r="K104" i="60" s="1"/>
  <c r="N103" i="60"/>
  <c r="L103" i="60" s="1"/>
  <c r="M103" i="60"/>
  <c r="K103" i="60" s="1"/>
  <c r="N102" i="60"/>
  <c r="L102" i="60" s="1"/>
  <c r="M102" i="60"/>
  <c r="K102" i="60" s="1"/>
  <c r="N101" i="60"/>
  <c r="L101" i="60" s="1"/>
  <c r="M101" i="60"/>
  <c r="K101" i="60" s="1"/>
  <c r="N100" i="60"/>
  <c r="L100" i="60" s="1"/>
  <c r="M100" i="60"/>
  <c r="K100" i="60" s="1"/>
  <c r="N99" i="60"/>
  <c r="L99" i="60" s="1"/>
  <c r="M99" i="60"/>
  <c r="K99" i="60" s="1"/>
  <c r="N98" i="60"/>
  <c r="L98" i="60" s="1"/>
  <c r="M98" i="60"/>
  <c r="K98" i="60" s="1"/>
  <c r="N97" i="60"/>
  <c r="L97" i="60" s="1"/>
  <c r="M97" i="60"/>
  <c r="K97" i="60" s="1"/>
  <c r="N96" i="60"/>
  <c r="L96" i="60" s="1"/>
  <c r="M96" i="60"/>
  <c r="K96" i="60" s="1"/>
  <c r="N95" i="60"/>
  <c r="L95" i="60" s="1"/>
  <c r="M95" i="60"/>
  <c r="K95" i="60" s="1"/>
  <c r="N94" i="60"/>
  <c r="L94" i="60" s="1"/>
  <c r="M94" i="60"/>
  <c r="K94" i="60" s="1"/>
  <c r="N93" i="60"/>
  <c r="L93" i="60" s="1"/>
  <c r="M93" i="60"/>
  <c r="K93" i="60" s="1"/>
  <c r="N92" i="60"/>
  <c r="L92" i="60" s="1"/>
  <c r="M92" i="60"/>
  <c r="K92" i="60" s="1"/>
  <c r="N91" i="60"/>
  <c r="L91" i="60" s="1"/>
  <c r="M91" i="60"/>
  <c r="K91" i="60" s="1"/>
  <c r="N90" i="60"/>
  <c r="L90" i="60" s="1"/>
  <c r="M90" i="60"/>
  <c r="K90" i="60" s="1"/>
  <c r="N89" i="60"/>
  <c r="L89" i="60" s="1"/>
  <c r="M89" i="60"/>
  <c r="K89" i="60" s="1"/>
  <c r="N88" i="60"/>
  <c r="L88" i="60" s="1"/>
  <c r="M88" i="60"/>
  <c r="K88" i="60" s="1"/>
  <c r="N87" i="60"/>
  <c r="L87" i="60" s="1"/>
  <c r="M87" i="60"/>
  <c r="K87" i="60" s="1"/>
  <c r="N86" i="60"/>
  <c r="L86" i="60" s="1"/>
  <c r="M86" i="60"/>
  <c r="K86" i="60" s="1"/>
  <c r="N85" i="60"/>
  <c r="L85" i="60" s="1"/>
  <c r="M85" i="60"/>
  <c r="K85" i="60" s="1"/>
  <c r="N84" i="60"/>
  <c r="L84" i="60" s="1"/>
  <c r="M84" i="60"/>
  <c r="K84" i="60" s="1"/>
  <c r="N83" i="60"/>
  <c r="L83" i="60" s="1"/>
  <c r="M83" i="60"/>
  <c r="K83" i="60" s="1"/>
  <c r="N82" i="60"/>
  <c r="L82" i="60" s="1"/>
  <c r="M82" i="60"/>
  <c r="K82" i="60" s="1"/>
  <c r="N81" i="60"/>
  <c r="L81" i="60" s="1"/>
  <c r="M81" i="60"/>
  <c r="K81" i="60" s="1"/>
  <c r="N80" i="60"/>
  <c r="L80" i="60" s="1"/>
  <c r="M80" i="60"/>
  <c r="K80" i="60" s="1"/>
  <c r="N79" i="60"/>
  <c r="L79" i="60" s="1"/>
  <c r="M79" i="60"/>
  <c r="K79" i="60" s="1"/>
  <c r="N18" i="60"/>
  <c r="L18" i="60" s="1"/>
  <c r="M18" i="60"/>
  <c r="K18" i="60" s="1"/>
  <c r="N17" i="60"/>
  <c r="L17" i="60" s="1"/>
  <c r="M17" i="60"/>
  <c r="K17" i="60" s="1"/>
  <c r="N16" i="60"/>
  <c r="L16" i="60" s="1"/>
  <c r="M16" i="60"/>
  <c r="K16" i="60" s="1"/>
  <c r="N15" i="60"/>
  <c r="L15" i="60" s="1"/>
  <c r="M15" i="60"/>
  <c r="K15" i="60" s="1"/>
  <c r="N14" i="60"/>
  <c r="L14" i="60" s="1"/>
  <c r="M14" i="60"/>
  <c r="K14" i="60" s="1"/>
  <c r="N13" i="60"/>
  <c r="L13" i="60" s="1"/>
  <c r="M13" i="60"/>
  <c r="K13" i="60" s="1"/>
  <c r="N12" i="60"/>
  <c r="L12" i="60" s="1"/>
  <c r="M12" i="60"/>
  <c r="K12" i="60" s="1"/>
  <c r="L111" i="59"/>
  <c r="K111" i="59"/>
  <c r="L110" i="59"/>
  <c r="K110" i="59"/>
  <c r="L109" i="59"/>
  <c r="K109" i="59"/>
  <c r="L108" i="59"/>
  <c r="K108" i="59"/>
  <c r="L107" i="59"/>
  <c r="K107" i="59"/>
  <c r="L106" i="59"/>
  <c r="K106" i="59"/>
  <c r="L105" i="59"/>
  <c r="K105" i="59"/>
  <c r="L104" i="59"/>
  <c r="K104" i="59"/>
  <c r="L103" i="59"/>
  <c r="K103" i="59"/>
  <c r="L102" i="59"/>
  <c r="K102" i="59"/>
  <c r="L101" i="59"/>
  <c r="K101" i="59"/>
  <c r="L100" i="59"/>
  <c r="K100" i="59"/>
  <c r="L99" i="59"/>
  <c r="K99" i="59"/>
  <c r="L98" i="59"/>
  <c r="K98" i="59"/>
  <c r="L97" i="59"/>
  <c r="K97" i="59"/>
  <c r="L96" i="59"/>
  <c r="K96" i="59"/>
  <c r="L95" i="59"/>
  <c r="K95" i="59"/>
  <c r="L94" i="59"/>
  <c r="K94" i="59"/>
  <c r="L93" i="59"/>
  <c r="K93" i="59"/>
  <c r="L92" i="59"/>
  <c r="K92" i="59"/>
  <c r="L91" i="59"/>
  <c r="K91" i="59"/>
  <c r="L90" i="59"/>
  <c r="K90" i="59"/>
  <c r="L89" i="59"/>
  <c r="K89" i="59"/>
  <c r="L88" i="59"/>
  <c r="K88" i="59"/>
  <c r="L87" i="59"/>
  <c r="K87" i="59"/>
  <c r="L86" i="59"/>
  <c r="K86" i="59"/>
  <c r="L85" i="59"/>
  <c r="K85" i="59"/>
  <c r="L84" i="59"/>
  <c r="K84" i="59"/>
  <c r="L83" i="59"/>
  <c r="K83" i="59"/>
  <c r="L82" i="59"/>
  <c r="K82" i="59"/>
  <c r="L81" i="59"/>
  <c r="K81" i="59"/>
  <c r="L80" i="59"/>
  <c r="K80" i="59"/>
  <c r="L19" i="59"/>
  <c r="K19" i="59"/>
  <c r="L18" i="59"/>
  <c r="K18" i="59"/>
  <c r="L17" i="59"/>
  <c r="K17" i="59"/>
  <c r="L16" i="59"/>
  <c r="K16" i="59"/>
  <c r="L15" i="59"/>
  <c r="K15" i="59"/>
  <c r="L14" i="59"/>
  <c r="K14" i="59"/>
  <c r="L13" i="59"/>
  <c r="K13" i="59"/>
  <c r="L12" i="59"/>
  <c r="K12" i="59"/>
  <c r="N111" i="61"/>
  <c r="L111" i="61" s="1"/>
  <c r="M111" i="61"/>
  <c r="K111" i="61" s="1"/>
  <c r="N110" i="61"/>
  <c r="L110" i="61" s="1"/>
  <c r="M110" i="61"/>
  <c r="K110" i="61" s="1"/>
  <c r="N109" i="61"/>
  <c r="L109" i="61" s="1"/>
  <c r="M109" i="61"/>
  <c r="K109" i="61" s="1"/>
  <c r="N108" i="61"/>
  <c r="L108" i="61" s="1"/>
  <c r="M108" i="61"/>
  <c r="K108" i="61" s="1"/>
  <c r="N107" i="61"/>
  <c r="L107" i="61" s="1"/>
  <c r="M107" i="61"/>
  <c r="K107" i="61" s="1"/>
  <c r="N106" i="61"/>
  <c r="L106" i="61" s="1"/>
  <c r="M106" i="61"/>
  <c r="K106" i="61" s="1"/>
  <c r="N105" i="61"/>
  <c r="L105" i="61" s="1"/>
  <c r="M105" i="61"/>
  <c r="K105" i="61" s="1"/>
  <c r="N104" i="61"/>
  <c r="L104" i="61" s="1"/>
  <c r="M104" i="61"/>
  <c r="K104" i="61" s="1"/>
  <c r="N103" i="61"/>
  <c r="L103" i="61" s="1"/>
  <c r="M103" i="61"/>
  <c r="K103" i="61" s="1"/>
  <c r="N102" i="61"/>
  <c r="L102" i="61" s="1"/>
  <c r="M102" i="61"/>
  <c r="K102" i="61" s="1"/>
  <c r="N101" i="61"/>
  <c r="L101" i="61" s="1"/>
  <c r="M101" i="61"/>
  <c r="K101" i="61" s="1"/>
  <c r="N100" i="61"/>
  <c r="L100" i="61" s="1"/>
  <c r="M100" i="61"/>
  <c r="K100" i="61" s="1"/>
  <c r="N99" i="61"/>
  <c r="L99" i="61" s="1"/>
  <c r="M99" i="61"/>
  <c r="K99" i="61" s="1"/>
  <c r="N98" i="61"/>
  <c r="L98" i="61" s="1"/>
  <c r="M98" i="61"/>
  <c r="K98" i="61" s="1"/>
  <c r="N97" i="61"/>
  <c r="L97" i="61" s="1"/>
  <c r="M97" i="61"/>
  <c r="K97" i="61" s="1"/>
  <c r="N96" i="61"/>
  <c r="L96" i="61" s="1"/>
  <c r="M96" i="61"/>
  <c r="K96" i="61" s="1"/>
  <c r="N95" i="61"/>
  <c r="L95" i="61" s="1"/>
  <c r="M95" i="61"/>
  <c r="K95" i="61" s="1"/>
  <c r="N94" i="61"/>
  <c r="L94" i="61" s="1"/>
  <c r="M94" i="61"/>
  <c r="K94" i="61" s="1"/>
  <c r="N93" i="61"/>
  <c r="L93" i="61" s="1"/>
  <c r="M93" i="61"/>
  <c r="K93" i="61" s="1"/>
  <c r="N92" i="61"/>
  <c r="L92" i="61" s="1"/>
  <c r="M92" i="61"/>
  <c r="K92" i="61" s="1"/>
  <c r="N91" i="61"/>
  <c r="L91" i="61" s="1"/>
  <c r="M91" i="61"/>
  <c r="K91" i="61" s="1"/>
  <c r="N90" i="61"/>
  <c r="L90" i="61" s="1"/>
  <c r="M90" i="61"/>
  <c r="K90" i="61" s="1"/>
  <c r="N89" i="61"/>
  <c r="L89" i="61" s="1"/>
  <c r="M89" i="61"/>
  <c r="K89" i="61" s="1"/>
  <c r="N88" i="61"/>
  <c r="L88" i="61" s="1"/>
  <c r="M88" i="61"/>
  <c r="K88" i="61" s="1"/>
  <c r="N87" i="61"/>
  <c r="L87" i="61" s="1"/>
  <c r="M87" i="61"/>
  <c r="K87" i="61" s="1"/>
  <c r="N86" i="61"/>
  <c r="L86" i="61" s="1"/>
  <c r="M86" i="61"/>
  <c r="K86" i="61" s="1"/>
  <c r="N85" i="61"/>
  <c r="L85" i="61" s="1"/>
  <c r="M85" i="61"/>
  <c r="K85" i="61" s="1"/>
  <c r="N84" i="61"/>
  <c r="L84" i="61" s="1"/>
  <c r="M84" i="61"/>
  <c r="K84" i="61" s="1"/>
  <c r="N20" i="61"/>
  <c r="L20" i="61" s="1"/>
  <c r="M20" i="61"/>
  <c r="K20" i="61" s="1"/>
  <c r="N19" i="61"/>
  <c r="L19" i="61" s="1"/>
  <c r="M19" i="61"/>
  <c r="K19" i="61" s="1"/>
  <c r="N18" i="61"/>
  <c r="L18" i="61" s="1"/>
  <c r="M18" i="61"/>
  <c r="K18" i="61" s="1"/>
  <c r="N17" i="61"/>
  <c r="L17" i="61" s="1"/>
  <c r="M17" i="61"/>
  <c r="K17" i="61" s="1"/>
  <c r="N16" i="61"/>
  <c r="L16" i="61" s="1"/>
  <c r="M16" i="61"/>
  <c r="K16" i="61" s="1"/>
  <c r="N15" i="61"/>
  <c r="L15" i="61" s="1"/>
  <c r="M15" i="61"/>
  <c r="K15" i="61" s="1"/>
  <c r="N14" i="61"/>
  <c r="L14" i="61" s="1"/>
  <c r="M14" i="61"/>
  <c r="K14" i="61" s="1"/>
  <c r="N13" i="61"/>
  <c r="L13" i="61" s="1"/>
  <c r="M13" i="61"/>
  <c r="K13" i="61" s="1"/>
  <c r="N12" i="61"/>
  <c r="L12" i="61" s="1"/>
  <c r="M12" i="61"/>
  <c r="K12" i="61" s="1"/>
  <c r="L111" i="63"/>
  <c r="K111" i="63"/>
  <c r="L110" i="63"/>
  <c r="K110" i="63"/>
  <c r="L109" i="63"/>
  <c r="K109" i="63"/>
  <c r="L108" i="63"/>
  <c r="K108" i="63"/>
  <c r="L107" i="63"/>
  <c r="K107" i="63"/>
  <c r="L106" i="63"/>
  <c r="K106" i="63"/>
  <c r="L105" i="63"/>
  <c r="K105" i="63"/>
  <c r="L104" i="63"/>
  <c r="K104" i="63"/>
  <c r="L103" i="63"/>
  <c r="K103" i="63"/>
  <c r="L102" i="63"/>
  <c r="K102" i="63"/>
  <c r="L101" i="63"/>
  <c r="K101" i="63"/>
  <c r="L100" i="63"/>
  <c r="K100" i="63"/>
  <c r="L99" i="63"/>
  <c r="K99" i="63"/>
  <c r="L98" i="63"/>
  <c r="K98" i="63"/>
  <c r="L97" i="63"/>
  <c r="K97" i="63"/>
  <c r="L96" i="63"/>
  <c r="K96" i="63"/>
  <c r="L95" i="63"/>
  <c r="K95" i="63"/>
  <c r="L94" i="63"/>
  <c r="K94" i="63"/>
  <c r="L93" i="63"/>
  <c r="K93" i="63"/>
  <c r="L92" i="63"/>
  <c r="K92" i="63"/>
  <c r="L91" i="63"/>
  <c r="K91" i="63"/>
  <c r="L90" i="63"/>
  <c r="K90" i="63"/>
  <c r="L89" i="63"/>
  <c r="K89" i="63"/>
  <c r="L88" i="63"/>
  <c r="K88" i="63"/>
  <c r="L87" i="63"/>
  <c r="K87" i="63"/>
  <c r="L86" i="63"/>
  <c r="K86" i="63"/>
  <c r="L85" i="63"/>
  <c r="K85" i="63"/>
  <c r="L84" i="63"/>
  <c r="K84" i="63"/>
  <c r="L83" i="63"/>
  <c r="K83" i="63"/>
  <c r="L82" i="63"/>
  <c r="K82" i="63"/>
  <c r="L81" i="63"/>
  <c r="K81" i="63"/>
  <c r="L80" i="63"/>
  <c r="K80" i="63"/>
  <c r="L79" i="63"/>
  <c r="K79" i="63"/>
  <c r="L78" i="63"/>
  <c r="K78" i="63"/>
  <c r="L77" i="63"/>
  <c r="K77" i="63"/>
  <c r="L20" i="63"/>
  <c r="K20" i="63"/>
  <c r="L19" i="63"/>
  <c r="K19" i="63"/>
  <c r="L18" i="63"/>
  <c r="K18" i="63"/>
  <c r="L17" i="63"/>
  <c r="K17" i="63"/>
  <c r="L16" i="63"/>
  <c r="K16" i="63"/>
  <c r="L15" i="63"/>
  <c r="K15" i="63"/>
  <c r="L14" i="63"/>
  <c r="K14" i="63"/>
  <c r="L13" i="63"/>
  <c r="K13" i="63"/>
  <c r="L12" i="63"/>
  <c r="K12" i="63"/>
  <c r="C9" i="58" l="1"/>
  <c r="C9" i="62" l="1"/>
  <c r="C9" i="63"/>
  <c r="C9" i="61"/>
  <c r="C9" i="59"/>
  <c r="C9" i="60"/>
  <c r="C9" i="57"/>
  <c r="C9" i="55"/>
  <c r="C9" i="54"/>
  <c r="C9" i="53"/>
  <c r="C9" i="52"/>
  <c r="F112" i="63" l="1"/>
  <c r="E112" i="63"/>
  <c r="C112" i="63"/>
  <c r="H111" i="63"/>
  <c r="G111" i="63"/>
  <c r="H110" i="63"/>
  <c r="G110" i="63"/>
  <c r="H109" i="63"/>
  <c r="I109" i="63" s="1"/>
  <c r="J109" i="63" s="1"/>
  <c r="G109" i="63"/>
  <c r="H108" i="63"/>
  <c r="G108" i="63"/>
  <c r="H107" i="63"/>
  <c r="G107" i="63"/>
  <c r="H106" i="63"/>
  <c r="G106" i="63"/>
  <c r="H105" i="63"/>
  <c r="G105" i="63"/>
  <c r="H104" i="63"/>
  <c r="G104" i="63"/>
  <c r="H103" i="63"/>
  <c r="G103" i="63"/>
  <c r="H102" i="63"/>
  <c r="G102" i="63"/>
  <c r="H101" i="63"/>
  <c r="G101" i="63"/>
  <c r="H100" i="63"/>
  <c r="G100" i="63"/>
  <c r="H99" i="63"/>
  <c r="G99" i="63"/>
  <c r="H98" i="63"/>
  <c r="G98" i="63"/>
  <c r="H97" i="63"/>
  <c r="G97" i="63"/>
  <c r="H96" i="63"/>
  <c r="G96" i="63"/>
  <c r="H95" i="63"/>
  <c r="G95" i="63"/>
  <c r="H94" i="63"/>
  <c r="G94" i="63"/>
  <c r="H93" i="63"/>
  <c r="G93" i="63"/>
  <c r="H92" i="63"/>
  <c r="G92" i="63"/>
  <c r="H91" i="63"/>
  <c r="G91" i="63"/>
  <c r="H90" i="63"/>
  <c r="G90" i="63"/>
  <c r="H89" i="63"/>
  <c r="G89" i="63"/>
  <c r="H88" i="63"/>
  <c r="G88" i="63"/>
  <c r="H87" i="63"/>
  <c r="G87" i="63"/>
  <c r="H86" i="63"/>
  <c r="G86" i="63"/>
  <c r="H85" i="63"/>
  <c r="G85" i="63"/>
  <c r="H84" i="63"/>
  <c r="G84" i="63"/>
  <c r="H83" i="63"/>
  <c r="G83" i="63"/>
  <c r="H82" i="63"/>
  <c r="G82" i="63"/>
  <c r="H81" i="63"/>
  <c r="G81" i="63"/>
  <c r="H80" i="63"/>
  <c r="G80" i="63"/>
  <c r="H79" i="63"/>
  <c r="G79" i="63"/>
  <c r="H78" i="63"/>
  <c r="G78" i="63"/>
  <c r="H77" i="63"/>
  <c r="G77" i="63"/>
  <c r="H20" i="63"/>
  <c r="G20" i="63"/>
  <c r="H19" i="63"/>
  <c r="G19" i="63"/>
  <c r="H18" i="63"/>
  <c r="G18" i="63"/>
  <c r="H17" i="63"/>
  <c r="G17" i="63"/>
  <c r="H16" i="63"/>
  <c r="I16" i="63" s="1"/>
  <c r="J16" i="63" s="1"/>
  <c r="G16" i="63"/>
  <c r="H15" i="63"/>
  <c r="G15" i="63"/>
  <c r="H14" i="63"/>
  <c r="G14" i="63"/>
  <c r="H13" i="63"/>
  <c r="G13" i="63"/>
  <c r="H12" i="63"/>
  <c r="G12" i="63"/>
  <c r="F112" i="62"/>
  <c r="E112" i="62"/>
  <c r="C112" i="62"/>
  <c r="N111" i="62"/>
  <c r="L111" i="62" s="1"/>
  <c r="M111" i="62"/>
  <c r="K111" i="62" s="1"/>
  <c r="H111" i="62"/>
  <c r="G111" i="62"/>
  <c r="N110" i="62"/>
  <c r="L110" i="62" s="1"/>
  <c r="M110" i="62"/>
  <c r="K110" i="62" s="1"/>
  <c r="H110" i="62"/>
  <c r="G110" i="62"/>
  <c r="N109" i="62"/>
  <c r="L109" i="62" s="1"/>
  <c r="M109" i="62"/>
  <c r="K109" i="62" s="1"/>
  <c r="H109" i="62"/>
  <c r="G109" i="62"/>
  <c r="N108" i="62"/>
  <c r="L108" i="62" s="1"/>
  <c r="M108" i="62"/>
  <c r="K108" i="62" s="1"/>
  <c r="H108" i="62"/>
  <c r="G108" i="62"/>
  <c r="N107" i="62"/>
  <c r="L107" i="62" s="1"/>
  <c r="M107" i="62"/>
  <c r="K107" i="62" s="1"/>
  <c r="H107" i="62"/>
  <c r="G107" i="62"/>
  <c r="N106" i="62"/>
  <c r="L106" i="62" s="1"/>
  <c r="M106" i="62"/>
  <c r="K106" i="62" s="1"/>
  <c r="H106" i="62"/>
  <c r="G106" i="62"/>
  <c r="N105" i="62"/>
  <c r="L105" i="62" s="1"/>
  <c r="M105" i="62"/>
  <c r="K105" i="62" s="1"/>
  <c r="H105" i="62"/>
  <c r="G105" i="62"/>
  <c r="N104" i="62"/>
  <c r="L104" i="62" s="1"/>
  <c r="M104" i="62"/>
  <c r="K104" i="62" s="1"/>
  <c r="H104" i="62"/>
  <c r="G104" i="62"/>
  <c r="N103" i="62"/>
  <c r="L103" i="62" s="1"/>
  <c r="M103" i="62"/>
  <c r="K103" i="62" s="1"/>
  <c r="H103" i="62"/>
  <c r="G103" i="62"/>
  <c r="N102" i="62"/>
  <c r="L102" i="62" s="1"/>
  <c r="M102" i="62"/>
  <c r="K102" i="62" s="1"/>
  <c r="H102" i="62"/>
  <c r="G102" i="62"/>
  <c r="N101" i="62"/>
  <c r="L101" i="62" s="1"/>
  <c r="M101" i="62"/>
  <c r="K101" i="62" s="1"/>
  <c r="H101" i="62"/>
  <c r="G101" i="62"/>
  <c r="N100" i="62"/>
  <c r="L100" i="62" s="1"/>
  <c r="M100" i="62"/>
  <c r="K100" i="62" s="1"/>
  <c r="H100" i="62"/>
  <c r="G100" i="62"/>
  <c r="N99" i="62"/>
  <c r="L99" i="62" s="1"/>
  <c r="M99" i="62"/>
  <c r="K99" i="62" s="1"/>
  <c r="H99" i="62"/>
  <c r="G99" i="62"/>
  <c r="N98" i="62"/>
  <c r="L98" i="62" s="1"/>
  <c r="M98" i="62"/>
  <c r="K98" i="62" s="1"/>
  <c r="H98" i="62"/>
  <c r="G98" i="62"/>
  <c r="N97" i="62"/>
  <c r="L97" i="62" s="1"/>
  <c r="M97" i="62"/>
  <c r="K97" i="62" s="1"/>
  <c r="H97" i="62"/>
  <c r="G97" i="62"/>
  <c r="N96" i="62"/>
  <c r="L96" i="62" s="1"/>
  <c r="M96" i="62"/>
  <c r="K96" i="62" s="1"/>
  <c r="H96" i="62"/>
  <c r="G96" i="62"/>
  <c r="N95" i="62"/>
  <c r="L95" i="62" s="1"/>
  <c r="M95" i="62"/>
  <c r="K95" i="62" s="1"/>
  <c r="H95" i="62"/>
  <c r="G95" i="62"/>
  <c r="N94" i="62"/>
  <c r="L94" i="62" s="1"/>
  <c r="M94" i="62"/>
  <c r="K94" i="62" s="1"/>
  <c r="H94" i="62"/>
  <c r="G94" i="62"/>
  <c r="N93" i="62"/>
  <c r="L93" i="62" s="1"/>
  <c r="M93" i="62"/>
  <c r="K93" i="62" s="1"/>
  <c r="H93" i="62"/>
  <c r="G93" i="62"/>
  <c r="N92" i="62"/>
  <c r="L92" i="62" s="1"/>
  <c r="M92" i="62"/>
  <c r="K92" i="62" s="1"/>
  <c r="H92" i="62"/>
  <c r="G92" i="62"/>
  <c r="N91" i="62"/>
  <c r="L91" i="62" s="1"/>
  <c r="M91" i="62"/>
  <c r="K91" i="62" s="1"/>
  <c r="H91" i="62"/>
  <c r="G91" i="62"/>
  <c r="N90" i="62"/>
  <c r="L90" i="62" s="1"/>
  <c r="M90" i="62"/>
  <c r="K90" i="62" s="1"/>
  <c r="H90" i="62"/>
  <c r="G90" i="62"/>
  <c r="N89" i="62"/>
  <c r="L89" i="62" s="1"/>
  <c r="M89" i="62"/>
  <c r="K89" i="62" s="1"/>
  <c r="H89" i="62"/>
  <c r="G89" i="62"/>
  <c r="N88" i="62"/>
  <c r="L88" i="62" s="1"/>
  <c r="M88" i="62"/>
  <c r="K88" i="62" s="1"/>
  <c r="H88" i="62"/>
  <c r="G88" i="62"/>
  <c r="N87" i="62"/>
  <c r="L87" i="62" s="1"/>
  <c r="M87" i="62"/>
  <c r="K87" i="62" s="1"/>
  <c r="H87" i="62"/>
  <c r="G87" i="62"/>
  <c r="N86" i="62"/>
  <c r="L86" i="62" s="1"/>
  <c r="M86" i="62"/>
  <c r="K86" i="62" s="1"/>
  <c r="H86" i="62"/>
  <c r="G86" i="62"/>
  <c r="N85" i="62"/>
  <c r="L85" i="62" s="1"/>
  <c r="M85" i="62"/>
  <c r="K85" i="62" s="1"/>
  <c r="H85" i="62"/>
  <c r="G85" i="62"/>
  <c r="N84" i="62"/>
  <c r="L84" i="62" s="1"/>
  <c r="M84" i="62"/>
  <c r="K84" i="62" s="1"/>
  <c r="H84" i="62"/>
  <c r="G84" i="62"/>
  <c r="N83" i="62"/>
  <c r="L83" i="62" s="1"/>
  <c r="M83" i="62"/>
  <c r="K83" i="62" s="1"/>
  <c r="H83" i="62"/>
  <c r="G83" i="62"/>
  <c r="N82" i="62"/>
  <c r="L82" i="62" s="1"/>
  <c r="M82" i="62"/>
  <c r="K82" i="62" s="1"/>
  <c r="H82" i="62"/>
  <c r="G82" i="62"/>
  <c r="N20" i="62"/>
  <c r="L20" i="62" s="1"/>
  <c r="M20" i="62"/>
  <c r="K20" i="62" s="1"/>
  <c r="H20" i="62"/>
  <c r="G20" i="62"/>
  <c r="N19" i="62"/>
  <c r="L19" i="62" s="1"/>
  <c r="M19" i="62"/>
  <c r="K19" i="62" s="1"/>
  <c r="H19" i="62"/>
  <c r="G19" i="62"/>
  <c r="N18" i="62"/>
  <c r="L18" i="62" s="1"/>
  <c r="M18" i="62"/>
  <c r="K18" i="62" s="1"/>
  <c r="H18" i="62"/>
  <c r="G18" i="62"/>
  <c r="N17" i="62"/>
  <c r="L17" i="62" s="1"/>
  <c r="M17" i="62"/>
  <c r="K17" i="62" s="1"/>
  <c r="H17" i="62"/>
  <c r="G17" i="62"/>
  <c r="N16" i="62"/>
  <c r="L16" i="62" s="1"/>
  <c r="M16" i="62"/>
  <c r="K16" i="62" s="1"/>
  <c r="H16" i="62"/>
  <c r="G16" i="62"/>
  <c r="N15" i="62"/>
  <c r="L15" i="62" s="1"/>
  <c r="M15" i="62"/>
  <c r="K15" i="62" s="1"/>
  <c r="H15" i="62"/>
  <c r="G15" i="62"/>
  <c r="N14" i="62"/>
  <c r="L14" i="62" s="1"/>
  <c r="M14" i="62"/>
  <c r="K14" i="62" s="1"/>
  <c r="H14" i="62"/>
  <c r="G14" i="62"/>
  <c r="N13" i="62"/>
  <c r="L13" i="62" s="1"/>
  <c r="M13" i="62"/>
  <c r="K13" i="62" s="1"/>
  <c r="H13" i="62"/>
  <c r="G13" i="62"/>
  <c r="N12" i="62"/>
  <c r="L12" i="62" s="1"/>
  <c r="M12" i="62"/>
  <c r="K12" i="62" s="1"/>
  <c r="H12" i="62"/>
  <c r="G12" i="62"/>
  <c r="F112" i="61"/>
  <c r="E112" i="61"/>
  <c r="C112" i="61"/>
  <c r="H111" i="61"/>
  <c r="G111" i="61"/>
  <c r="H110" i="61"/>
  <c r="G110" i="61"/>
  <c r="H109" i="61"/>
  <c r="G109" i="61"/>
  <c r="H108" i="61"/>
  <c r="G108" i="61"/>
  <c r="H107" i="61"/>
  <c r="G107" i="61"/>
  <c r="H106" i="61"/>
  <c r="G106" i="61"/>
  <c r="H105" i="61"/>
  <c r="G105" i="61"/>
  <c r="I105" i="61" s="1"/>
  <c r="J105" i="61" s="1"/>
  <c r="H104" i="61"/>
  <c r="G104" i="61"/>
  <c r="H103" i="61"/>
  <c r="G103" i="61"/>
  <c r="I103" i="61" s="1"/>
  <c r="J103" i="61" s="1"/>
  <c r="H102" i="61"/>
  <c r="G102" i="61"/>
  <c r="H101" i="61"/>
  <c r="G101" i="61"/>
  <c r="H100" i="61"/>
  <c r="G100" i="61"/>
  <c r="H99" i="61"/>
  <c r="G99" i="61"/>
  <c r="H98" i="61"/>
  <c r="G98" i="61"/>
  <c r="H97" i="61"/>
  <c r="G97" i="61"/>
  <c r="I97" i="61" s="1"/>
  <c r="J97" i="61" s="1"/>
  <c r="H96" i="61"/>
  <c r="G96" i="61"/>
  <c r="H95" i="61"/>
  <c r="G95" i="61"/>
  <c r="H94" i="61"/>
  <c r="G94" i="61"/>
  <c r="H93" i="61"/>
  <c r="G93" i="61"/>
  <c r="I93" i="61" s="1"/>
  <c r="J93" i="61" s="1"/>
  <c r="H92" i="61"/>
  <c r="G92" i="61"/>
  <c r="H91" i="61"/>
  <c r="G91" i="61"/>
  <c r="H90" i="61"/>
  <c r="G90" i="61"/>
  <c r="H89" i="61"/>
  <c r="G89" i="61"/>
  <c r="H88" i="61"/>
  <c r="I88" i="61" s="1"/>
  <c r="J88" i="61" s="1"/>
  <c r="G88" i="61"/>
  <c r="H87" i="61"/>
  <c r="G87" i="61"/>
  <c r="H86" i="61"/>
  <c r="G86" i="61"/>
  <c r="H85" i="61"/>
  <c r="G85" i="61"/>
  <c r="I85" i="61" s="1"/>
  <c r="J85" i="61" s="1"/>
  <c r="H84" i="61"/>
  <c r="G84" i="61"/>
  <c r="H20" i="61"/>
  <c r="G20" i="61"/>
  <c r="H19" i="61"/>
  <c r="G19" i="61"/>
  <c r="H18" i="61"/>
  <c r="G18" i="61"/>
  <c r="I18" i="61" s="1"/>
  <c r="J18" i="61" s="1"/>
  <c r="H17" i="61"/>
  <c r="G17" i="61"/>
  <c r="H16" i="61"/>
  <c r="G16" i="61"/>
  <c r="I16" i="61" s="1"/>
  <c r="J16" i="61" s="1"/>
  <c r="H15" i="61"/>
  <c r="G15" i="61"/>
  <c r="H14" i="61"/>
  <c r="G14" i="61"/>
  <c r="H13" i="61"/>
  <c r="G13" i="61"/>
  <c r="H12" i="61"/>
  <c r="G12" i="61"/>
  <c r="F112" i="60"/>
  <c r="E112" i="60"/>
  <c r="C112" i="60"/>
  <c r="H111" i="60"/>
  <c r="G111" i="60"/>
  <c r="H110" i="60"/>
  <c r="G110" i="60"/>
  <c r="H109" i="60"/>
  <c r="G109" i="60"/>
  <c r="H108" i="60"/>
  <c r="G108" i="60"/>
  <c r="H107" i="60"/>
  <c r="G107" i="60"/>
  <c r="H106" i="60"/>
  <c r="G106" i="60"/>
  <c r="I106" i="60" s="1"/>
  <c r="J106" i="60" s="1"/>
  <c r="H105" i="60"/>
  <c r="G105" i="60"/>
  <c r="H104" i="60"/>
  <c r="G104" i="60"/>
  <c r="I104" i="60" s="1"/>
  <c r="J104" i="60" s="1"/>
  <c r="H103" i="60"/>
  <c r="G103" i="60"/>
  <c r="H102" i="60"/>
  <c r="G102" i="60"/>
  <c r="H101" i="60"/>
  <c r="G101" i="60"/>
  <c r="H100" i="60"/>
  <c r="G100" i="60"/>
  <c r="H99" i="60"/>
  <c r="G99" i="60"/>
  <c r="H98" i="60"/>
  <c r="G98" i="60"/>
  <c r="H97" i="60"/>
  <c r="G97" i="60"/>
  <c r="H96" i="60"/>
  <c r="G96" i="60"/>
  <c r="I96" i="60" s="1"/>
  <c r="J96" i="60" s="1"/>
  <c r="H95" i="60"/>
  <c r="G95" i="60"/>
  <c r="H94" i="60"/>
  <c r="G94" i="60"/>
  <c r="H93" i="60"/>
  <c r="G93" i="60"/>
  <c r="H92" i="60"/>
  <c r="G92" i="60"/>
  <c r="I92" i="60" s="1"/>
  <c r="J92" i="60" s="1"/>
  <c r="H91" i="60"/>
  <c r="G91" i="60"/>
  <c r="H90" i="60"/>
  <c r="G90" i="60"/>
  <c r="H89" i="60"/>
  <c r="G89" i="60"/>
  <c r="H88" i="60"/>
  <c r="G88" i="60"/>
  <c r="H87" i="60"/>
  <c r="G87" i="60"/>
  <c r="H86" i="60"/>
  <c r="G86" i="60"/>
  <c r="H85" i="60"/>
  <c r="G85" i="60"/>
  <c r="H84" i="60"/>
  <c r="G84" i="60"/>
  <c r="H83" i="60"/>
  <c r="G83" i="60"/>
  <c r="H82" i="60"/>
  <c r="G82" i="60"/>
  <c r="H81" i="60"/>
  <c r="G81" i="60"/>
  <c r="H80" i="60"/>
  <c r="G80" i="60"/>
  <c r="H79" i="60"/>
  <c r="G79" i="60"/>
  <c r="H18" i="60"/>
  <c r="G18" i="60"/>
  <c r="I18" i="60" s="1"/>
  <c r="J18" i="60" s="1"/>
  <c r="H17" i="60"/>
  <c r="G17" i="60"/>
  <c r="I17" i="60" s="1"/>
  <c r="J17" i="60" s="1"/>
  <c r="H16" i="60"/>
  <c r="G16" i="60"/>
  <c r="H15" i="60"/>
  <c r="G15" i="60"/>
  <c r="I15" i="60" s="1"/>
  <c r="J15" i="60" s="1"/>
  <c r="H14" i="60"/>
  <c r="G14" i="60"/>
  <c r="H13" i="60"/>
  <c r="G13" i="60"/>
  <c r="H12" i="60"/>
  <c r="G12" i="60"/>
  <c r="F112" i="59"/>
  <c r="E112" i="59"/>
  <c r="C112" i="59"/>
  <c r="H111" i="59"/>
  <c r="G111" i="59"/>
  <c r="H110" i="59"/>
  <c r="G110" i="59"/>
  <c r="H109" i="59"/>
  <c r="G109" i="59"/>
  <c r="I109" i="59" s="1"/>
  <c r="J109" i="59" s="1"/>
  <c r="H108" i="59"/>
  <c r="G108" i="59"/>
  <c r="H107" i="59"/>
  <c r="G107" i="59"/>
  <c r="H106" i="59"/>
  <c r="G106" i="59"/>
  <c r="H105" i="59"/>
  <c r="G105" i="59"/>
  <c r="H104" i="59"/>
  <c r="G104" i="59"/>
  <c r="H103" i="59"/>
  <c r="G103" i="59"/>
  <c r="H102" i="59"/>
  <c r="G102" i="59"/>
  <c r="H101" i="59"/>
  <c r="G101" i="59"/>
  <c r="H100" i="59"/>
  <c r="G100" i="59"/>
  <c r="H99" i="59"/>
  <c r="G99" i="59"/>
  <c r="H98" i="59"/>
  <c r="I98" i="59" s="1"/>
  <c r="J98" i="59" s="1"/>
  <c r="G98" i="59"/>
  <c r="H97" i="59"/>
  <c r="G97" i="59"/>
  <c r="H96" i="59"/>
  <c r="G96" i="59"/>
  <c r="H95" i="59"/>
  <c r="G95" i="59"/>
  <c r="I94" i="59"/>
  <c r="J94" i="59" s="1"/>
  <c r="H94" i="59"/>
  <c r="G94" i="59"/>
  <c r="H93" i="59"/>
  <c r="G93" i="59"/>
  <c r="H92" i="59"/>
  <c r="G92" i="59"/>
  <c r="H91" i="59"/>
  <c r="G91" i="59"/>
  <c r="H90" i="59"/>
  <c r="G90" i="59"/>
  <c r="H89" i="59"/>
  <c r="G89" i="59"/>
  <c r="H88" i="59"/>
  <c r="G88" i="59"/>
  <c r="H87" i="59"/>
  <c r="G87" i="59"/>
  <c r="H86" i="59"/>
  <c r="G86" i="59"/>
  <c r="H85" i="59"/>
  <c r="G85" i="59"/>
  <c r="H84" i="59"/>
  <c r="G84" i="59"/>
  <c r="H83" i="59"/>
  <c r="G83" i="59"/>
  <c r="H82" i="59"/>
  <c r="G82" i="59"/>
  <c r="H81" i="59"/>
  <c r="G81" i="59"/>
  <c r="H80" i="59"/>
  <c r="G80" i="59"/>
  <c r="H19" i="59"/>
  <c r="G19" i="59"/>
  <c r="I19" i="59" s="1"/>
  <c r="J19" i="59" s="1"/>
  <c r="H18" i="59"/>
  <c r="G18" i="59"/>
  <c r="H17" i="59"/>
  <c r="G17" i="59"/>
  <c r="H16" i="59"/>
  <c r="G16" i="59"/>
  <c r="H15" i="59"/>
  <c r="G15" i="59"/>
  <c r="H14" i="59"/>
  <c r="G14" i="59"/>
  <c r="H13" i="59"/>
  <c r="G13" i="59"/>
  <c r="H12" i="59"/>
  <c r="G12" i="59"/>
  <c r="F112" i="58"/>
  <c r="E112" i="58"/>
  <c r="C112" i="58"/>
  <c r="H111" i="58"/>
  <c r="G111" i="58"/>
  <c r="H110" i="58"/>
  <c r="G110" i="58"/>
  <c r="H109" i="58"/>
  <c r="G109" i="58"/>
  <c r="H108" i="58"/>
  <c r="G108" i="58"/>
  <c r="H107" i="58"/>
  <c r="G107" i="58"/>
  <c r="H106" i="58"/>
  <c r="G106" i="58"/>
  <c r="H105" i="58"/>
  <c r="G105" i="58"/>
  <c r="I105" i="58" s="1"/>
  <c r="J105" i="58" s="1"/>
  <c r="H104" i="58"/>
  <c r="G104" i="58"/>
  <c r="H103" i="58"/>
  <c r="G103" i="58"/>
  <c r="I103" i="58" s="1"/>
  <c r="J103" i="58" s="1"/>
  <c r="H102" i="58"/>
  <c r="G102" i="58"/>
  <c r="H101" i="58"/>
  <c r="G101" i="58"/>
  <c r="H100" i="58"/>
  <c r="G100" i="58"/>
  <c r="H99" i="58"/>
  <c r="G99" i="58"/>
  <c r="I99" i="58" s="1"/>
  <c r="J99" i="58" s="1"/>
  <c r="H98" i="58"/>
  <c r="G98" i="58"/>
  <c r="H97" i="58"/>
  <c r="G97" i="58"/>
  <c r="I97" i="58" s="1"/>
  <c r="J97" i="58" s="1"/>
  <c r="H96" i="58"/>
  <c r="G96" i="58"/>
  <c r="H95" i="58"/>
  <c r="G95" i="58"/>
  <c r="H94" i="58"/>
  <c r="G94" i="58"/>
  <c r="H93" i="58"/>
  <c r="G93" i="58"/>
  <c r="H92" i="58"/>
  <c r="G92" i="58"/>
  <c r="H91" i="58"/>
  <c r="G91" i="58"/>
  <c r="H90" i="58"/>
  <c r="G90" i="58"/>
  <c r="H89" i="58"/>
  <c r="G89" i="58"/>
  <c r="H88" i="58"/>
  <c r="G88" i="58"/>
  <c r="H87" i="58"/>
  <c r="G87" i="58"/>
  <c r="I87" i="58" s="1"/>
  <c r="J87" i="58" s="1"/>
  <c r="H86" i="58"/>
  <c r="G86" i="58"/>
  <c r="H85" i="58"/>
  <c r="G85" i="58"/>
  <c r="I85" i="58" s="1"/>
  <c r="J85" i="58" s="1"/>
  <c r="H84" i="58"/>
  <c r="G84" i="58"/>
  <c r="H83" i="58"/>
  <c r="G83" i="58"/>
  <c r="H82" i="58"/>
  <c r="G82" i="58"/>
  <c r="H81" i="58"/>
  <c r="G81" i="58"/>
  <c r="I81" i="58" s="1"/>
  <c r="J81" i="58" s="1"/>
  <c r="H80" i="58"/>
  <c r="G80" i="58"/>
  <c r="H79" i="58"/>
  <c r="G79" i="58"/>
  <c r="H78" i="58"/>
  <c r="G78" i="58"/>
  <c r="H77" i="58"/>
  <c r="G77" i="58"/>
  <c r="H76" i="58"/>
  <c r="G76" i="58"/>
  <c r="H75" i="58"/>
  <c r="G75" i="58"/>
  <c r="H74" i="58"/>
  <c r="G74" i="58"/>
  <c r="H73" i="58"/>
  <c r="G73" i="58"/>
  <c r="I73" i="58" s="1"/>
  <c r="J73" i="58" s="1"/>
  <c r="H72" i="58"/>
  <c r="G72" i="58"/>
  <c r="H71" i="58"/>
  <c r="G71" i="58"/>
  <c r="H21" i="58"/>
  <c r="G21" i="58"/>
  <c r="H20" i="58"/>
  <c r="G20" i="58"/>
  <c r="H19" i="58"/>
  <c r="G19" i="58"/>
  <c r="H18" i="58"/>
  <c r="G18" i="58"/>
  <c r="H17" i="58"/>
  <c r="G17" i="58"/>
  <c r="H16" i="58"/>
  <c r="G16" i="58"/>
  <c r="H15" i="58"/>
  <c r="G15" i="58"/>
  <c r="H14" i="58"/>
  <c r="G14" i="58"/>
  <c r="H13" i="58"/>
  <c r="G13" i="58"/>
  <c r="H12" i="58"/>
  <c r="G12" i="58"/>
  <c r="F112" i="57"/>
  <c r="E112" i="57"/>
  <c r="C112" i="57"/>
  <c r="H111" i="57"/>
  <c r="G111" i="57"/>
  <c r="H110" i="57"/>
  <c r="G110" i="57"/>
  <c r="H109" i="57"/>
  <c r="G109" i="57"/>
  <c r="H108" i="57"/>
  <c r="G108" i="57"/>
  <c r="H107" i="57"/>
  <c r="G107" i="57"/>
  <c r="H106" i="57"/>
  <c r="G106" i="57"/>
  <c r="H105" i="57"/>
  <c r="G105" i="57"/>
  <c r="H104" i="57"/>
  <c r="G104" i="57"/>
  <c r="H103" i="57"/>
  <c r="G103" i="57"/>
  <c r="H102" i="57"/>
  <c r="G102" i="57"/>
  <c r="H101" i="57"/>
  <c r="G101" i="57"/>
  <c r="H100" i="57"/>
  <c r="G100" i="57"/>
  <c r="H99" i="57"/>
  <c r="G99" i="57"/>
  <c r="H98" i="57"/>
  <c r="G98" i="57"/>
  <c r="H97" i="57"/>
  <c r="G97" i="57"/>
  <c r="H96" i="57"/>
  <c r="G96" i="57"/>
  <c r="H95" i="57"/>
  <c r="G95" i="57"/>
  <c r="H94" i="57"/>
  <c r="G94" i="57"/>
  <c r="H93" i="57"/>
  <c r="G93" i="57"/>
  <c r="H92" i="57"/>
  <c r="G92" i="57"/>
  <c r="H91" i="57"/>
  <c r="G91" i="57"/>
  <c r="H90" i="57"/>
  <c r="G90" i="57"/>
  <c r="H89" i="57"/>
  <c r="G89" i="57"/>
  <c r="H88" i="57"/>
  <c r="G88" i="57"/>
  <c r="H87" i="57"/>
  <c r="G87" i="57"/>
  <c r="H86" i="57"/>
  <c r="G86" i="57"/>
  <c r="H85" i="57"/>
  <c r="G85" i="57"/>
  <c r="H84" i="57"/>
  <c r="G84" i="57"/>
  <c r="H83" i="57"/>
  <c r="G83" i="57"/>
  <c r="H82" i="57"/>
  <c r="G82" i="57"/>
  <c r="H81" i="57"/>
  <c r="G81" i="57"/>
  <c r="H80" i="57"/>
  <c r="G80" i="57"/>
  <c r="H20" i="57"/>
  <c r="G20" i="57"/>
  <c r="H19" i="57"/>
  <c r="G19" i="57"/>
  <c r="H18" i="57"/>
  <c r="G18" i="57"/>
  <c r="H17" i="57"/>
  <c r="G17" i="57"/>
  <c r="H16" i="57"/>
  <c r="G16" i="57"/>
  <c r="H15" i="57"/>
  <c r="G15" i="57"/>
  <c r="I15" i="57" s="1"/>
  <c r="J15" i="57" s="1"/>
  <c r="H14" i="57"/>
  <c r="G14" i="57"/>
  <c r="H13" i="57"/>
  <c r="G13" i="57"/>
  <c r="H12" i="57"/>
  <c r="G12" i="57"/>
  <c r="F112" i="55"/>
  <c r="E112" i="55"/>
  <c r="C112" i="55"/>
  <c r="H111" i="55"/>
  <c r="G111" i="55"/>
  <c r="H110" i="55"/>
  <c r="G110" i="55"/>
  <c r="H109" i="55"/>
  <c r="G109" i="55"/>
  <c r="H108" i="55"/>
  <c r="G108" i="55"/>
  <c r="H107" i="55"/>
  <c r="G107" i="55"/>
  <c r="H106" i="55"/>
  <c r="G106" i="55"/>
  <c r="H105" i="55"/>
  <c r="G105" i="55"/>
  <c r="H104" i="55"/>
  <c r="G104" i="55"/>
  <c r="H103" i="55"/>
  <c r="G103" i="55"/>
  <c r="H102" i="55"/>
  <c r="G102" i="55"/>
  <c r="H101" i="55"/>
  <c r="G101" i="55"/>
  <c r="H100" i="55"/>
  <c r="G100" i="55"/>
  <c r="I100" i="55" s="1"/>
  <c r="J100" i="55" s="1"/>
  <c r="H99" i="55"/>
  <c r="G99" i="55"/>
  <c r="H98" i="55"/>
  <c r="G98" i="55"/>
  <c r="H97" i="55"/>
  <c r="G97" i="55"/>
  <c r="H96" i="55"/>
  <c r="G96" i="55"/>
  <c r="H95" i="55"/>
  <c r="G95" i="55"/>
  <c r="H94" i="55"/>
  <c r="G94" i="55"/>
  <c r="H93" i="55"/>
  <c r="G93" i="55"/>
  <c r="H92" i="55"/>
  <c r="G92" i="55"/>
  <c r="H91" i="55"/>
  <c r="G91" i="55"/>
  <c r="H90" i="55"/>
  <c r="G90" i="55"/>
  <c r="H89" i="55"/>
  <c r="G89" i="55"/>
  <c r="H88" i="55"/>
  <c r="G88" i="55"/>
  <c r="H87" i="55"/>
  <c r="G87" i="55"/>
  <c r="H86" i="55"/>
  <c r="G86" i="55"/>
  <c r="H85" i="55"/>
  <c r="G85" i="55"/>
  <c r="H84" i="55"/>
  <c r="G84" i="55"/>
  <c r="H19" i="55"/>
  <c r="G19" i="55"/>
  <c r="H18" i="55"/>
  <c r="G18" i="55"/>
  <c r="H17" i="55"/>
  <c r="G17" i="55"/>
  <c r="H16" i="55"/>
  <c r="G16" i="55"/>
  <c r="H15" i="55"/>
  <c r="G15" i="55"/>
  <c r="H14" i="55"/>
  <c r="G14" i="55"/>
  <c r="H13" i="55"/>
  <c r="G13" i="55"/>
  <c r="H12" i="55"/>
  <c r="G12" i="55"/>
  <c r="F112" i="54"/>
  <c r="E112" i="54"/>
  <c r="C112" i="54"/>
  <c r="H111" i="54"/>
  <c r="G111" i="54"/>
  <c r="H110" i="54"/>
  <c r="G110" i="54"/>
  <c r="H109" i="54"/>
  <c r="G109" i="54"/>
  <c r="H108" i="54"/>
  <c r="G108" i="54"/>
  <c r="H107" i="54"/>
  <c r="G107" i="54"/>
  <c r="H106" i="54"/>
  <c r="G106" i="54"/>
  <c r="H105" i="54"/>
  <c r="G105" i="54"/>
  <c r="H104" i="54"/>
  <c r="G104" i="54"/>
  <c r="H103" i="54"/>
  <c r="G103" i="54"/>
  <c r="H102" i="54"/>
  <c r="G102" i="54"/>
  <c r="H101" i="54"/>
  <c r="G101" i="54"/>
  <c r="H100" i="54"/>
  <c r="G100" i="54"/>
  <c r="H99" i="54"/>
  <c r="G99" i="54"/>
  <c r="H98" i="54"/>
  <c r="G98" i="54"/>
  <c r="H97" i="54"/>
  <c r="G97" i="54"/>
  <c r="H96" i="54"/>
  <c r="G96" i="54"/>
  <c r="H95" i="54"/>
  <c r="G95" i="54"/>
  <c r="H94" i="54"/>
  <c r="G94" i="54"/>
  <c r="H93" i="54"/>
  <c r="G93" i="54"/>
  <c r="H92" i="54"/>
  <c r="G92" i="54"/>
  <c r="H91" i="54"/>
  <c r="G91" i="54"/>
  <c r="H90" i="54"/>
  <c r="G90" i="54"/>
  <c r="H89" i="54"/>
  <c r="G89" i="54"/>
  <c r="H88" i="54"/>
  <c r="G88" i="54"/>
  <c r="H87" i="54"/>
  <c r="G87" i="54"/>
  <c r="H86" i="54"/>
  <c r="G86" i="54"/>
  <c r="H85" i="54"/>
  <c r="G85" i="54"/>
  <c r="H84" i="54"/>
  <c r="G84" i="54"/>
  <c r="H83" i="54"/>
  <c r="G83" i="54"/>
  <c r="H82" i="54"/>
  <c r="G82" i="54"/>
  <c r="H81" i="54"/>
  <c r="G81" i="54"/>
  <c r="H20" i="54"/>
  <c r="G20" i="54"/>
  <c r="H19" i="54"/>
  <c r="G19" i="54"/>
  <c r="H18" i="54"/>
  <c r="G18" i="54"/>
  <c r="H17" i="54"/>
  <c r="G17" i="54"/>
  <c r="H16" i="54"/>
  <c r="G16" i="54"/>
  <c r="H15" i="54"/>
  <c r="G15" i="54"/>
  <c r="H14" i="54"/>
  <c r="G14" i="54"/>
  <c r="H13" i="54"/>
  <c r="G13" i="54"/>
  <c r="H12" i="54"/>
  <c r="G12" i="54"/>
  <c r="F112" i="53"/>
  <c r="E112" i="53"/>
  <c r="C112" i="53"/>
  <c r="H111" i="53"/>
  <c r="G111" i="53"/>
  <c r="H110" i="53"/>
  <c r="G110" i="53"/>
  <c r="H109" i="53"/>
  <c r="G109" i="53"/>
  <c r="H108" i="53"/>
  <c r="G108" i="53"/>
  <c r="H107" i="53"/>
  <c r="G107" i="53"/>
  <c r="H106" i="53"/>
  <c r="G106" i="53"/>
  <c r="H105" i="53"/>
  <c r="G105" i="53"/>
  <c r="H104" i="53"/>
  <c r="G104" i="53"/>
  <c r="H103" i="53"/>
  <c r="G103" i="53"/>
  <c r="H102" i="53"/>
  <c r="G102" i="53"/>
  <c r="H101" i="53"/>
  <c r="G101" i="53"/>
  <c r="H100" i="53"/>
  <c r="G100" i="53"/>
  <c r="H99" i="53"/>
  <c r="G99" i="53"/>
  <c r="H98" i="53"/>
  <c r="G98" i="53"/>
  <c r="H97" i="53"/>
  <c r="G97" i="53"/>
  <c r="H96" i="53"/>
  <c r="G96" i="53"/>
  <c r="H95" i="53"/>
  <c r="G95" i="53"/>
  <c r="H94" i="53"/>
  <c r="G94" i="53"/>
  <c r="H93" i="53"/>
  <c r="G93" i="53"/>
  <c r="H92" i="53"/>
  <c r="G92" i="53"/>
  <c r="H91" i="53"/>
  <c r="G91" i="53"/>
  <c r="H90" i="53"/>
  <c r="G90" i="53"/>
  <c r="H89" i="53"/>
  <c r="G89" i="53"/>
  <c r="H88" i="53"/>
  <c r="G88" i="53"/>
  <c r="H87" i="53"/>
  <c r="G87" i="53"/>
  <c r="H86" i="53"/>
  <c r="G86" i="53"/>
  <c r="H85" i="53"/>
  <c r="G85" i="53"/>
  <c r="H84" i="53"/>
  <c r="G84" i="53"/>
  <c r="H83" i="53"/>
  <c r="G83" i="53"/>
  <c r="H82" i="53"/>
  <c r="G82" i="53"/>
  <c r="H81" i="53"/>
  <c r="G81" i="53"/>
  <c r="H80" i="53"/>
  <c r="G80" i="53"/>
  <c r="H79" i="53"/>
  <c r="G79" i="53"/>
  <c r="H78" i="53"/>
  <c r="G78" i="53"/>
  <c r="H77" i="53"/>
  <c r="G77" i="53"/>
  <c r="H76" i="53"/>
  <c r="G76" i="53"/>
  <c r="H75" i="53"/>
  <c r="G75" i="53"/>
  <c r="H74" i="53"/>
  <c r="G74" i="53"/>
  <c r="H15" i="53"/>
  <c r="G15" i="53"/>
  <c r="H14" i="53"/>
  <c r="G14" i="53"/>
  <c r="H13" i="53"/>
  <c r="G13" i="53"/>
  <c r="H12" i="53"/>
  <c r="G12" i="53"/>
  <c r="F112" i="52"/>
  <c r="E112" i="52"/>
  <c r="C112" i="52"/>
  <c r="H111" i="52"/>
  <c r="G111" i="52"/>
  <c r="H110" i="52"/>
  <c r="G110" i="52"/>
  <c r="H109" i="52"/>
  <c r="G109" i="52"/>
  <c r="H108" i="52"/>
  <c r="G108" i="52"/>
  <c r="H107" i="52"/>
  <c r="G107" i="52"/>
  <c r="H106" i="52"/>
  <c r="G106" i="52"/>
  <c r="H105" i="52"/>
  <c r="G105" i="52"/>
  <c r="H104" i="52"/>
  <c r="G104" i="52"/>
  <c r="H103" i="52"/>
  <c r="G103" i="52"/>
  <c r="H102" i="52"/>
  <c r="G102" i="52"/>
  <c r="H101" i="52"/>
  <c r="G101" i="52"/>
  <c r="H100" i="52"/>
  <c r="G100" i="52"/>
  <c r="H99" i="52"/>
  <c r="G99" i="52"/>
  <c r="H98" i="52"/>
  <c r="G98" i="52"/>
  <c r="H32" i="52"/>
  <c r="G32" i="52"/>
  <c r="H31" i="52"/>
  <c r="G31" i="52"/>
  <c r="H30" i="52"/>
  <c r="G30" i="52"/>
  <c r="H29" i="52"/>
  <c r="G29" i="52"/>
  <c r="H28" i="52"/>
  <c r="G28" i="52"/>
  <c r="H27" i="52"/>
  <c r="G27" i="52"/>
  <c r="H26" i="52"/>
  <c r="G26" i="52"/>
  <c r="H25" i="52"/>
  <c r="G25" i="52"/>
  <c r="H24" i="52"/>
  <c r="G24" i="52"/>
  <c r="H23" i="52"/>
  <c r="G23" i="52"/>
  <c r="H22" i="52"/>
  <c r="G22" i="52"/>
  <c r="H21" i="52"/>
  <c r="G21" i="52"/>
  <c r="H20" i="52"/>
  <c r="G20" i="52"/>
  <c r="H19" i="52"/>
  <c r="G19" i="52"/>
  <c r="H18" i="52"/>
  <c r="G18" i="52"/>
  <c r="H17" i="52"/>
  <c r="G17" i="52"/>
  <c r="H16" i="52"/>
  <c r="G16" i="52"/>
  <c r="H15" i="52"/>
  <c r="G15" i="52"/>
  <c r="H14" i="52"/>
  <c r="G14" i="52"/>
  <c r="H13" i="52"/>
  <c r="G13" i="52"/>
  <c r="H12" i="52"/>
  <c r="G12" i="52"/>
  <c r="I85" i="59" l="1"/>
  <c r="J85" i="59" s="1"/>
  <c r="I83" i="60"/>
  <c r="J83" i="60" s="1"/>
  <c r="I85" i="60"/>
  <c r="J85" i="60" s="1"/>
  <c r="I95" i="60"/>
  <c r="J95" i="60" s="1"/>
  <c r="I105" i="60"/>
  <c r="J105" i="60" s="1"/>
  <c r="I107" i="60"/>
  <c r="J107" i="60" s="1"/>
  <c r="G112" i="58"/>
  <c r="C4" i="58" s="1"/>
  <c r="I86" i="57"/>
  <c r="J86" i="57" s="1"/>
  <c r="I100" i="57"/>
  <c r="J100" i="57" s="1"/>
  <c r="I102" i="57"/>
  <c r="J102" i="57" s="1"/>
  <c r="I106" i="57"/>
  <c r="J106" i="57" s="1"/>
  <c r="I110" i="57"/>
  <c r="J110" i="57" s="1"/>
  <c r="I18" i="62"/>
  <c r="J18" i="62" s="1"/>
  <c r="I13" i="62"/>
  <c r="J13" i="62" s="1"/>
  <c r="I14" i="62"/>
  <c r="J14" i="62" s="1"/>
  <c r="I91" i="62"/>
  <c r="J91" i="62" s="1"/>
  <c r="I94" i="62"/>
  <c r="J94" i="62" s="1"/>
  <c r="I95" i="62"/>
  <c r="J95" i="62" s="1"/>
  <c r="I96" i="62"/>
  <c r="J96" i="62" s="1"/>
  <c r="I97" i="62"/>
  <c r="J97" i="62" s="1"/>
  <c r="I98" i="62"/>
  <c r="J98" i="62" s="1"/>
  <c r="I100" i="62"/>
  <c r="J100" i="62" s="1"/>
  <c r="I102" i="62"/>
  <c r="J102" i="62" s="1"/>
  <c r="I103" i="62"/>
  <c r="J103" i="62" s="1"/>
  <c r="I104" i="62"/>
  <c r="J104" i="62" s="1"/>
  <c r="I107" i="62"/>
  <c r="J107" i="62" s="1"/>
  <c r="I14" i="63"/>
  <c r="J14" i="63" s="1"/>
  <c r="I80" i="63"/>
  <c r="J80" i="63" s="1"/>
  <c r="I84" i="63"/>
  <c r="J84" i="63" s="1"/>
  <c r="I92" i="63"/>
  <c r="J92" i="63" s="1"/>
  <c r="I104" i="63"/>
  <c r="J104" i="63" s="1"/>
  <c r="I108" i="63"/>
  <c r="J108" i="63" s="1"/>
  <c r="I13" i="63"/>
  <c r="J13" i="63" s="1"/>
  <c r="I15" i="63"/>
  <c r="J15" i="63" s="1"/>
  <c r="I77" i="63"/>
  <c r="J77" i="63" s="1"/>
  <c r="I83" i="63"/>
  <c r="J83" i="63" s="1"/>
  <c r="I85" i="63"/>
  <c r="J85" i="63" s="1"/>
  <c r="I93" i="63"/>
  <c r="J93" i="63" s="1"/>
  <c r="I103" i="63"/>
  <c r="J103" i="63" s="1"/>
  <c r="I107" i="63"/>
  <c r="J107" i="63" s="1"/>
  <c r="I12" i="59"/>
  <c r="J12" i="59" s="1"/>
  <c r="I16" i="59"/>
  <c r="J16" i="59" s="1"/>
  <c r="I18" i="59"/>
  <c r="J18" i="59" s="1"/>
  <c r="I82" i="59"/>
  <c r="J82" i="59" s="1"/>
  <c r="I86" i="59"/>
  <c r="J86" i="59" s="1"/>
  <c r="I88" i="59"/>
  <c r="J88" i="59" s="1"/>
  <c r="I20" i="57"/>
  <c r="J20" i="57" s="1"/>
  <c r="I91" i="57"/>
  <c r="J91" i="57" s="1"/>
  <c r="I95" i="57"/>
  <c r="J95" i="57" s="1"/>
  <c r="I111" i="57"/>
  <c r="J111" i="57" s="1"/>
  <c r="I13" i="58"/>
  <c r="J13" i="58" s="1"/>
  <c r="I15" i="58"/>
  <c r="J15" i="58" s="1"/>
  <c r="I17" i="58"/>
  <c r="J17" i="58" s="1"/>
  <c r="I19" i="58"/>
  <c r="J19" i="58" s="1"/>
  <c r="I21" i="58"/>
  <c r="J21" i="58" s="1"/>
  <c r="I78" i="58"/>
  <c r="J78" i="58" s="1"/>
  <c r="I96" i="58"/>
  <c r="J96" i="58" s="1"/>
  <c r="I100" i="58"/>
  <c r="J100" i="58" s="1"/>
  <c r="I104" i="58"/>
  <c r="J104" i="58" s="1"/>
  <c r="I99" i="55"/>
  <c r="J99" i="55" s="1"/>
  <c r="I18" i="55"/>
  <c r="J18" i="55" s="1"/>
  <c r="I101" i="55"/>
  <c r="J101" i="55" s="1"/>
  <c r="I103" i="55"/>
  <c r="J103" i="55" s="1"/>
  <c r="I107" i="55"/>
  <c r="J107" i="55" s="1"/>
  <c r="I109" i="55"/>
  <c r="J109" i="55" s="1"/>
  <c r="I20" i="54"/>
  <c r="J20" i="54" s="1"/>
  <c r="I92" i="54"/>
  <c r="J92" i="54" s="1"/>
  <c r="I94" i="54"/>
  <c r="J94" i="54" s="1"/>
  <c r="I108" i="54"/>
  <c r="J108" i="54" s="1"/>
  <c r="I91" i="54"/>
  <c r="J91" i="54" s="1"/>
  <c r="I93" i="54"/>
  <c r="J93" i="54" s="1"/>
  <c r="I95" i="54"/>
  <c r="J95" i="54" s="1"/>
  <c r="I105" i="54"/>
  <c r="J105" i="54" s="1"/>
  <c r="I107" i="54"/>
  <c r="J107" i="54" s="1"/>
  <c r="I111" i="54"/>
  <c r="J111" i="54" s="1"/>
  <c r="I15" i="53"/>
  <c r="J15" i="53" s="1"/>
  <c r="I77" i="53"/>
  <c r="J77" i="53" s="1"/>
  <c r="I87" i="53"/>
  <c r="J87" i="53" s="1"/>
  <c r="I89" i="53"/>
  <c r="J89" i="53" s="1"/>
  <c r="I93" i="53"/>
  <c r="J93" i="53" s="1"/>
  <c r="I105" i="53"/>
  <c r="J105" i="53" s="1"/>
  <c r="I109" i="53"/>
  <c r="J109" i="53" s="1"/>
  <c r="I94" i="53"/>
  <c r="J94" i="53" s="1"/>
  <c r="I21" i="52"/>
  <c r="J21" i="52" s="1"/>
  <c r="I31" i="52"/>
  <c r="J31" i="52" s="1"/>
  <c r="I104" i="52"/>
  <c r="J104" i="52" s="1"/>
  <c r="I108" i="52"/>
  <c r="J108" i="52" s="1"/>
  <c r="I20" i="62"/>
  <c r="J20" i="62" s="1"/>
  <c r="I84" i="62"/>
  <c r="J84" i="62" s="1"/>
  <c r="I88" i="62"/>
  <c r="J88" i="62" s="1"/>
  <c r="I19" i="63"/>
  <c r="J19" i="63" s="1"/>
  <c r="I78" i="63"/>
  <c r="J78" i="63" s="1"/>
  <c r="I18" i="63"/>
  <c r="J18" i="63" s="1"/>
  <c r="I89" i="63"/>
  <c r="J89" i="63" s="1"/>
  <c r="I14" i="61"/>
  <c r="J14" i="61" s="1"/>
  <c r="I101" i="61"/>
  <c r="J101" i="61" s="1"/>
  <c r="I109" i="61"/>
  <c r="J109" i="61" s="1"/>
  <c r="I17" i="61"/>
  <c r="J17" i="61" s="1"/>
  <c r="I94" i="61"/>
  <c r="J94" i="61" s="1"/>
  <c r="I98" i="61"/>
  <c r="J98" i="61" s="1"/>
  <c r="I102" i="61"/>
  <c r="J102" i="61" s="1"/>
  <c r="I104" i="61"/>
  <c r="J104" i="61" s="1"/>
  <c r="I108" i="61"/>
  <c r="J108" i="61" s="1"/>
  <c r="I13" i="59"/>
  <c r="J13" i="59" s="1"/>
  <c r="I90" i="59"/>
  <c r="J90" i="59" s="1"/>
  <c r="I95" i="59"/>
  <c r="J95" i="59" s="1"/>
  <c r="I80" i="60"/>
  <c r="J80" i="60" s="1"/>
  <c r="I88" i="60"/>
  <c r="J88" i="60" s="1"/>
  <c r="I100" i="60"/>
  <c r="J100" i="60" s="1"/>
  <c r="I102" i="60"/>
  <c r="J102" i="60" s="1"/>
  <c r="I14" i="60"/>
  <c r="J14" i="60" s="1"/>
  <c r="I99" i="60"/>
  <c r="J99" i="60" s="1"/>
  <c r="I103" i="60"/>
  <c r="J103" i="60" s="1"/>
  <c r="I82" i="57"/>
  <c r="J82" i="57" s="1"/>
  <c r="I98" i="57"/>
  <c r="J98" i="57" s="1"/>
  <c r="I14" i="57"/>
  <c r="J14" i="57" s="1"/>
  <c r="I16" i="57"/>
  <c r="J16" i="57" s="1"/>
  <c r="I85" i="57"/>
  <c r="J85" i="57" s="1"/>
  <c r="I87" i="57"/>
  <c r="J87" i="57" s="1"/>
  <c r="I89" i="57"/>
  <c r="J89" i="57" s="1"/>
  <c r="I99" i="57"/>
  <c r="J99" i="57" s="1"/>
  <c r="I101" i="57"/>
  <c r="J101" i="57" s="1"/>
  <c r="I103" i="57"/>
  <c r="J103" i="57" s="1"/>
  <c r="I107" i="57"/>
  <c r="J107" i="57" s="1"/>
  <c r="I109" i="57"/>
  <c r="J109" i="57" s="1"/>
  <c r="I89" i="58"/>
  <c r="J89" i="58" s="1"/>
  <c r="I93" i="58"/>
  <c r="J93" i="58" s="1"/>
  <c r="I91" i="55"/>
  <c r="J91" i="55" s="1"/>
  <c r="I12" i="55"/>
  <c r="J12" i="55" s="1"/>
  <c r="I102" i="55"/>
  <c r="J102" i="55" s="1"/>
  <c r="I106" i="55"/>
  <c r="J106" i="55" s="1"/>
  <c r="I13" i="55"/>
  <c r="J13" i="55" s="1"/>
  <c r="I14" i="55"/>
  <c r="J14" i="55" s="1"/>
  <c r="I84" i="55"/>
  <c r="J84" i="55" s="1"/>
  <c r="I86" i="55"/>
  <c r="J86" i="55" s="1"/>
  <c r="I88" i="55"/>
  <c r="J88" i="55" s="1"/>
  <c r="I90" i="55"/>
  <c r="J90" i="55" s="1"/>
  <c r="I96" i="55"/>
  <c r="J96" i="55" s="1"/>
  <c r="I14" i="53"/>
  <c r="J14" i="53" s="1"/>
  <c r="I88" i="53"/>
  <c r="J88" i="53" s="1"/>
  <c r="I103" i="52"/>
  <c r="J103" i="52" s="1"/>
  <c r="I106" i="59"/>
  <c r="J106" i="59" s="1"/>
  <c r="I92" i="62"/>
  <c r="J92" i="62" s="1"/>
  <c r="I111" i="62"/>
  <c r="J111" i="62" s="1"/>
  <c r="I87" i="62"/>
  <c r="J87" i="62" s="1"/>
  <c r="I106" i="62"/>
  <c r="J106" i="62" s="1"/>
  <c r="I83" i="62"/>
  <c r="J83" i="62" s="1"/>
  <c r="I16" i="62"/>
  <c r="J16" i="62" s="1"/>
  <c r="I17" i="62"/>
  <c r="J17" i="62" s="1"/>
  <c r="I82" i="62"/>
  <c r="J82" i="62" s="1"/>
  <c r="I90" i="62"/>
  <c r="J90" i="62" s="1"/>
  <c r="I99" i="62"/>
  <c r="J99" i="62" s="1"/>
  <c r="I108" i="62"/>
  <c r="J108" i="62" s="1"/>
  <c r="I110" i="62"/>
  <c r="J110" i="62" s="1"/>
  <c r="I101" i="63"/>
  <c r="J101" i="63" s="1"/>
  <c r="G112" i="63"/>
  <c r="C4" i="63" s="1"/>
  <c r="I81" i="63"/>
  <c r="J81" i="63" s="1"/>
  <c r="I90" i="63"/>
  <c r="J90" i="63" s="1"/>
  <c r="I86" i="63"/>
  <c r="J86" i="63" s="1"/>
  <c r="I87" i="63"/>
  <c r="J87" i="63" s="1"/>
  <c r="I88" i="63"/>
  <c r="J88" i="63" s="1"/>
  <c r="I97" i="63"/>
  <c r="J97" i="63" s="1"/>
  <c r="I99" i="63"/>
  <c r="J99" i="63" s="1"/>
  <c r="I105" i="63"/>
  <c r="J105" i="63" s="1"/>
  <c r="I111" i="63"/>
  <c r="J111" i="63" s="1"/>
  <c r="I96" i="61"/>
  <c r="J96" i="61" s="1"/>
  <c r="I92" i="61"/>
  <c r="J92" i="61" s="1"/>
  <c r="G112" i="61"/>
  <c r="C4" i="61" s="1"/>
  <c r="I13" i="61"/>
  <c r="J13" i="61" s="1"/>
  <c r="I19" i="61"/>
  <c r="J19" i="61" s="1"/>
  <c r="I20" i="61"/>
  <c r="J20" i="61" s="1"/>
  <c r="I84" i="61"/>
  <c r="J84" i="61" s="1"/>
  <c r="I89" i="61"/>
  <c r="J89" i="61" s="1"/>
  <c r="I90" i="61"/>
  <c r="J90" i="61" s="1"/>
  <c r="I91" i="61"/>
  <c r="J91" i="61" s="1"/>
  <c r="I100" i="61"/>
  <c r="J100" i="61" s="1"/>
  <c r="I106" i="61"/>
  <c r="J106" i="61" s="1"/>
  <c r="I110" i="61"/>
  <c r="J110" i="61" s="1"/>
  <c r="I110" i="59"/>
  <c r="J110" i="59" s="1"/>
  <c r="I17" i="59"/>
  <c r="J17" i="59" s="1"/>
  <c r="I102" i="59"/>
  <c r="J102" i="59" s="1"/>
  <c r="I105" i="59"/>
  <c r="J105" i="59" s="1"/>
  <c r="I80" i="59"/>
  <c r="J80" i="59" s="1"/>
  <c r="I81" i="59"/>
  <c r="J81" i="59" s="1"/>
  <c r="I100" i="59"/>
  <c r="J100" i="59" s="1"/>
  <c r="I108" i="59"/>
  <c r="J108" i="59" s="1"/>
  <c r="H112" i="60"/>
  <c r="C5" i="60" s="1"/>
  <c r="I84" i="60"/>
  <c r="J84" i="60" s="1"/>
  <c r="I86" i="60"/>
  <c r="J86" i="60" s="1"/>
  <c r="I87" i="60"/>
  <c r="J87" i="60" s="1"/>
  <c r="I89" i="60"/>
  <c r="J89" i="60" s="1"/>
  <c r="I90" i="60"/>
  <c r="J90" i="60" s="1"/>
  <c r="I111" i="60"/>
  <c r="J111" i="60" s="1"/>
  <c r="I79" i="60"/>
  <c r="J79" i="60" s="1"/>
  <c r="I81" i="60"/>
  <c r="J81" i="60" s="1"/>
  <c r="I82" i="60"/>
  <c r="J82" i="60" s="1"/>
  <c r="I91" i="60"/>
  <c r="J91" i="60" s="1"/>
  <c r="I108" i="60"/>
  <c r="J108" i="60" s="1"/>
  <c r="I109" i="60"/>
  <c r="J109" i="60" s="1"/>
  <c r="I110" i="60"/>
  <c r="J110" i="60" s="1"/>
  <c r="I17" i="57"/>
  <c r="J17" i="57" s="1"/>
  <c r="I18" i="57"/>
  <c r="J18" i="57" s="1"/>
  <c r="I83" i="57"/>
  <c r="J83" i="57" s="1"/>
  <c r="I90" i="57"/>
  <c r="J90" i="57" s="1"/>
  <c r="I92" i="57"/>
  <c r="J92" i="57" s="1"/>
  <c r="I93" i="57"/>
  <c r="J93" i="57" s="1"/>
  <c r="I94" i="57"/>
  <c r="J94" i="57" s="1"/>
  <c r="I96" i="57"/>
  <c r="J96" i="57" s="1"/>
  <c r="I19" i="57"/>
  <c r="J19" i="57" s="1"/>
  <c r="I97" i="57"/>
  <c r="J97" i="57" s="1"/>
  <c r="I94" i="58"/>
  <c r="J94" i="58" s="1"/>
  <c r="I16" i="58"/>
  <c r="J16" i="58" s="1"/>
  <c r="I20" i="58"/>
  <c r="J20" i="58" s="1"/>
  <c r="I77" i="58"/>
  <c r="J77" i="58" s="1"/>
  <c r="I101" i="58"/>
  <c r="J101" i="58" s="1"/>
  <c r="I71" i="58"/>
  <c r="J71" i="58" s="1"/>
  <c r="I72" i="58"/>
  <c r="J72" i="58" s="1"/>
  <c r="I86" i="58"/>
  <c r="J86" i="58" s="1"/>
  <c r="I91" i="58"/>
  <c r="J91" i="58" s="1"/>
  <c r="I92" i="58"/>
  <c r="J92" i="58" s="1"/>
  <c r="I106" i="58"/>
  <c r="J106" i="58" s="1"/>
  <c r="I108" i="58"/>
  <c r="J108" i="58" s="1"/>
  <c r="I109" i="58"/>
  <c r="J109" i="58" s="1"/>
  <c r="I111" i="58"/>
  <c r="J111" i="58" s="1"/>
  <c r="I95" i="55"/>
  <c r="J95" i="55" s="1"/>
  <c r="I104" i="55"/>
  <c r="J104" i="55" s="1"/>
  <c r="I17" i="55"/>
  <c r="J17" i="55" s="1"/>
  <c r="I87" i="55"/>
  <c r="J87" i="55" s="1"/>
  <c r="I92" i="55"/>
  <c r="J92" i="55" s="1"/>
  <c r="I93" i="55"/>
  <c r="J93" i="55" s="1"/>
  <c r="I108" i="55"/>
  <c r="J108" i="55" s="1"/>
  <c r="I110" i="55"/>
  <c r="J110" i="55" s="1"/>
  <c r="I111" i="55"/>
  <c r="J111" i="55" s="1"/>
  <c r="I16" i="54"/>
  <c r="J16" i="54" s="1"/>
  <c r="I110" i="54"/>
  <c r="J110" i="54" s="1"/>
  <c r="I90" i="54"/>
  <c r="J90" i="54" s="1"/>
  <c r="I12" i="54"/>
  <c r="J12" i="54" s="1"/>
  <c r="I14" i="54"/>
  <c r="J14" i="54" s="1"/>
  <c r="I82" i="54"/>
  <c r="J82" i="54" s="1"/>
  <c r="I83" i="54"/>
  <c r="J83" i="54" s="1"/>
  <c r="I85" i="54"/>
  <c r="J85" i="54" s="1"/>
  <c r="I86" i="54"/>
  <c r="J86" i="54" s="1"/>
  <c r="I87" i="54"/>
  <c r="J87" i="54" s="1"/>
  <c r="I88" i="54"/>
  <c r="J88" i="54" s="1"/>
  <c r="I102" i="54"/>
  <c r="J102" i="54" s="1"/>
  <c r="I104" i="54"/>
  <c r="J104" i="54" s="1"/>
  <c r="I85" i="53"/>
  <c r="J85" i="53" s="1"/>
  <c r="I78" i="53"/>
  <c r="J78" i="53" s="1"/>
  <c r="I81" i="53"/>
  <c r="J81" i="53" s="1"/>
  <c r="I83" i="53"/>
  <c r="J83" i="53" s="1"/>
  <c r="I90" i="53"/>
  <c r="J90" i="53" s="1"/>
  <c r="I95" i="53"/>
  <c r="J95" i="53" s="1"/>
  <c r="I96" i="53"/>
  <c r="J96" i="53" s="1"/>
  <c r="I97" i="53"/>
  <c r="J97" i="53" s="1"/>
  <c r="I110" i="53"/>
  <c r="J110" i="53" s="1"/>
  <c r="I84" i="53"/>
  <c r="J84" i="53" s="1"/>
  <c r="I100" i="53"/>
  <c r="J100" i="53" s="1"/>
  <c r="I101" i="53"/>
  <c r="J101" i="53" s="1"/>
  <c r="I103" i="53"/>
  <c r="J103" i="53" s="1"/>
  <c r="I27" i="52"/>
  <c r="J27" i="52" s="1"/>
  <c r="I29" i="52"/>
  <c r="J29" i="52" s="1"/>
  <c r="I101" i="52"/>
  <c r="J101" i="52" s="1"/>
  <c r="I19" i="52"/>
  <c r="J19" i="52" s="1"/>
  <c r="I15" i="52"/>
  <c r="J15" i="52" s="1"/>
  <c r="I17" i="52"/>
  <c r="J17" i="52" s="1"/>
  <c r="I86" i="62"/>
  <c r="J86" i="62" s="1"/>
  <c r="I12" i="63"/>
  <c r="J12" i="63" s="1"/>
  <c r="I102" i="63"/>
  <c r="J102" i="63" s="1"/>
  <c r="I106" i="63"/>
  <c r="J106" i="63" s="1"/>
  <c r="I82" i="63"/>
  <c r="J82" i="63" s="1"/>
  <c r="I110" i="63"/>
  <c r="J110" i="63" s="1"/>
  <c r="I98" i="63"/>
  <c r="J98" i="63" s="1"/>
  <c r="I17" i="63"/>
  <c r="J17" i="63" s="1"/>
  <c r="I79" i="63"/>
  <c r="J79" i="63" s="1"/>
  <c r="I91" i="63"/>
  <c r="J91" i="63" s="1"/>
  <c r="I94" i="63"/>
  <c r="J94" i="63" s="1"/>
  <c r="I95" i="63"/>
  <c r="J95" i="63" s="1"/>
  <c r="I96" i="63"/>
  <c r="J96" i="63" s="1"/>
  <c r="I100" i="63"/>
  <c r="J100" i="63" s="1"/>
  <c r="I15" i="61"/>
  <c r="J15" i="61" s="1"/>
  <c r="I86" i="61"/>
  <c r="J86" i="61" s="1"/>
  <c r="I87" i="61"/>
  <c r="J87" i="61" s="1"/>
  <c r="I95" i="61"/>
  <c r="J95" i="61" s="1"/>
  <c r="I99" i="61"/>
  <c r="J99" i="61" s="1"/>
  <c r="I15" i="59"/>
  <c r="J15" i="59" s="1"/>
  <c r="I91" i="59"/>
  <c r="J91" i="59" s="1"/>
  <c r="I92" i="59"/>
  <c r="J92" i="59" s="1"/>
  <c r="I93" i="59"/>
  <c r="J93" i="59" s="1"/>
  <c r="I97" i="59"/>
  <c r="J97" i="59" s="1"/>
  <c r="I14" i="59"/>
  <c r="J14" i="59" s="1"/>
  <c r="I83" i="59"/>
  <c r="J83" i="59" s="1"/>
  <c r="I84" i="59"/>
  <c r="J84" i="59" s="1"/>
  <c r="I87" i="59"/>
  <c r="J87" i="59" s="1"/>
  <c r="I89" i="59"/>
  <c r="J89" i="59" s="1"/>
  <c r="I96" i="59"/>
  <c r="J96" i="59" s="1"/>
  <c r="I99" i="59"/>
  <c r="J99" i="59" s="1"/>
  <c r="I101" i="59"/>
  <c r="J101" i="59" s="1"/>
  <c r="I103" i="59"/>
  <c r="J103" i="59" s="1"/>
  <c r="I104" i="59"/>
  <c r="J104" i="59" s="1"/>
  <c r="I107" i="59"/>
  <c r="J107" i="59" s="1"/>
  <c r="I111" i="59"/>
  <c r="J111" i="59" s="1"/>
  <c r="I13" i="60"/>
  <c r="J13" i="60" s="1"/>
  <c r="I16" i="60"/>
  <c r="J16" i="60" s="1"/>
  <c r="I93" i="60"/>
  <c r="J93" i="60" s="1"/>
  <c r="I94" i="60"/>
  <c r="J94" i="60" s="1"/>
  <c r="I97" i="60"/>
  <c r="J97" i="60" s="1"/>
  <c r="I98" i="60"/>
  <c r="J98" i="60" s="1"/>
  <c r="I101" i="60"/>
  <c r="J101" i="60" s="1"/>
  <c r="G112" i="57"/>
  <c r="C4" i="57" s="1"/>
  <c r="I80" i="57"/>
  <c r="J80" i="57" s="1"/>
  <c r="I108" i="57"/>
  <c r="J108" i="57" s="1"/>
  <c r="H112" i="57"/>
  <c r="C5" i="57" s="1"/>
  <c r="I12" i="57"/>
  <c r="J12" i="57" s="1"/>
  <c r="I13" i="57"/>
  <c r="J13" i="57" s="1"/>
  <c r="I81" i="57"/>
  <c r="J81" i="57" s="1"/>
  <c r="I84" i="57"/>
  <c r="J84" i="57" s="1"/>
  <c r="I88" i="57"/>
  <c r="J88" i="57" s="1"/>
  <c r="I104" i="57"/>
  <c r="J104" i="57" s="1"/>
  <c r="I105" i="57"/>
  <c r="J105" i="57" s="1"/>
  <c r="H112" i="58"/>
  <c r="C5" i="58" s="1"/>
  <c r="I14" i="58"/>
  <c r="J14" i="58" s="1"/>
  <c r="I18" i="58"/>
  <c r="J18" i="58" s="1"/>
  <c r="I79" i="58"/>
  <c r="J79" i="58" s="1"/>
  <c r="I80" i="58"/>
  <c r="J80" i="58" s="1"/>
  <c r="I90" i="58"/>
  <c r="J90" i="58" s="1"/>
  <c r="I102" i="58"/>
  <c r="J102" i="58" s="1"/>
  <c r="I98" i="58"/>
  <c r="J98" i="58" s="1"/>
  <c r="I74" i="58"/>
  <c r="J74" i="58" s="1"/>
  <c r="I75" i="58"/>
  <c r="J75" i="58" s="1"/>
  <c r="I76" i="58"/>
  <c r="J76" i="58" s="1"/>
  <c r="I82" i="58"/>
  <c r="J82" i="58" s="1"/>
  <c r="I83" i="58"/>
  <c r="J83" i="58" s="1"/>
  <c r="I84" i="58"/>
  <c r="J84" i="58" s="1"/>
  <c r="I88" i="58"/>
  <c r="J88" i="58" s="1"/>
  <c r="I95" i="58"/>
  <c r="J95" i="58" s="1"/>
  <c r="I107" i="58"/>
  <c r="J107" i="58" s="1"/>
  <c r="I110" i="58"/>
  <c r="J110" i="58" s="1"/>
  <c r="H112" i="55"/>
  <c r="C5" i="55" s="1"/>
  <c r="I16" i="55"/>
  <c r="J16" i="55" s="1"/>
  <c r="I19" i="55"/>
  <c r="J19" i="55" s="1"/>
  <c r="I94" i="55"/>
  <c r="J94" i="55" s="1"/>
  <c r="I98" i="55"/>
  <c r="J98" i="55" s="1"/>
  <c r="I103" i="54"/>
  <c r="J103" i="54" s="1"/>
  <c r="I19" i="54"/>
  <c r="J19" i="54" s="1"/>
  <c r="I106" i="54"/>
  <c r="J106" i="54" s="1"/>
  <c r="I15" i="54"/>
  <c r="J15" i="54" s="1"/>
  <c r="I17" i="54"/>
  <c r="J17" i="54" s="1"/>
  <c r="I89" i="54"/>
  <c r="J89" i="54" s="1"/>
  <c r="I96" i="54"/>
  <c r="J96" i="54" s="1"/>
  <c r="I98" i="54"/>
  <c r="J98" i="54" s="1"/>
  <c r="I99" i="54"/>
  <c r="J99" i="54" s="1"/>
  <c r="I101" i="54"/>
  <c r="J101" i="54" s="1"/>
  <c r="I109" i="54"/>
  <c r="J109" i="54" s="1"/>
  <c r="I110" i="52"/>
  <c r="J110" i="52" s="1"/>
  <c r="I79" i="53"/>
  <c r="J79" i="53" s="1"/>
  <c r="I82" i="53"/>
  <c r="J82" i="53" s="1"/>
  <c r="I86" i="53"/>
  <c r="J86" i="53" s="1"/>
  <c r="I92" i="53"/>
  <c r="J92" i="53" s="1"/>
  <c r="I106" i="53"/>
  <c r="J106" i="53" s="1"/>
  <c r="I107" i="53"/>
  <c r="J107" i="53" s="1"/>
  <c r="I108" i="53"/>
  <c r="J108" i="53" s="1"/>
  <c r="I16" i="52"/>
  <c r="J16" i="52" s="1"/>
  <c r="I28" i="52"/>
  <c r="J28" i="52" s="1"/>
  <c r="I22" i="52"/>
  <c r="J22" i="52" s="1"/>
  <c r="I23" i="52"/>
  <c r="J23" i="52" s="1"/>
  <c r="I105" i="52"/>
  <c r="J105" i="52" s="1"/>
  <c r="I20" i="52"/>
  <c r="J20" i="52" s="1"/>
  <c r="I99" i="52"/>
  <c r="J99" i="52" s="1"/>
  <c r="I100" i="52"/>
  <c r="J100" i="52" s="1"/>
  <c r="I107" i="52"/>
  <c r="J107" i="52" s="1"/>
  <c r="I13" i="53"/>
  <c r="J13" i="53" s="1"/>
  <c r="I74" i="53"/>
  <c r="J74" i="53" s="1"/>
  <c r="I75" i="53"/>
  <c r="J75" i="53" s="1"/>
  <c r="I76" i="53"/>
  <c r="J76" i="53" s="1"/>
  <c r="I80" i="53"/>
  <c r="J80" i="53" s="1"/>
  <c r="I91" i="53"/>
  <c r="J91" i="53" s="1"/>
  <c r="I98" i="53"/>
  <c r="J98" i="53" s="1"/>
  <c r="I99" i="53"/>
  <c r="J99" i="53" s="1"/>
  <c r="I102" i="53"/>
  <c r="J102" i="53" s="1"/>
  <c r="I104" i="53"/>
  <c r="J104" i="53" s="1"/>
  <c r="I111" i="53"/>
  <c r="J111" i="53" s="1"/>
  <c r="I20" i="63"/>
  <c r="J20" i="63" s="1"/>
  <c r="H112" i="61"/>
  <c r="C5" i="61" s="1"/>
  <c r="I12" i="53"/>
  <c r="J12" i="53" s="1"/>
  <c r="I12" i="58"/>
  <c r="J12" i="58" s="1"/>
  <c r="G112" i="60"/>
  <c r="C4" i="60" s="1"/>
  <c r="G112" i="53"/>
  <c r="C4" i="53" s="1"/>
  <c r="I12" i="52"/>
  <c r="J12" i="52" s="1"/>
  <c r="I12" i="60"/>
  <c r="J12" i="60" s="1"/>
  <c r="I107" i="61"/>
  <c r="J107" i="61" s="1"/>
  <c r="I111" i="61"/>
  <c r="J111" i="61" s="1"/>
  <c r="I93" i="62"/>
  <c r="J93" i="62" s="1"/>
  <c r="I109" i="62"/>
  <c r="J109" i="62" s="1"/>
  <c r="I12" i="61"/>
  <c r="J12" i="61" s="1"/>
  <c r="I19" i="62"/>
  <c r="J19" i="62" s="1"/>
  <c r="I89" i="62"/>
  <c r="J89" i="62" s="1"/>
  <c r="I105" i="62"/>
  <c r="J105" i="62" s="1"/>
  <c r="G112" i="62"/>
  <c r="C4" i="62" s="1"/>
  <c r="I12" i="62"/>
  <c r="J12" i="62" s="1"/>
  <c r="I15" i="62"/>
  <c r="J15" i="62" s="1"/>
  <c r="I85" i="62"/>
  <c r="J85" i="62" s="1"/>
  <c r="I101" i="62"/>
  <c r="J101" i="62" s="1"/>
  <c r="H112" i="62"/>
  <c r="C5" i="62" s="1"/>
  <c r="H112" i="63"/>
  <c r="C5" i="63" s="1"/>
  <c r="G112" i="59"/>
  <c r="C4" i="59" s="1"/>
  <c r="H112" i="59"/>
  <c r="C5" i="59" s="1"/>
  <c r="H112" i="54"/>
  <c r="C5" i="54" s="1"/>
  <c r="I18" i="54"/>
  <c r="J18" i="54" s="1"/>
  <c r="I13" i="54"/>
  <c r="J13" i="54" s="1"/>
  <c r="I81" i="54"/>
  <c r="J81" i="54" s="1"/>
  <c r="I84" i="54"/>
  <c r="J84" i="54" s="1"/>
  <c r="I97" i="54"/>
  <c r="J97" i="54" s="1"/>
  <c r="I100" i="54"/>
  <c r="J100" i="54" s="1"/>
  <c r="G112" i="55"/>
  <c r="C4" i="55" s="1"/>
  <c r="I89" i="55"/>
  <c r="J89" i="55" s="1"/>
  <c r="I105" i="55"/>
  <c r="J105" i="55" s="1"/>
  <c r="G112" i="54"/>
  <c r="C4" i="54" s="1"/>
  <c r="I15" i="55"/>
  <c r="J15" i="55" s="1"/>
  <c r="I85" i="55"/>
  <c r="J85" i="55" s="1"/>
  <c r="I97" i="55"/>
  <c r="J97" i="55" s="1"/>
  <c r="I32" i="52"/>
  <c r="J32" i="52" s="1"/>
  <c r="H112" i="53"/>
  <c r="C5" i="53" s="1"/>
  <c r="H112" i="52"/>
  <c r="C5" i="52" s="1"/>
  <c r="I14" i="52"/>
  <c r="J14" i="52" s="1"/>
  <c r="I24" i="52"/>
  <c r="J24" i="52" s="1"/>
  <c r="I26" i="52"/>
  <c r="J26" i="52" s="1"/>
  <c r="I13" i="52"/>
  <c r="J13" i="52" s="1"/>
  <c r="I18" i="52"/>
  <c r="J18" i="52" s="1"/>
  <c r="I25" i="52"/>
  <c r="J25" i="52" s="1"/>
  <c r="I30" i="52"/>
  <c r="J30" i="52" s="1"/>
  <c r="I98" i="52"/>
  <c r="J98" i="52" s="1"/>
  <c r="I106" i="52"/>
  <c r="J106" i="52" s="1"/>
  <c r="I109" i="52"/>
  <c r="J109" i="52" s="1"/>
  <c r="I111" i="52"/>
  <c r="J111" i="52" s="1"/>
  <c r="I102" i="52"/>
  <c r="J102" i="52" s="1"/>
  <c r="G112" i="52"/>
  <c r="C4" i="52" s="1"/>
  <c r="G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H12" i="3"/>
  <c r="J112" i="60" l="1"/>
  <c r="J112" i="61"/>
  <c r="J112" i="62"/>
  <c r="D20" i="1" s="1"/>
  <c r="J112" i="63"/>
  <c r="D19" i="1" s="1"/>
  <c r="J112" i="59"/>
  <c r="J112" i="57"/>
  <c r="J112" i="58"/>
  <c r="J112" i="55"/>
  <c r="D13" i="1" s="1"/>
  <c r="J112" i="54"/>
  <c r="J112" i="53"/>
  <c r="J112" i="52"/>
  <c r="D17" i="1"/>
  <c r="I112" i="59"/>
  <c r="C6" i="59" s="1"/>
  <c r="C17" i="1" s="1"/>
  <c r="I112" i="57"/>
  <c r="C6" i="57" s="1"/>
  <c r="C15" i="1" s="1"/>
  <c r="I23" i="3"/>
  <c r="J23" i="3" s="1"/>
  <c r="I36" i="3"/>
  <c r="J36" i="3" s="1"/>
  <c r="I28" i="3"/>
  <c r="J28" i="3" s="1"/>
  <c r="I24" i="3"/>
  <c r="J24" i="3" s="1"/>
  <c r="I33" i="3"/>
  <c r="J33" i="3" s="1"/>
  <c r="I29" i="3"/>
  <c r="J29" i="3" s="1"/>
  <c r="I20" i="3"/>
  <c r="J20" i="3" s="1"/>
  <c r="I55" i="3"/>
  <c r="J55" i="3" s="1"/>
  <c r="I53" i="3"/>
  <c r="J53" i="3" s="1"/>
  <c r="I49" i="3"/>
  <c r="J49" i="3" s="1"/>
  <c r="I47" i="3"/>
  <c r="J47" i="3" s="1"/>
  <c r="I43" i="3"/>
  <c r="J43" i="3" s="1"/>
  <c r="I41" i="3"/>
  <c r="J41" i="3" s="1"/>
  <c r="I39" i="3"/>
  <c r="J39" i="3" s="1"/>
  <c r="I58" i="3"/>
  <c r="J58" i="3" s="1"/>
  <c r="I112" i="63"/>
  <c r="C6" i="63" s="1"/>
  <c r="C19" i="1" s="1"/>
  <c r="D15" i="1"/>
  <c r="I16" i="3"/>
  <c r="J16" i="3" s="1"/>
  <c r="I52" i="3"/>
  <c r="J52" i="3" s="1"/>
  <c r="D11" i="1"/>
  <c r="I51" i="3"/>
  <c r="J51" i="3" s="1"/>
  <c r="I44" i="3"/>
  <c r="J44" i="3" s="1"/>
  <c r="I40" i="3"/>
  <c r="J40" i="3" s="1"/>
  <c r="I32" i="3"/>
  <c r="J32" i="3" s="1"/>
  <c r="I17" i="3"/>
  <c r="J17" i="3" s="1"/>
  <c r="I15" i="3"/>
  <c r="J15" i="3" s="1"/>
  <c r="I112" i="58"/>
  <c r="I112" i="53"/>
  <c r="C6" i="53" s="1"/>
  <c r="I112" i="62"/>
  <c r="C6" i="62" s="1"/>
  <c r="I112" i="61"/>
  <c r="C6" i="61" s="1"/>
  <c r="D18" i="1"/>
  <c r="D16" i="1"/>
  <c r="I112" i="60"/>
  <c r="C6" i="60" s="1"/>
  <c r="D12" i="1"/>
  <c r="I112" i="55"/>
  <c r="C6" i="55" s="1"/>
  <c r="C13" i="1" s="1"/>
  <c r="I112" i="54"/>
  <c r="C6" i="54" s="1"/>
  <c r="C12" i="1" s="1"/>
  <c r="D10" i="1"/>
  <c r="I112" i="52"/>
  <c r="C6" i="52" s="1"/>
  <c r="I60" i="3"/>
  <c r="J60" i="3" s="1"/>
  <c r="I56" i="3"/>
  <c r="J56" i="3" s="1"/>
  <c r="I45" i="3"/>
  <c r="J45" i="3" s="1"/>
  <c r="I31" i="3"/>
  <c r="J31" i="3" s="1"/>
  <c r="I27" i="3"/>
  <c r="J27" i="3" s="1"/>
  <c r="I25" i="3"/>
  <c r="J25" i="3" s="1"/>
  <c r="I26" i="3"/>
  <c r="J26" i="3" s="1"/>
  <c r="I21" i="3"/>
  <c r="J21" i="3" s="1"/>
  <c r="I19" i="3"/>
  <c r="J19" i="3" s="1"/>
  <c r="I59" i="3"/>
  <c r="J59" i="3" s="1"/>
  <c r="I57" i="3"/>
  <c r="J57" i="3" s="1"/>
  <c r="I48" i="3"/>
  <c r="J48" i="3" s="1"/>
  <c r="I42" i="3"/>
  <c r="J42" i="3" s="1"/>
  <c r="I37" i="3"/>
  <c r="J37" i="3" s="1"/>
  <c r="I35" i="3"/>
  <c r="J35" i="3" s="1"/>
  <c r="I13" i="3"/>
  <c r="J13" i="3" s="1"/>
  <c r="I46" i="3"/>
  <c r="J46" i="3" s="1"/>
  <c r="I30" i="3"/>
  <c r="J30" i="3" s="1"/>
  <c r="I14" i="3"/>
  <c r="J14" i="3" s="1"/>
  <c r="I50" i="3"/>
  <c r="J50" i="3" s="1"/>
  <c r="I34" i="3"/>
  <c r="J34" i="3" s="1"/>
  <c r="I18" i="3"/>
  <c r="J18" i="3" s="1"/>
  <c r="I54" i="3"/>
  <c r="J54" i="3" s="1"/>
  <c r="I38" i="3"/>
  <c r="J38" i="3" s="1"/>
  <c r="I22" i="3"/>
  <c r="J22" i="3" s="1"/>
  <c r="C8" i="63" l="1"/>
  <c r="B19" i="1" s="1"/>
  <c r="C8" i="59"/>
  <c r="B17" i="1" s="1"/>
  <c r="C8" i="57"/>
  <c r="B15" i="1" s="1"/>
  <c r="C6" i="58"/>
  <c r="C14" i="1" s="1"/>
  <c r="C8" i="62"/>
  <c r="B20" i="1" s="1"/>
  <c r="C20" i="1"/>
  <c r="C8" i="61"/>
  <c r="B18" i="1" s="1"/>
  <c r="C18" i="1"/>
  <c r="C8" i="60"/>
  <c r="B16" i="1" s="1"/>
  <c r="C16" i="1"/>
  <c r="C8" i="53"/>
  <c r="B11" i="1" s="1"/>
  <c r="C11" i="1"/>
  <c r="C8" i="52"/>
  <c r="B10" i="1" s="1"/>
  <c r="C10" i="1"/>
  <c r="C8" i="54"/>
  <c r="B12" i="1" s="1"/>
  <c r="C8" i="55"/>
  <c r="B13" i="1" s="1"/>
  <c r="C9" i="3"/>
  <c r="C8" i="58" l="1"/>
  <c r="B14" i="1" s="1"/>
  <c r="D14" i="1"/>
  <c r="F112" i="3"/>
  <c r="E112" i="3"/>
  <c r="C112" i="3"/>
  <c r="I12" i="3" l="1"/>
  <c r="J12" i="3" s="1"/>
  <c r="J112" i="3" s="1"/>
  <c r="G112" i="3" l="1"/>
  <c r="C4" i="3" s="1"/>
  <c r="H112" i="3" l="1"/>
  <c r="I112" i="3"/>
  <c r="C6" i="3" s="1"/>
  <c r="C9" i="1" s="1"/>
  <c r="C5" i="3" l="1"/>
  <c r="C24" i="1" l="1"/>
  <c r="D9" i="1"/>
  <c r="C8" i="3" l="1"/>
  <c r="B9" i="1" s="1"/>
  <c r="B24" i="1" s="1"/>
  <c r="D24" i="1"/>
</calcChain>
</file>

<file path=xl/sharedStrings.xml><?xml version="1.0" encoding="utf-8"?>
<sst xmlns="http://schemas.openxmlformats.org/spreadsheetml/2006/main" count="549" uniqueCount="85">
  <si>
    <t xml:space="preserve">Name </t>
  </si>
  <si>
    <t>Vorname</t>
  </si>
  <si>
    <t>Total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</si>
  <si>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</si>
  <si>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</si>
  <si>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</si>
  <si>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</si>
  <si>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</si>
  <si>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</si>
  <si>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</si>
  <si>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</si>
  <si>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</si>
  <si>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</si>
  <si>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</si>
  <si>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</si>
  <si>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Verantwortliche Person</t>
  </si>
  <si>
    <t>Funktion</t>
  </si>
  <si>
    <t>Auszahlen an</t>
  </si>
  <si>
    <t>IBAN</t>
  </si>
  <si>
    <t xml:space="preserve">Total </t>
  </si>
  <si>
    <t xml:space="preserve">Erziehungsdepartement des Kantons Schaffhausen </t>
  </si>
  <si>
    <t>Telefon</t>
  </si>
  <si>
    <t>E-mail</t>
  </si>
  <si>
    <t>Stichkontrollen der DSFJ sind möglich und zu gewähren.</t>
  </si>
  <si>
    <t>Kontoverbindung</t>
  </si>
  <si>
    <t>Kontonummer</t>
  </si>
  <si>
    <t>Nr.</t>
  </si>
  <si>
    <t>Bemerkung</t>
  </si>
  <si>
    <t>E-Mail</t>
  </si>
  <si>
    <t>Name / Vorname</t>
  </si>
  <si>
    <t>Adresse / Strasse</t>
  </si>
  <si>
    <t>PLZ / Ort</t>
  </si>
  <si>
    <t>Geburtsdatum</t>
  </si>
  <si>
    <t>Anzahl Kinder</t>
  </si>
  <si>
    <t xml:space="preserve">Abrechnung kompakt </t>
  </si>
  <si>
    <t xml:space="preserve">Totalbetrag </t>
  </si>
  <si>
    <t xml:space="preserve">Allgemeine Bemerkungen </t>
  </si>
  <si>
    <t>Einrichtung / Abteilung</t>
  </si>
  <si>
    <t xml:space="preserve"> Hellgrüner und / oder weiss umrahmter Bereich: Eingabebereich Betreuungseinrichtungen</t>
  </si>
  <si>
    <t xml:space="preserve"> Gelber gesperrter Bereich: Kanton Schaffhausen</t>
  </si>
  <si>
    <t xml:space="preserve"> Tage
 (min. 8h)</t>
  </si>
  <si>
    <t>1/2 Tage  (min. 4h)</t>
  </si>
  <si>
    <t>BeGu
1/2 Tag</t>
  </si>
  <si>
    <t>BeGu 
ganzer Tag</t>
  </si>
  <si>
    <t xml:space="preserve">BeGu
Total </t>
  </si>
  <si>
    <r>
      <rPr>
        <sz val="11"/>
        <color theme="1"/>
        <rFont val="Arial"/>
        <family val="2"/>
      </rPr>
      <t>BeGu Total 1/2 Tag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Calibri"/>
        <family val="2"/>
        <scheme val="minor"/>
      </rPr>
      <t/>
    </r>
  </si>
  <si>
    <t>BeGu Total ganzer Tag</t>
  </si>
  <si>
    <t>SHR 860.100 und SHR 860.101</t>
  </si>
  <si>
    <t>Entschädi-
gung</t>
  </si>
  <si>
    <t>Entschädigung</t>
  </si>
  <si>
    <t>Montag</t>
  </si>
  <si>
    <t>Dienstag</t>
  </si>
  <si>
    <t>Mittwoch</t>
  </si>
  <si>
    <t>Donnerstag</t>
  </si>
  <si>
    <t>Freitag</t>
  </si>
  <si>
    <t>Abgleich HT</t>
  </si>
  <si>
    <t>Abgleich GT</t>
  </si>
  <si>
    <t>Total Abrechnung</t>
  </si>
  <si>
    <t>BeGu Abrechnung</t>
  </si>
  <si>
    <t>Admin Aufwand</t>
  </si>
  <si>
    <t>Legende</t>
  </si>
  <si>
    <t>Anzahl abweichende 1/2 Tage</t>
  </si>
  <si>
    <t>Anzahl abweichende ganze Tage</t>
  </si>
  <si>
    <r>
      <t xml:space="preserve">Entweder   </t>
    </r>
    <r>
      <rPr>
        <b/>
        <sz val="36"/>
        <color theme="1"/>
        <rFont val="Calibri"/>
        <family val="2"/>
      </rPr>
      <t xml:space="preserve">↑  </t>
    </r>
    <r>
      <rPr>
        <b/>
        <sz val="25.2"/>
        <color theme="1"/>
        <rFont val="Arial"/>
        <family val="2"/>
      </rPr>
      <t xml:space="preserve"> </t>
    </r>
    <r>
      <rPr>
        <b/>
        <sz val="36"/>
        <color theme="1"/>
        <rFont val="Arial"/>
        <family val="2"/>
      </rPr>
      <t xml:space="preserve">oder   </t>
    </r>
    <r>
      <rPr>
        <b/>
        <sz val="36"/>
        <color theme="1"/>
        <rFont val="Calibri"/>
        <family val="2"/>
      </rPr>
      <t>↓</t>
    </r>
    <r>
      <rPr>
        <b/>
        <sz val="25.2"/>
        <color theme="1"/>
        <rFont val="Arial"/>
        <family val="2"/>
      </rPr>
      <t xml:space="preserve">   </t>
    </r>
    <r>
      <rPr>
        <b/>
        <sz val="36"/>
        <color theme="1"/>
        <rFont val="Arial"/>
        <family val="2"/>
      </rPr>
      <t>ausfüllen!</t>
    </r>
  </si>
  <si>
    <t>-</t>
  </si>
  <si>
    <r>
      <t xml:space="preserve">BeGu </t>
    </r>
    <r>
      <rPr>
        <b/>
        <sz val="11"/>
        <color theme="1"/>
        <rFont val="Arial"/>
        <family val="2"/>
      </rPr>
      <t>Total</t>
    </r>
  </si>
  <si>
    <t>Abrechnungsformular kantonale Betreuungsgutschriften (BeGu) im Vorschulbereich</t>
  </si>
  <si>
    <t>Jan-Juli:</t>
  </si>
  <si>
    <t>Aug-Dez:</t>
  </si>
  <si>
    <t>Stichtage:</t>
  </si>
  <si>
    <t>Ausfüllen, wenn pauschal 4 Wochen (plus Zusatztage) verrechnet werden</t>
  </si>
  <si>
    <t>Ausfüllen, wenn tatsächliche Anzahl Tage im Monat (plus Zusatztage) verrechnet werden
(Zusatztage können farbig markiert werden)</t>
  </si>
  <si>
    <r>
      <rPr>
        <sz val="11"/>
        <color theme="1"/>
        <rFont val="Arial"/>
        <family val="2"/>
      </rPr>
      <t xml:space="preserve">x = </t>
    </r>
    <r>
      <rPr>
        <b/>
        <sz val="11"/>
        <color theme="1"/>
        <rFont val="Arial"/>
        <family val="2"/>
      </rPr>
      <t>ganzer</t>
    </r>
    <r>
      <rPr>
        <sz val="11"/>
        <color theme="1"/>
        <rFont val="Arial"/>
        <family val="2"/>
      </rPr>
      <t xml:space="preserve"> Krippentag (resp. kostenpflichtiger Ferien- / Krankheitstag)</t>
    </r>
  </si>
  <si>
    <t>f = Ferien / Krankheit (kostenfrei)</t>
  </si>
  <si>
    <r>
      <t xml:space="preserve">hT = </t>
    </r>
    <r>
      <rPr>
        <b/>
        <sz val="11"/>
        <color theme="1"/>
        <rFont val="Arial"/>
        <family val="2"/>
      </rPr>
      <t>1/2</t>
    </r>
    <r>
      <rPr>
        <sz val="11"/>
        <color theme="1"/>
        <rFont val="Arial"/>
        <family val="2"/>
      </rPr>
      <t xml:space="preserve"> Krippentag (resp. kostenpflichtiger Ferien- / Krankheitstag)</t>
    </r>
  </si>
  <si>
    <t>1/2 Tage</t>
  </si>
  <si>
    <t>ganze Tage</t>
  </si>
  <si>
    <t>Name</t>
  </si>
  <si>
    <t>Angewiesen am</t>
  </si>
  <si>
    <t>Dienststelle Familie und Jugend</t>
  </si>
  <si>
    <t>dokumente-kjf@sh.ch</t>
  </si>
  <si>
    <r>
      <t xml:space="preserve">Bitte gesamtes File elektronisch übermitteln an: </t>
    </r>
    <r>
      <rPr>
        <b/>
        <u/>
        <sz val="11"/>
        <color rgb="FF0563C1"/>
        <rFont val="Arial"/>
        <family val="2"/>
      </rPr>
      <t>dokumente-kjf@sh.ch</t>
    </r>
  </si>
  <si>
    <t>Frauengasse 12/16</t>
  </si>
  <si>
    <t>Jahresübersicht 2026</t>
  </si>
  <si>
    <t>Total Betreuungsgutschriften durch den Kanton Schaffhausen im Abrechnungsjahr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</si>
</sst>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 &quot;CHF&quot;\ * #,##0.00_ ;_ &quot;CHF&quot;\ * \-#,##0.00_ ;_ &quot;CHF&quot;\ * &quot;-&quot;??_ ;_ @_ "/>
    <numFmt numFmtId="164" formatCode="_-* #,##0.00_-;\-* #,##0.00_-;_-* &quot;-&quot;??_-;_-@_-"/>
    <numFmt numFmtId="165" formatCode="_ [$CHF-807]\ * #,##0.00_ ;_ [$CHF-807]\ * \-#,##0.00_ ;_ [$CHF-807]\ * &quot;-&quot;??_ ;_ @_ "/>
    <numFmt numFmtId="166" formatCode="&quot;CHF&quot;\ #,##0.00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.5"/>
      <color theme="1"/>
      <name val="Arial"/>
      <family val="2"/>
    </font>
    <font>
      <sz val="9.5"/>
      <color theme="1"/>
      <name val="Arial"/>
      <family val="2"/>
    </font>
    <font>
      <b/>
      <sz val="14.5"/>
      <color theme="1"/>
      <name val="Arial"/>
      <family val="2"/>
    </font>
    <font>
      <sz val="10"/>
      <color rgb="FF002060"/>
      <name val="Arial"/>
      <family val="2"/>
    </font>
    <font>
      <u/>
      <sz val="10.5"/>
      <color theme="10"/>
      <name val="Arial"/>
      <family val="2"/>
    </font>
    <font>
      <sz val="10.5"/>
      <name val="Arial"/>
      <family val="2"/>
    </font>
    <font>
      <b/>
      <sz val="36"/>
      <color theme="1"/>
      <name val="Arial"/>
      <family val="2"/>
    </font>
    <font>
      <b/>
      <sz val="36"/>
      <color theme="1"/>
      <name val="Calibri"/>
      <family val="2"/>
    </font>
    <font>
      <b/>
      <sz val="25.2"/>
      <color theme="1"/>
      <name val="Arial"/>
      <family val="2"/>
    </font>
    <font>
      <b/>
      <u/>
      <sz val="11"/>
      <color rgb="FF0563C1"/>
      <name val="Arial"/>
      <family val="2"/>
    </font>
    <font>
      <b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3">
    <xf numFmtId="0" fontId="0" fillId="0" borderId="0" xfId="0"/>
    <xf numFmtId="14" fontId="9" fillId="0" borderId="1" xfId="0" applyNumberFormat="1" applyFont="1" applyBorder="1" applyProtection="1">
      <protection locked="0"/>
    </xf>
    <xf numFmtId="14" fontId="9" fillId="3" borderId="1" xfId="0" applyNumberFormat="1" applyFont="1" applyFill="1" applyBorder="1" applyProtection="1"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9" fillId="0" borderId="40" xfId="0" applyFont="1" applyFill="1" applyBorder="1" applyAlignment="1" applyProtection="1">
      <alignment horizontal="center"/>
      <protection locked="0"/>
    </xf>
    <xf numFmtId="0" fontId="9" fillId="0" borderId="41" xfId="0" applyFont="1" applyFill="1" applyBorder="1" applyAlignment="1" applyProtection="1">
      <alignment horizontal="center"/>
      <protection locked="0"/>
    </xf>
    <xf numFmtId="0" fontId="9" fillId="0" borderId="1" xfId="0" applyFont="1" applyFill="1" applyBorder="1" applyAlignment="1" applyProtection="1">
      <alignment horizontal="center"/>
    </xf>
    <xf numFmtId="0" fontId="9" fillId="0" borderId="5" xfId="0" applyFont="1" applyFill="1" applyBorder="1" applyAlignment="1" applyProtection="1">
      <alignment horizontal="center"/>
    </xf>
    <xf numFmtId="0" fontId="9" fillId="7" borderId="1" xfId="0" applyFont="1" applyFill="1" applyBorder="1" applyAlignment="1" applyProtection="1">
      <alignment horizontal="center"/>
      <protection locked="0"/>
    </xf>
    <xf numFmtId="0" fontId="9" fillId="7" borderId="40" xfId="0" applyFont="1" applyFill="1" applyBorder="1" applyAlignment="1" applyProtection="1">
      <alignment horizontal="center"/>
      <protection locked="0"/>
    </xf>
    <xf numFmtId="0" fontId="9" fillId="0" borderId="23" xfId="0" applyFont="1" applyFill="1" applyBorder="1" applyAlignment="1" applyProtection="1">
      <alignment horizontal="center"/>
      <protection locked="0"/>
    </xf>
    <xf numFmtId="0" fontId="9" fillId="7" borderId="23" xfId="0" applyFont="1" applyFill="1" applyBorder="1" applyAlignment="1" applyProtection="1">
      <alignment horizontal="center"/>
      <protection locked="0"/>
    </xf>
    <xf numFmtId="0" fontId="9" fillId="7" borderId="4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vertical="center"/>
    </xf>
    <xf numFmtId="0" fontId="7" fillId="0" borderId="0" xfId="0" applyFont="1" applyProtection="1"/>
    <xf numFmtId="0" fontId="6" fillId="0" borderId="0" xfId="0" applyFont="1" applyProtection="1"/>
    <xf numFmtId="0" fontId="11" fillId="0" borderId="0" xfId="0" applyFont="1" applyAlignment="1" applyProtection="1">
      <alignment vertical="top" wrapText="1"/>
    </xf>
    <xf numFmtId="0" fontId="6" fillId="0" borderId="0" xfId="0" applyFont="1" applyAlignment="1" applyProtection="1">
      <alignment vertical="center"/>
    </xf>
    <xf numFmtId="0" fontId="11" fillId="0" borderId="0" xfId="0" applyFont="1" applyAlignment="1" applyProtection="1">
      <alignment vertical="center"/>
    </xf>
    <xf numFmtId="0" fontId="11" fillId="0" borderId="0" xfId="0" applyFont="1" applyProtection="1"/>
    <xf numFmtId="0" fontId="15" fillId="0" borderId="0" xfId="2" applyFont="1" applyAlignment="1" applyProtection="1">
      <alignment vertical="center"/>
    </xf>
    <xf numFmtId="22" fontId="6" fillId="0" borderId="0" xfId="0" applyNumberFormat="1" applyFont="1" applyProtection="1"/>
    <xf numFmtId="0" fontId="6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left"/>
    </xf>
    <xf numFmtId="0" fontId="6" fillId="4" borderId="33" xfId="0" applyFont="1" applyFill="1" applyBorder="1" applyProtection="1"/>
    <xf numFmtId="165" fontId="6" fillId="4" borderId="33" xfId="1" applyNumberFormat="1" applyFont="1" applyFill="1" applyBorder="1" applyProtection="1"/>
    <xf numFmtId="14" fontId="6" fillId="6" borderId="33" xfId="1" applyNumberFormat="1" applyFont="1" applyFill="1" applyBorder="1" applyAlignment="1" applyProtection="1">
      <alignment horizontal="right"/>
    </xf>
    <xf numFmtId="0" fontId="6" fillId="5" borderId="33" xfId="0" applyFont="1" applyFill="1" applyBorder="1" applyAlignment="1" applyProtection="1">
      <protection locked="0"/>
    </xf>
    <xf numFmtId="0" fontId="6" fillId="4" borderId="34" xfId="0" applyFont="1" applyFill="1" applyBorder="1" applyProtection="1"/>
    <xf numFmtId="165" fontId="6" fillId="4" borderId="34" xfId="1" applyNumberFormat="1" applyFont="1" applyFill="1" applyBorder="1" applyProtection="1"/>
    <xf numFmtId="14" fontId="6" fillId="6" borderId="34" xfId="1" applyNumberFormat="1" applyFont="1" applyFill="1" applyBorder="1" applyAlignment="1" applyProtection="1">
      <alignment horizontal="right"/>
    </xf>
    <xf numFmtId="0" fontId="6" fillId="0" borderId="0" xfId="0" applyFont="1" applyAlignment="1" applyProtection="1">
      <alignment horizontal="left"/>
    </xf>
    <xf numFmtId="0" fontId="6" fillId="5" borderId="34" xfId="0" applyFont="1" applyFill="1" applyBorder="1" applyAlignment="1" applyProtection="1">
      <protection locked="0"/>
    </xf>
    <xf numFmtId="0" fontId="6" fillId="5" borderId="35" xfId="0" applyFont="1" applyFill="1" applyBorder="1" applyAlignment="1" applyProtection="1">
      <protection locked="0"/>
    </xf>
    <xf numFmtId="0" fontId="6" fillId="4" borderId="35" xfId="0" applyFont="1" applyFill="1" applyBorder="1" applyProtection="1"/>
    <xf numFmtId="165" fontId="6" fillId="4" borderId="35" xfId="1" applyNumberFormat="1" applyFont="1" applyFill="1" applyBorder="1" applyProtection="1"/>
    <xf numFmtId="14" fontId="6" fillId="6" borderId="35" xfId="1" applyNumberFormat="1" applyFont="1" applyFill="1" applyBorder="1" applyAlignment="1" applyProtection="1">
      <alignment horizontal="right"/>
    </xf>
    <xf numFmtId="0" fontId="7" fillId="0" borderId="0" xfId="0" applyFont="1" applyFill="1" applyBorder="1" applyProtection="1"/>
    <xf numFmtId="0" fontId="7" fillId="4" borderId="4" xfId="0" applyFont="1" applyFill="1" applyBorder="1" applyAlignment="1" applyProtection="1">
      <alignment horizontal="left"/>
    </xf>
    <xf numFmtId="165" fontId="7" fillId="4" borderId="10" xfId="0" applyNumberFormat="1" applyFont="1" applyFill="1" applyBorder="1" applyAlignment="1" applyProtection="1">
      <alignment horizontal="left"/>
    </xf>
    <xf numFmtId="0" fontId="7" fillId="2" borderId="4" xfId="0" applyFont="1" applyFill="1" applyBorder="1" applyAlignment="1" applyProtection="1"/>
    <xf numFmtId="0" fontId="7" fillId="2" borderId="12" xfId="0" applyFont="1" applyFill="1" applyBorder="1" applyAlignment="1" applyProtection="1"/>
    <xf numFmtId="0" fontId="7" fillId="2" borderId="10" xfId="0" applyFont="1" applyFill="1" applyBorder="1" applyAlignment="1" applyProtection="1"/>
    <xf numFmtId="0" fontId="7" fillId="0" borderId="0" xfId="0" applyFont="1" applyAlignment="1" applyProtection="1">
      <alignment vertical="top"/>
    </xf>
    <xf numFmtId="0" fontId="7" fillId="0" borderId="0" xfId="0" applyFont="1" applyAlignment="1" applyProtection="1">
      <alignment vertical="top" wrapText="1"/>
    </xf>
    <xf numFmtId="0" fontId="6" fillId="5" borderId="26" xfId="0" applyFont="1" applyFill="1" applyBorder="1" applyProtection="1"/>
    <xf numFmtId="0" fontId="6" fillId="0" borderId="0" xfId="0" applyFont="1" applyBorder="1" applyAlignment="1" applyProtection="1">
      <alignment vertical="center" wrapText="1"/>
    </xf>
    <xf numFmtId="0" fontId="6" fillId="0" borderId="2" xfId="0" applyFont="1" applyBorder="1" applyProtection="1"/>
    <xf numFmtId="0" fontId="6" fillId="0" borderId="0" xfId="0" applyFont="1" applyBorder="1" applyAlignment="1" applyProtection="1"/>
    <xf numFmtId="0" fontId="6" fillId="4" borderId="26" xfId="0" applyFont="1" applyFill="1" applyBorder="1" applyProtection="1"/>
    <xf numFmtId="0" fontId="6" fillId="0" borderId="0" xfId="0" applyFont="1" applyAlignment="1" applyProtection="1">
      <alignment vertical="center" wrapText="1"/>
    </xf>
    <xf numFmtId="0" fontId="6" fillId="6" borderId="2" xfId="0" applyFont="1" applyFill="1" applyBorder="1" applyProtection="1"/>
    <xf numFmtId="14" fontId="6" fillId="0" borderId="0" xfId="0" applyNumberFormat="1" applyFont="1" applyProtection="1"/>
    <xf numFmtId="0" fontId="1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167" fontId="12" fillId="0" borderId="0" xfId="0" applyNumberFormat="1" applyFont="1" applyAlignment="1" applyProtection="1">
      <alignment horizontal="left" vertical="center"/>
    </xf>
    <xf numFmtId="0" fontId="7" fillId="0" borderId="0" xfId="0" applyFont="1" applyBorder="1" applyAlignment="1" applyProtection="1">
      <alignment vertical="center"/>
    </xf>
    <xf numFmtId="0" fontId="7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1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7" fillId="4" borderId="21" xfId="0" applyNumberFormat="1" applyFont="1" applyFill="1" applyBorder="1" applyAlignment="1" applyProtection="1">
      <alignment vertical="center"/>
    </xf>
    <xf numFmtId="0" fontId="7" fillId="4" borderId="19" xfId="0" applyNumberFormat="1" applyFont="1" applyFill="1" applyBorder="1" applyAlignment="1" applyProtection="1">
      <alignment vertical="center"/>
    </xf>
    <xf numFmtId="0" fontId="7" fillId="6" borderId="27" xfId="0" applyNumberFormat="1" applyFont="1" applyFill="1" applyBorder="1" applyAlignment="1" applyProtection="1">
      <alignment vertical="center"/>
    </xf>
    <xf numFmtId="0" fontId="7" fillId="6" borderId="6" xfId="0" applyNumberFormat="1" applyFont="1" applyFill="1" applyBorder="1" applyAlignment="1" applyProtection="1">
      <alignment vertical="center"/>
    </xf>
    <xf numFmtId="44" fontId="6" fillId="6" borderId="28" xfId="0" applyNumberFormat="1" applyFont="1" applyFill="1" applyBorder="1" applyAlignment="1" applyProtection="1">
      <alignment horizontal="right" vertical="center"/>
    </xf>
    <xf numFmtId="0" fontId="6" fillId="6" borderId="7" xfId="0" applyNumberFormat="1" applyFont="1" applyFill="1" applyBorder="1" applyAlignment="1" applyProtection="1">
      <alignment vertical="center"/>
    </xf>
    <xf numFmtId="0" fontId="7" fillId="6" borderId="3" xfId="0" applyNumberFormat="1" applyFont="1" applyFill="1" applyBorder="1" applyAlignment="1" applyProtection="1">
      <alignment vertical="center"/>
    </xf>
    <xf numFmtId="44" fontId="6" fillId="6" borderId="29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vertical="center"/>
    </xf>
    <xf numFmtId="0" fontId="7" fillId="4" borderId="22" xfId="0" applyNumberFormat="1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6" fillId="6" borderId="37" xfId="0" applyNumberFormat="1" applyFont="1" applyFill="1" applyBorder="1" applyAlignment="1" applyProtection="1">
      <alignment vertical="center"/>
    </xf>
    <xf numFmtId="0" fontId="7" fillId="6" borderId="50" xfId="0" applyNumberFormat="1" applyFont="1" applyFill="1" applyBorder="1" applyAlignment="1" applyProtection="1">
      <alignment vertical="center"/>
    </xf>
    <xf numFmtId="44" fontId="7" fillId="6" borderId="38" xfId="0" applyNumberFormat="1" applyFont="1" applyFill="1" applyBorder="1" applyAlignment="1" applyProtection="1">
      <alignment horizontal="right" vertical="center"/>
    </xf>
    <xf numFmtId="0" fontId="7" fillId="6" borderId="28" xfId="0" applyNumberFormat="1" applyFont="1" applyFill="1" applyBorder="1" applyAlignment="1" applyProtection="1">
      <alignment vertical="center"/>
    </xf>
    <xf numFmtId="44" fontId="7" fillId="6" borderId="8" xfId="0" applyNumberFormat="1" applyFont="1" applyFill="1" applyBorder="1" applyAlignment="1" applyProtection="1">
      <alignment horizontal="right" vertical="center"/>
    </xf>
    <xf numFmtId="0" fontId="7" fillId="6" borderId="29" xfId="0" applyNumberFormat="1" applyFont="1" applyFill="1" applyBorder="1" applyAlignment="1" applyProtection="1">
      <alignment vertical="center"/>
    </xf>
    <xf numFmtId="44" fontId="7" fillId="4" borderId="22" xfId="0" applyNumberFormat="1" applyFont="1" applyFill="1" applyBorder="1" applyAlignment="1" applyProtection="1">
      <alignment horizontal="right" vertical="center"/>
    </xf>
    <xf numFmtId="0" fontId="7" fillId="6" borderId="38" xfId="0" applyNumberFormat="1" applyFont="1" applyFill="1" applyBorder="1" applyAlignment="1" applyProtection="1">
      <alignment vertical="center"/>
    </xf>
    <xf numFmtId="0" fontId="7" fillId="6" borderId="21" xfId="0" applyNumberFormat="1" applyFont="1" applyFill="1" applyBorder="1" applyAlignment="1" applyProtection="1">
      <alignment vertical="center"/>
    </xf>
    <xf numFmtId="0" fontId="7" fillId="6" borderId="19" xfId="0" applyNumberFormat="1" applyFont="1" applyFill="1" applyBorder="1" applyAlignment="1" applyProtection="1">
      <alignment vertical="center"/>
    </xf>
    <xf numFmtId="14" fontId="6" fillId="6" borderId="22" xfId="0" applyNumberFormat="1" applyFont="1" applyFill="1" applyBorder="1" applyAlignment="1" applyProtection="1">
      <alignment horizontal="right" vertical="center"/>
    </xf>
    <xf numFmtId="22" fontId="6" fillId="0" borderId="0" xfId="0" applyNumberFormat="1" applyFont="1" applyFill="1" applyBorder="1" applyAlignment="1" applyProtection="1">
      <alignment horizontal="left" vertical="center"/>
    </xf>
    <xf numFmtId="0" fontId="6" fillId="0" borderId="0" xfId="0" applyFont="1" applyFill="1" applyProtection="1"/>
    <xf numFmtId="0" fontId="6" fillId="0" borderId="0" xfId="0" applyFont="1" applyFill="1" applyAlignment="1" applyProtection="1">
      <alignment vertical="center"/>
    </xf>
    <xf numFmtId="0" fontId="1" fillId="8" borderId="42" xfId="0" applyFont="1" applyFill="1" applyBorder="1" applyAlignment="1" applyProtection="1">
      <alignment vertical="center"/>
    </xf>
    <xf numFmtId="0" fontId="7" fillId="2" borderId="20" xfId="0" applyFont="1" applyFill="1" applyBorder="1" applyAlignment="1" applyProtection="1">
      <alignment horizontal="left" vertical="center"/>
    </xf>
    <xf numFmtId="0" fontId="7" fillId="2" borderId="20" xfId="0" applyFont="1" applyFill="1" applyBorder="1" applyAlignment="1" applyProtection="1">
      <alignment horizontal="left" vertical="center" wrapText="1"/>
    </xf>
    <xf numFmtId="0" fontId="7" fillId="4" borderId="20" xfId="0" applyFont="1" applyFill="1" applyBorder="1" applyAlignment="1" applyProtection="1">
      <alignment horizontal="left" vertical="center" wrapText="1"/>
    </xf>
    <xf numFmtId="0" fontId="7" fillId="2" borderId="21" xfId="0" applyFont="1" applyFill="1" applyBorder="1" applyAlignment="1" applyProtection="1">
      <alignment horizontal="left" vertical="center" wrapText="1"/>
    </xf>
    <xf numFmtId="0" fontId="1" fillId="8" borderId="43" xfId="0" applyFont="1" applyFill="1" applyBorder="1" applyAlignment="1" applyProtection="1">
      <alignment vertical="center"/>
    </xf>
    <xf numFmtId="0" fontId="7" fillId="2" borderId="20" xfId="0" applyFont="1" applyFill="1" applyBorder="1" applyAlignment="1" applyProtection="1">
      <alignment horizontal="center" vertical="center" wrapText="1"/>
    </xf>
    <xf numFmtId="0" fontId="5" fillId="3" borderId="0" xfId="0" applyFont="1" applyFill="1" applyBorder="1" applyAlignment="1" applyProtection="1">
      <alignment vertical="center"/>
    </xf>
    <xf numFmtId="0" fontId="16" fillId="0" borderId="2" xfId="0" applyNumberFormat="1" applyFont="1" applyFill="1" applyBorder="1" applyAlignment="1" applyProtection="1">
      <alignment horizontal="right" vertical="center"/>
      <protection locked="0"/>
    </xf>
    <xf numFmtId="0" fontId="9" fillId="0" borderId="2" xfId="0" applyFont="1" applyFill="1" applyBorder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44" fontId="9" fillId="6" borderId="1" xfId="0" applyNumberFormat="1" applyFont="1" applyFill="1" applyBorder="1" applyAlignment="1" applyProtection="1">
      <alignment vertical="center"/>
    </xf>
    <xf numFmtId="44" fontId="8" fillId="6" borderId="1" xfId="0" applyNumberFormat="1" applyFont="1" applyFill="1" applyBorder="1" applyAlignment="1" applyProtection="1">
      <alignment vertical="center"/>
    </xf>
    <xf numFmtId="0" fontId="16" fillId="0" borderId="1" xfId="0" applyNumberFormat="1" applyFont="1" applyFill="1" applyBorder="1" applyAlignment="1" applyProtection="1">
      <alignment horizontal="righ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vertical="center"/>
    </xf>
    <xf numFmtId="44" fontId="7" fillId="4" borderId="20" xfId="0" applyNumberFormat="1" applyFont="1" applyFill="1" applyBorder="1" applyAlignment="1" applyProtection="1">
      <alignment horizontal="left" vertical="center"/>
    </xf>
    <xf numFmtId="0" fontId="7" fillId="2" borderId="21" xfId="0" applyFont="1" applyFill="1" applyBorder="1" applyAlignment="1" applyProtection="1">
      <alignment horizontal="left" vertical="center"/>
    </xf>
    <xf numFmtId="0" fontId="7" fillId="2" borderId="2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166" fontId="7" fillId="0" borderId="0" xfId="0" applyNumberFormat="1" applyFont="1" applyBorder="1" applyAlignment="1" applyProtection="1">
      <alignment vertical="center"/>
    </xf>
    <xf numFmtId="166" fontId="8" fillId="0" borderId="0" xfId="0" applyNumberFormat="1" applyFont="1" applyBorder="1" applyAlignment="1" applyProtection="1">
      <alignment vertical="center"/>
    </xf>
    <xf numFmtId="0" fontId="9" fillId="0" borderId="0" xfId="0" applyFont="1" applyProtection="1"/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vertical="center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</xf>
    <xf numFmtId="0" fontId="0" fillId="0" borderId="0" xfId="0" applyProtection="1"/>
    <xf numFmtId="17" fontId="7" fillId="4" borderId="22" xfId="0" applyNumberFormat="1" applyFont="1" applyFill="1" applyBorder="1" applyAlignment="1" applyProtection="1">
      <alignment horizontal="right" vertical="center"/>
    </xf>
    <xf numFmtId="0" fontId="1" fillId="8" borderId="36" xfId="0" applyFont="1" applyFill="1" applyBorder="1" applyAlignment="1" applyProtection="1">
      <alignment vertical="center"/>
    </xf>
    <xf numFmtId="0" fontId="7" fillId="2" borderId="44" xfId="0" applyFont="1" applyFill="1" applyBorder="1" applyAlignment="1" applyProtection="1">
      <alignment horizontal="center" vertical="center" wrapText="1"/>
    </xf>
    <xf numFmtId="0" fontId="17" fillId="8" borderId="43" xfId="0" applyFont="1" applyFill="1" applyBorder="1" applyAlignment="1" applyProtection="1">
      <alignment vertical="top" textRotation="90" wrapText="1"/>
    </xf>
    <xf numFmtId="0" fontId="17" fillId="8" borderId="44" xfId="0" applyFont="1" applyFill="1" applyBorder="1" applyAlignment="1" applyProtection="1">
      <alignment vertical="top" textRotation="90" wrapText="1"/>
    </xf>
    <xf numFmtId="0" fontId="9" fillId="7" borderId="5" xfId="0" applyFont="1" applyFill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/>
      <protection locked="0"/>
    </xf>
    <xf numFmtId="0" fontId="9" fillId="3" borderId="5" xfId="0" applyFont="1" applyFill="1" applyBorder="1" applyAlignment="1" applyProtection="1">
      <alignment horizontal="center"/>
      <protection locked="0"/>
    </xf>
    <xf numFmtId="0" fontId="7" fillId="2" borderId="20" xfId="0" applyFont="1" applyFill="1" applyBorder="1" applyAlignment="1" applyProtection="1">
      <alignment horizontal="center" vertical="center" wrapText="1"/>
    </xf>
    <xf numFmtId="0" fontId="7" fillId="2" borderId="20" xfId="0" applyFont="1" applyFill="1" applyBorder="1" applyAlignment="1" applyProtection="1">
      <alignment horizontal="center" vertical="center"/>
    </xf>
    <xf numFmtId="0" fontId="21" fillId="0" borderId="0" xfId="2" applyFont="1" applyAlignment="1" applyProtection="1">
      <alignment vertical="center"/>
    </xf>
    <xf numFmtId="0" fontId="9" fillId="7" borderId="46" xfId="0" applyFont="1" applyFill="1" applyBorder="1" applyAlignment="1" applyProtection="1">
      <alignment horizontal="center"/>
      <protection locked="0"/>
    </xf>
    <xf numFmtId="0" fontId="9" fillId="7" borderId="45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horizontal="left" vertical="center"/>
    </xf>
    <xf numFmtId="0" fontId="6" fillId="5" borderId="47" xfId="0" applyFont="1" applyFill="1" applyBorder="1" applyAlignment="1" applyProtection="1">
      <alignment horizontal="left" vertical="top"/>
      <protection locked="0"/>
    </xf>
    <xf numFmtId="0" fontId="6" fillId="5" borderId="48" xfId="0" applyFont="1" applyFill="1" applyBorder="1" applyAlignment="1" applyProtection="1">
      <alignment horizontal="left" vertical="top"/>
      <protection locked="0"/>
    </xf>
    <xf numFmtId="0" fontId="6" fillId="5" borderId="49" xfId="0" applyFont="1" applyFill="1" applyBorder="1" applyAlignment="1" applyProtection="1">
      <alignment horizontal="left" vertical="top"/>
      <protection locked="0"/>
    </xf>
    <xf numFmtId="0" fontId="6" fillId="0" borderId="13" xfId="0" applyFont="1" applyFill="1" applyBorder="1" applyAlignment="1" applyProtection="1">
      <alignment horizontal="left"/>
      <protection locked="0"/>
    </xf>
    <xf numFmtId="0" fontId="6" fillId="0" borderId="14" xfId="0" applyFont="1" applyFill="1" applyBorder="1" applyAlignment="1" applyProtection="1">
      <alignment horizontal="left"/>
      <protection locked="0"/>
    </xf>
    <xf numFmtId="0" fontId="6" fillId="0" borderId="15" xfId="0" applyFont="1" applyFill="1" applyBorder="1" applyAlignment="1" applyProtection="1">
      <alignment horizontal="left"/>
      <protection locked="0"/>
    </xf>
    <xf numFmtId="0" fontId="6" fillId="5" borderId="13" xfId="0" applyFont="1" applyFill="1" applyBorder="1" applyAlignment="1" applyProtection="1">
      <alignment horizontal="left"/>
      <protection locked="0"/>
    </xf>
    <xf numFmtId="0" fontId="6" fillId="5" borderId="14" xfId="0" applyFont="1" applyFill="1" applyBorder="1" applyAlignment="1" applyProtection="1">
      <alignment horizontal="left"/>
      <protection locked="0"/>
    </xf>
    <xf numFmtId="0" fontId="6" fillId="5" borderId="15" xfId="0" applyFont="1" applyFill="1" applyBorder="1" applyAlignment="1" applyProtection="1">
      <alignment horizontal="left"/>
      <protection locked="0"/>
    </xf>
    <xf numFmtId="0" fontId="6" fillId="5" borderId="16" xfId="0" applyFont="1" applyFill="1" applyBorder="1" applyAlignment="1" applyProtection="1">
      <alignment horizontal="left"/>
      <protection locked="0"/>
    </xf>
    <xf numFmtId="0" fontId="6" fillId="5" borderId="17" xfId="0" applyFont="1" applyFill="1" applyBorder="1" applyAlignment="1" applyProtection="1">
      <alignment horizontal="left"/>
      <protection locked="0"/>
    </xf>
    <xf numFmtId="0" fontId="6" fillId="5" borderId="18" xfId="0" applyFont="1" applyFill="1" applyBorder="1" applyAlignment="1" applyProtection="1">
      <alignment horizontal="left"/>
      <protection locked="0"/>
    </xf>
    <xf numFmtId="0" fontId="10" fillId="0" borderId="5" xfId="0" applyFont="1" applyFill="1" applyBorder="1" applyAlignment="1" applyProtection="1">
      <alignment horizontal="left" vertical="center" wrapText="1"/>
      <protection locked="0"/>
    </xf>
    <xf numFmtId="0" fontId="10" fillId="0" borderId="3" xfId="0" applyFont="1" applyFill="1" applyBorder="1" applyAlignment="1" applyProtection="1">
      <alignment horizontal="left" vertical="center" wrapText="1"/>
      <protection locked="0"/>
    </xf>
    <xf numFmtId="0" fontId="10" fillId="0" borderId="11" xfId="0" applyFont="1" applyFill="1" applyBorder="1" applyAlignment="1" applyProtection="1">
      <alignment horizontal="left" vertical="center" wrapText="1"/>
      <protection locked="0"/>
    </xf>
    <xf numFmtId="0" fontId="10" fillId="5" borderId="5" xfId="0" applyFont="1" applyFill="1" applyBorder="1" applyAlignment="1" applyProtection="1">
      <alignment horizontal="left" vertical="center" wrapText="1"/>
      <protection locked="0"/>
    </xf>
    <xf numFmtId="0" fontId="10" fillId="5" borderId="3" xfId="0" applyFont="1" applyFill="1" applyBorder="1" applyAlignment="1" applyProtection="1">
      <alignment horizontal="left" vertical="center" wrapText="1"/>
      <protection locked="0"/>
    </xf>
    <xf numFmtId="0" fontId="10" fillId="5" borderId="11" xfId="0" applyFont="1" applyFill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center" vertical="center" wrapText="1"/>
    </xf>
    <xf numFmtId="0" fontId="7" fillId="2" borderId="20" xfId="0" applyFont="1" applyFill="1" applyBorder="1" applyAlignment="1" applyProtection="1">
      <alignment horizontal="center" vertical="center"/>
    </xf>
    <xf numFmtId="0" fontId="6" fillId="6" borderId="30" xfId="0" applyNumberFormat="1" applyFont="1" applyFill="1" applyBorder="1" applyAlignment="1" applyProtection="1">
      <alignment horizontal="left" vertical="center" wrapText="1"/>
    </xf>
    <xf numFmtId="0" fontId="6" fillId="6" borderId="9" xfId="0" applyNumberFormat="1" applyFont="1" applyFill="1" applyBorder="1" applyAlignment="1" applyProtection="1">
      <alignment horizontal="left" vertical="center" wrapText="1"/>
    </xf>
    <xf numFmtId="0" fontId="7" fillId="2" borderId="36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7" fillId="2" borderId="39" xfId="0" applyFont="1" applyFill="1" applyBorder="1" applyAlignment="1" applyProtection="1">
      <alignment horizontal="center" vertical="center" wrapText="1"/>
    </xf>
    <xf numFmtId="0" fontId="7" fillId="2" borderId="21" xfId="0" applyFont="1" applyFill="1" applyBorder="1" applyAlignment="1" applyProtection="1">
      <alignment horizontal="center" vertical="center"/>
    </xf>
    <xf numFmtId="0" fontId="7" fillId="2" borderId="19" xfId="0" applyFont="1" applyFill="1" applyBorder="1" applyAlignment="1" applyProtection="1">
      <alignment horizontal="center" vertical="center"/>
    </xf>
    <xf numFmtId="0" fontId="7" fillId="2" borderId="22" xfId="0" applyFont="1" applyFill="1" applyBorder="1" applyAlignment="1" applyProtection="1">
      <alignment horizontal="center" vertical="center"/>
    </xf>
    <xf numFmtId="0" fontId="10" fillId="5" borderId="24" xfId="0" applyFont="1" applyFill="1" applyBorder="1" applyAlignment="1" applyProtection="1">
      <alignment horizontal="left" vertical="center" wrapText="1"/>
      <protection locked="0"/>
    </xf>
    <xf numFmtId="0" fontId="10" fillId="5" borderId="6" xfId="0" applyFont="1" applyFill="1" applyBorder="1" applyAlignment="1" applyProtection="1">
      <alignment horizontal="left" vertical="center" wrapText="1"/>
      <protection locked="0"/>
    </xf>
    <xf numFmtId="0" fontId="10" fillId="5" borderId="25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 wrapText="1"/>
    </xf>
    <xf numFmtId="0" fontId="7" fillId="2" borderId="19" xfId="0" applyFont="1" applyFill="1" applyBorder="1" applyAlignment="1" applyProtection="1">
      <alignment horizontal="center" vertical="center" wrapText="1"/>
    </xf>
    <xf numFmtId="0" fontId="7" fillId="2" borderId="22" xfId="0" applyFont="1" applyFill="1" applyBorder="1" applyAlignment="1" applyProtection="1">
      <alignment horizontal="center" vertical="center" wrapText="1"/>
    </xf>
  </cellXfs>
  <cellStyles count="3">
    <cellStyle name="Komma" xfId="1" builtinId="3"/>
    <cellStyle name="Link" xfId="2" builtinId="8"/>
    <cellStyle name="Standard" xfId="0" builtinId="0"/>
  </cellStyles>
  <dxfs count="48"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theme="0"/>
        </patternFill>
      </fill>
    </dxf>
    <dxf>
      <font>
        <color theme="7" tint="0.79998168889431442"/>
      </font>
      <numFmt numFmtId="0" formatCode="General"/>
      <fill>
        <patternFill patternType="solid">
          <fgColor auto="1"/>
          <bgColor theme="7" tint="0.79998168889431442"/>
        </patternFill>
      </fill>
      <border>
        <left style="thin">
          <color auto="1"/>
        </left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CC4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195627</xdr:colOff>
      <xdr:row>0</xdr:row>
      <xdr:rowOff>28326</xdr:rowOff>
    </xdr:from>
    <xdr:to>
      <xdr:col>7</xdr:col>
      <xdr:colOff>2393395</xdr:colOff>
      <xdr:row>5</xdr:row>
      <xdr:rowOff>158627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1027" y="199776"/>
          <a:ext cx="2197768" cy="995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166847</xdr:colOff>
      <xdr:row>0</xdr:row>
      <xdr:rowOff>76200</xdr:rowOff>
    </xdr:from>
    <xdr:to>
      <xdr:col>51</xdr:col>
      <xdr:colOff>142296</xdr:colOff>
      <xdr:row>4</xdr:row>
      <xdr:rowOff>6690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5497" y="76200"/>
          <a:ext cx="1347050" cy="7795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199512</xdr:colOff>
      <xdr:row>0</xdr:row>
      <xdr:rowOff>76200</xdr:rowOff>
    </xdr:from>
    <xdr:to>
      <xdr:col>49</xdr:col>
      <xdr:colOff>174962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92569" y="76200"/>
          <a:ext cx="1325278" cy="8122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232158</xdr:colOff>
      <xdr:row>0</xdr:row>
      <xdr:rowOff>76200</xdr:rowOff>
    </xdr:from>
    <xdr:to>
      <xdr:col>51</xdr:col>
      <xdr:colOff>207608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00129" y="76200"/>
          <a:ext cx="1325278" cy="8122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232158</xdr:colOff>
      <xdr:row>0</xdr:row>
      <xdr:rowOff>76200</xdr:rowOff>
    </xdr:from>
    <xdr:to>
      <xdr:col>51</xdr:col>
      <xdr:colOff>207608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47878" y="76200"/>
          <a:ext cx="1316569" cy="8100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232158</xdr:colOff>
      <xdr:row>0</xdr:row>
      <xdr:rowOff>76200</xdr:rowOff>
    </xdr:from>
    <xdr:to>
      <xdr:col>51</xdr:col>
      <xdr:colOff>207608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47878" y="76200"/>
          <a:ext cx="1316569" cy="8100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232158</xdr:colOff>
      <xdr:row>0</xdr:row>
      <xdr:rowOff>76200</xdr:rowOff>
    </xdr:from>
    <xdr:to>
      <xdr:col>51</xdr:col>
      <xdr:colOff>207608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47878" y="76200"/>
          <a:ext cx="1316569" cy="8100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166847</xdr:colOff>
      <xdr:row>0</xdr:row>
      <xdr:rowOff>76200</xdr:rowOff>
    </xdr:from>
    <xdr:to>
      <xdr:col>52</xdr:col>
      <xdr:colOff>142296</xdr:colOff>
      <xdr:row>4</xdr:row>
      <xdr:rowOff>6690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7847" y="76200"/>
          <a:ext cx="1316570" cy="81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okumente-kjf@sh.ch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fitToPage="1"/>
  </sheetPr>
  <dimension ref="A1:AO48"/>
  <sheetViews>
    <sheetView tabSelected="1" zoomScale="80" zoomScaleNormal="80" workbookViewId="0">
      <selection activeCell="H9" sqref="H9"/>
    </sheetView>
  </sheetViews>
  <sheetFormatPr baseColWidth="10" defaultColWidth="11.44140625" defaultRowHeight="13.8" x14ac:dyDescent="0.25"/>
  <cols>
    <col min="1" max="1" width="24.33203125" style="15" customWidth="1"/>
    <col min="2" max="2" width="22.109375" style="15" bestFit="1" customWidth="1"/>
    <col min="3" max="3" width="22.88671875" style="15" bestFit="1" customWidth="1"/>
    <col min="4" max="4" width="19.109375" style="15" bestFit="1" customWidth="1"/>
    <col min="5" max="5" width="18.109375" style="15" bestFit="1" customWidth="1"/>
    <col min="6" max="6" width="6" style="15" customWidth="1"/>
    <col min="7" max="7" width="29.6640625" style="15" customWidth="1"/>
    <col min="8" max="8" width="36.44140625" style="15" customWidth="1"/>
    <col min="9" max="16384" width="11.44140625" style="15"/>
  </cols>
  <sheetData>
    <row r="1" spans="1:41" x14ac:dyDescent="0.25">
      <c r="A1" s="13" t="s">
        <v>20</v>
      </c>
      <c r="B1" s="13"/>
      <c r="C1" s="13"/>
      <c r="D1" s="13"/>
      <c r="E1" s="14"/>
      <c r="F1" s="14"/>
    </row>
    <row r="2" spans="1:41" x14ac:dyDescent="0.25">
      <c r="A2" s="13" t="s">
        <v>79</v>
      </c>
      <c r="B2" s="13"/>
      <c r="C2" s="13"/>
      <c r="D2" s="13"/>
      <c r="E2" s="14"/>
      <c r="F2" s="14"/>
    </row>
    <row r="3" spans="1:41" ht="14.25" customHeight="1" x14ac:dyDescent="0.25">
      <c r="A3" s="16" t="s">
        <v>82</v>
      </c>
      <c r="B3" s="16"/>
      <c r="C3" s="17"/>
      <c r="D3" s="17"/>
    </row>
    <row r="4" spans="1:41" ht="14.4" x14ac:dyDescent="0.25">
      <c r="A4" s="18" t="s">
        <v>22</v>
      </c>
      <c r="B4" s="134" t="s">
        <v>80</v>
      </c>
      <c r="C4" s="19"/>
      <c r="D4" s="19"/>
    </row>
    <row r="5" spans="1:41" x14ac:dyDescent="0.25">
      <c r="A5" s="18"/>
      <c r="B5" s="20"/>
      <c r="C5" s="18"/>
      <c r="D5" s="18"/>
    </row>
    <row r="6" spans="1:41" x14ac:dyDescent="0.25">
      <c r="A6" s="18"/>
      <c r="B6" s="20"/>
      <c r="C6" s="18"/>
      <c r="D6" s="18"/>
    </row>
    <row r="7" spans="1:41" x14ac:dyDescent="0.25">
      <c r="C7" s="21"/>
      <c r="D7" s="21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4.4" thickBot="1" x14ac:dyDescent="0.3">
      <c r="A8" s="14" t="s">
        <v>83</v>
      </c>
      <c r="B8" s="14" t="s">
        <v>57</v>
      </c>
      <c r="C8" s="14" t="s">
        <v>58</v>
      </c>
      <c r="D8" s="14" t="s">
        <v>59</v>
      </c>
      <c r="E8" s="14" t="s">
        <v>78</v>
      </c>
      <c r="F8" s="14"/>
      <c r="G8" s="23" t="s">
        <v>37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</row>
    <row r="9" spans="1:41" x14ac:dyDescent="0.25">
      <c r="A9" s="24" t="s">
        <v>3</v>
      </c>
      <c r="B9" s="25">
        <f>IF(Januar!C8&gt;0,Januar!C8,0)</f>
        <v>0</v>
      </c>
      <c r="C9" s="25">
        <f>IF(Januar!C6&gt;0,Januar!C6,0)</f>
        <v>0</v>
      </c>
      <c r="D9" s="25">
        <f>IF(Januar!C7&gt;0,Januar!C7,0)</f>
        <v>0</v>
      </c>
      <c r="E9" s="26" t="s">
        <v>64</v>
      </c>
      <c r="G9" s="15" t="s">
        <v>77</v>
      </c>
      <c r="H9" s="27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</row>
    <row r="10" spans="1:41" x14ac:dyDescent="0.25">
      <c r="A10" s="28" t="s">
        <v>4</v>
      </c>
      <c r="B10" s="29">
        <f>IF(Februar!C8&gt;0,Februar!C8,0)</f>
        <v>0</v>
      </c>
      <c r="C10" s="29">
        <f>IF(Februar!C6&gt;0,Februar!C6,0)</f>
        <v>0</v>
      </c>
      <c r="D10" s="29">
        <f>IF(Februar!C7&gt;0,Februar!C7,0)</f>
        <v>0</v>
      </c>
      <c r="E10" s="30" t="s">
        <v>64</v>
      </c>
      <c r="G10" s="31" t="s">
        <v>30</v>
      </c>
      <c r="H10" s="3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 spans="1:41" ht="14.4" thickBot="1" x14ac:dyDescent="0.3">
      <c r="A11" s="28" t="s">
        <v>5</v>
      </c>
      <c r="B11" s="29">
        <f>IF(März!C8&gt;0,März!C8,0)</f>
        <v>0</v>
      </c>
      <c r="C11" s="29">
        <f>IF(März!C6&gt;0,März!C6,0)</f>
        <v>0</v>
      </c>
      <c r="D11" s="29">
        <f>IF(März!C7&gt;0,März!C7,0)</f>
        <v>0</v>
      </c>
      <c r="E11" s="30" t="s">
        <v>64</v>
      </c>
      <c r="G11" s="31" t="s">
        <v>31</v>
      </c>
      <c r="H11" s="33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 spans="1:41" ht="14.4" thickBot="1" x14ac:dyDescent="0.3">
      <c r="A12" s="28" t="s">
        <v>6</v>
      </c>
      <c r="B12" s="29">
        <f>IF(April!C8&gt;0,April!C8,0)</f>
        <v>0</v>
      </c>
      <c r="C12" s="29">
        <f>IF(April!C6&gt;0,April!C6,0)</f>
        <v>0</v>
      </c>
      <c r="D12" s="29">
        <f>IF(April!C7&gt;0,April!C7,0)</f>
        <v>0</v>
      </c>
      <c r="E12" s="30" t="s">
        <v>64</v>
      </c>
      <c r="G12" s="23" t="s">
        <v>15</v>
      </c>
    </row>
    <row r="13" spans="1:41" x14ac:dyDescent="0.25">
      <c r="A13" s="28" t="s">
        <v>7</v>
      </c>
      <c r="B13" s="29">
        <f>IF(Mai!C8&gt;0,Mai!C8,0)</f>
        <v>0</v>
      </c>
      <c r="C13" s="29">
        <f>IF(Mai!C6&gt;0,Mai!C6,0)</f>
        <v>0</v>
      </c>
      <c r="D13" s="29">
        <f>IF(Mai!C7&gt;0,Mai!C7,0)</f>
        <v>0</v>
      </c>
      <c r="E13" s="30" t="s">
        <v>64</v>
      </c>
      <c r="G13" s="31" t="s">
        <v>29</v>
      </c>
      <c r="H13" s="27"/>
    </row>
    <row r="14" spans="1:41" x14ac:dyDescent="0.25">
      <c r="A14" s="28" t="s">
        <v>8</v>
      </c>
      <c r="B14" s="29">
        <f>IF(Juni!C8&gt;0,Juni!C8,0)</f>
        <v>0</v>
      </c>
      <c r="C14" s="29">
        <f>IF(Juni!C6&gt;0,Juni!C6,0)</f>
        <v>0</v>
      </c>
      <c r="D14" s="29">
        <f>IF(Juni!C7&gt;0,Juni!C7,0)</f>
        <v>0</v>
      </c>
      <c r="E14" s="30" t="s">
        <v>64</v>
      </c>
      <c r="G14" s="31" t="s">
        <v>16</v>
      </c>
      <c r="H14" s="32"/>
    </row>
    <row r="15" spans="1:41" x14ac:dyDescent="0.25">
      <c r="A15" s="28" t="s">
        <v>9</v>
      </c>
      <c r="B15" s="29">
        <f>IF(Juli!C8&gt;0,Juli!C8,0)</f>
        <v>0</v>
      </c>
      <c r="C15" s="29">
        <f>IF(Juli!C6&gt;0,Juli!C6,0)</f>
        <v>0</v>
      </c>
      <c r="D15" s="29">
        <f>IF(Juli!C7&gt;0,Juli!C7,0)</f>
        <v>0</v>
      </c>
      <c r="E15" s="30" t="s">
        <v>64</v>
      </c>
      <c r="G15" s="15" t="s">
        <v>21</v>
      </c>
      <c r="H15" s="32"/>
    </row>
    <row r="16" spans="1:41" ht="14.4" thickBot="1" x14ac:dyDescent="0.3">
      <c r="A16" s="28" t="s">
        <v>10</v>
      </c>
      <c r="B16" s="29">
        <f>IF(August!C8&gt;0,August!C8,0)</f>
        <v>0</v>
      </c>
      <c r="C16" s="29">
        <f>IF(August!C6&gt;0,August!C6,0)</f>
        <v>0</v>
      </c>
      <c r="D16" s="29">
        <f>IF(August!C7&gt;0,August!C7,0)</f>
        <v>0</v>
      </c>
      <c r="E16" s="30" t="s">
        <v>64</v>
      </c>
      <c r="G16" s="15" t="s">
        <v>28</v>
      </c>
      <c r="H16" s="33"/>
    </row>
    <row r="17" spans="1:8" ht="14.4" thickBot="1" x14ac:dyDescent="0.3">
      <c r="A17" s="28" t="s">
        <v>11</v>
      </c>
      <c r="B17" s="29">
        <f>IF(September!C8&gt;0,September!C8,0)</f>
        <v>0</v>
      </c>
      <c r="C17" s="29">
        <f>IF(September!C6&gt;0,September!C6,0)</f>
        <v>0</v>
      </c>
      <c r="D17" s="29">
        <f>IF(September!C7&gt;0,September!C7,0)</f>
        <v>0</v>
      </c>
      <c r="E17" s="30" t="s">
        <v>64</v>
      </c>
      <c r="G17" s="14" t="s">
        <v>17</v>
      </c>
    </row>
    <row r="18" spans="1:8" x14ac:dyDescent="0.25">
      <c r="A18" s="28" t="s">
        <v>12</v>
      </c>
      <c r="B18" s="29">
        <f>IF(Oktober!C8&gt;0,Oktober!C8,0)</f>
        <v>0</v>
      </c>
      <c r="C18" s="29">
        <f>IF(Oktober!C6&gt;0,Oktober!C6,0)</f>
        <v>0</v>
      </c>
      <c r="D18" s="29">
        <f>IF(Oktober!C7&gt;0,Oktober!C7,0)</f>
        <v>0</v>
      </c>
      <c r="E18" s="30" t="s">
        <v>64</v>
      </c>
      <c r="G18" s="15" t="s">
        <v>24</v>
      </c>
      <c r="H18" s="27"/>
    </row>
    <row r="19" spans="1:8" x14ac:dyDescent="0.25">
      <c r="A19" s="28" t="s">
        <v>13</v>
      </c>
      <c r="B19" s="29">
        <f>IF(November!C8&gt;0,November!C8,0)</f>
        <v>0</v>
      </c>
      <c r="C19" s="29">
        <f>IF(November!C6&gt;0,November!C6,0)</f>
        <v>0</v>
      </c>
      <c r="D19" s="29">
        <f>IF(November!C7&gt;0,November!C7,0)</f>
        <v>0</v>
      </c>
      <c r="E19" s="30" t="s">
        <v>64</v>
      </c>
      <c r="G19" s="15" t="s">
        <v>25</v>
      </c>
      <c r="H19" s="32"/>
    </row>
    <row r="20" spans="1:8" ht="14.4" thickBot="1" x14ac:dyDescent="0.3">
      <c r="A20" s="34" t="s">
        <v>14</v>
      </c>
      <c r="B20" s="35">
        <f>IF(Dezember!C8&gt;0,Dezember!C8,0)</f>
        <v>0</v>
      </c>
      <c r="C20" s="35">
        <f>IF(Dezember!C6&gt;0,Dezember!C6,0)</f>
        <v>0</v>
      </c>
      <c r="D20" s="35">
        <f>IF(Dezember!C7&gt;0,Dezember!C7,0)</f>
        <v>0</v>
      </c>
      <c r="E20" s="36" t="s">
        <v>64</v>
      </c>
      <c r="G20" s="15" t="s">
        <v>18</v>
      </c>
      <c r="H20" s="33"/>
    </row>
    <row r="23" spans="1:8" ht="14.4" thickBot="1" x14ac:dyDescent="0.3">
      <c r="A23" s="37" t="s">
        <v>84</v>
      </c>
    </row>
    <row r="24" spans="1:8" ht="14.4" thickBot="1" x14ac:dyDescent="0.3">
      <c r="A24" s="38" t="s">
        <v>19</v>
      </c>
      <c r="B24" s="39">
        <f t="shared" ref="B24:D24" si="0">SUM(B9:B20)</f>
        <v>0</v>
      </c>
      <c r="C24" s="39">
        <f t="shared" si="0"/>
        <v>0</v>
      </c>
      <c r="D24" s="39">
        <f t="shared" si="0"/>
        <v>0</v>
      </c>
    </row>
    <row r="25" spans="1:8" ht="14.4" thickBot="1" x14ac:dyDescent="0.3"/>
    <row r="26" spans="1:8" ht="14.4" thickBot="1" x14ac:dyDescent="0.3">
      <c r="A26" s="40" t="s">
        <v>36</v>
      </c>
      <c r="B26" s="41"/>
      <c r="C26" s="41"/>
      <c r="D26" s="41"/>
      <c r="E26" s="41"/>
      <c r="F26" s="41"/>
      <c r="G26" s="41"/>
      <c r="H26" s="42"/>
    </row>
    <row r="27" spans="1:8" ht="14.4" customHeight="1" x14ac:dyDescent="0.25">
      <c r="A27" s="139"/>
      <c r="B27" s="140"/>
      <c r="C27" s="140"/>
      <c r="D27" s="140"/>
      <c r="E27" s="140"/>
      <c r="F27" s="140"/>
      <c r="G27" s="140"/>
      <c r="H27" s="141"/>
    </row>
    <row r="28" spans="1:8" ht="14.4" customHeight="1" x14ac:dyDescent="0.25">
      <c r="A28" s="142"/>
      <c r="B28" s="143"/>
      <c r="C28" s="143"/>
      <c r="D28" s="143"/>
      <c r="E28" s="143"/>
      <c r="F28" s="143"/>
      <c r="G28" s="143"/>
      <c r="H28" s="144"/>
    </row>
    <row r="29" spans="1:8" ht="14.4" customHeight="1" x14ac:dyDescent="0.25">
      <c r="A29" s="145"/>
      <c r="B29" s="146"/>
      <c r="C29" s="146"/>
      <c r="D29" s="146"/>
      <c r="E29" s="146"/>
      <c r="F29" s="146"/>
      <c r="G29" s="146"/>
      <c r="H29" s="147"/>
    </row>
    <row r="30" spans="1:8" x14ac:dyDescent="0.25">
      <c r="A30" s="142"/>
      <c r="B30" s="143"/>
      <c r="C30" s="143"/>
      <c r="D30" s="143"/>
      <c r="E30" s="143"/>
      <c r="F30" s="143"/>
      <c r="G30" s="143"/>
      <c r="H30" s="144"/>
    </row>
    <row r="31" spans="1:8" x14ac:dyDescent="0.25">
      <c r="A31" s="145"/>
      <c r="B31" s="146"/>
      <c r="C31" s="146"/>
      <c r="D31" s="146"/>
      <c r="E31" s="146"/>
      <c r="F31" s="146"/>
      <c r="G31" s="146"/>
      <c r="H31" s="147"/>
    </row>
    <row r="32" spans="1:8" x14ac:dyDescent="0.25">
      <c r="A32" s="142"/>
      <c r="B32" s="143"/>
      <c r="C32" s="143"/>
      <c r="D32" s="143"/>
      <c r="E32" s="143"/>
      <c r="F32" s="143"/>
      <c r="G32" s="143"/>
      <c r="H32" s="144"/>
    </row>
    <row r="33" spans="1:8" x14ac:dyDescent="0.25">
      <c r="A33" s="145"/>
      <c r="B33" s="146"/>
      <c r="C33" s="146"/>
      <c r="D33" s="146"/>
      <c r="E33" s="146"/>
      <c r="F33" s="146"/>
      <c r="G33" s="146"/>
      <c r="H33" s="147"/>
    </row>
    <row r="34" spans="1:8" x14ac:dyDescent="0.25">
      <c r="A34" s="142"/>
      <c r="B34" s="143"/>
      <c r="C34" s="143"/>
      <c r="D34" s="143"/>
      <c r="E34" s="143"/>
      <c r="F34" s="143"/>
      <c r="G34" s="143"/>
      <c r="H34" s="144"/>
    </row>
    <row r="35" spans="1:8" ht="14.4" thickBot="1" x14ac:dyDescent="0.3">
      <c r="A35" s="148"/>
      <c r="B35" s="149"/>
      <c r="C35" s="149"/>
      <c r="D35" s="149"/>
      <c r="E35" s="149"/>
      <c r="F35" s="149"/>
      <c r="G35" s="149"/>
      <c r="H35" s="150"/>
    </row>
    <row r="36" spans="1:8" ht="15" customHeight="1" x14ac:dyDescent="0.25">
      <c r="A36" s="43" t="s">
        <v>23</v>
      </c>
      <c r="B36" s="44"/>
      <c r="C36" s="44"/>
      <c r="D36" s="44"/>
      <c r="E36" s="44"/>
      <c r="F36" s="44"/>
      <c r="G36" s="44"/>
      <c r="H36" s="44"/>
    </row>
    <row r="38" spans="1:8" x14ac:dyDescent="0.25">
      <c r="A38" s="14" t="s">
        <v>81</v>
      </c>
    </row>
    <row r="40" spans="1:8" ht="14.4" customHeight="1" x14ac:dyDescent="0.25">
      <c r="A40" s="45"/>
      <c r="B40" s="137" t="s">
        <v>38</v>
      </c>
      <c r="C40" s="138"/>
      <c r="D40" s="138"/>
      <c r="E40" s="138"/>
      <c r="F40" s="138"/>
      <c r="G40" s="138"/>
      <c r="H40" s="46"/>
    </row>
    <row r="41" spans="1:8" x14ac:dyDescent="0.25">
      <c r="A41" s="47"/>
      <c r="B41" s="137"/>
      <c r="C41" s="138"/>
      <c r="D41" s="138"/>
      <c r="E41" s="138"/>
      <c r="F41" s="138"/>
      <c r="G41" s="138"/>
      <c r="H41" s="46"/>
    </row>
    <row r="42" spans="1:8" x14ac:dyDescent="0.25">
      <c r="B42" s="48"/>
    </row>
    <row r="43" spans="1:8" ht="14.4" customHeight="1" x14ac:dyDescent="0.25">
      <c r="A43" s="49"/>
      <c r="B43" s="137" t="s">
        <v>39</v>
      </c>
      <c r="C43" s="138"/>
      <c r="D43" s="138"/>
      <c r="E43" s="138"/>
      <c r="F43" s="138"/>
      <c r="G43" s="138"/>
      <c r="H43" s="50"/>
    </row>
    <row r="44" spans="1:8" x14ac:dyDescent="0.25">
      <c r="A44" s="51"/>
      <c r="B44" s="137"/>
      <c r="C44" s="138"/>
      <c r="D44" s="138"/>
      <c r="E44" s="138"/>
      <c r="F44" s="138"/>
      <c r="G44" s="138"/>
      <c r="H44" s="50"/>
    </row>
    <row r="46" spans="1:8" hidden="1" x14ac:dyDescent="0.25">
      <c r="A46" s="14" t="s">
        <v>69</v>
      </c>
    </row>
    <row r="47" spans="1:8" hidden="1" x14ac:dyDescent="0.25">
      <c r="A47" s="15" t="s">
        <v>67</v>
      </c>
      <c r="B47" s="52">
        <v>44043</v>
      </c>
    </row>
    <row r="48" spans="1:8" hidden="1" x14ac:dyDescent="0.25">
      <c r="A48" s="15" t="s">
        <v>68</v>
      </c>
      <c r="B48" s="52">
        <v>44408</v>
      </c>
    </row>
  </sheetData>
  <sheetProtection password="C1F5" sheet="1" selectLockedCells="1"/>
  <customSheetViews>
    <customSheetView guid="{2A96694B-4FE0-4A37-BFC4-27DDF59EE9E8}" fitToPage="1" topLeftCell="A16">
      <selection activeCell="F35" sqref="F35"/>
      <pageMargins left="0.7" right="0.7" top="0.75" bottom="0.75" header="0.3" footer="0.3"/>
      <pageSetup paperSize="9" scale="88" fitToHeight="2" orientation="portrait" horizontalDpi="200" verticalDpi="200" r:id="rId1"/>
    </customSheetView>
  </customSheetViews>
  <mergeCells count="11">
    <mergeCell ref="B40:G41"/>
    <mergeCell ref="B43:G44"/>
    <mergeCell ref="A27:H27"/>
    <mergeCell ref="A28:H28"/>
    <mergeCell ref="A30:H30"/>
    <mergeCell ref="A32:H32"/>
    <mergeCell ref="A34:H34"/>
    <mergeCell ref="A29:H29"/>
    <mergeCell ref="A31:H31"/>
    <mergeCell ref="A33:H33"/>
    <mergeCell ref="A35:H35"/>
  </mergeCells>
  <hyperlinks>
    <hyperlink ref="B4" r:id="rId2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0" fitToHeight="5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pane="topRight" activeCell="D1" sqref="D1"/>
      <selection pane="bottomLeft" activeCell="A14" sqref="A14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46023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3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73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L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78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L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80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L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82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Jahresübersicht!E9</f>
        <v>-</v>
      </c>
      <c r="D9" s="13"/>
      <c r="E9" s="13"/>
      <c r="F9" s="13"/>
      <c r="G9" s="13"/>
      <c r="H9" s="13"/>
      <c r="I9" s="13"/>
      <c r="J9" s="13"/>
      <c r="O9" s="56"/>
      <c r="Q9" s="56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132">
        <v>6</v>
      </c>
      <c r="AC11" s="132">
        <v>7</v>
      </c>
      <c r="AD11" s="132">
        <v>8</v>
      </c>
      <c r="AE11" s="132">
        <v>9</v>
      </c>
      <c r="AF11" s="132">
        <v>10</v>
      </c>
      <c r="AG11" s="132">
        <v>11</v>
      </c>
      <c r="AH11" s="132">
        <v>12</v>
      </c>
      <c r="AI11" s="132">
        <v>13</v>
      </c>
      <c r="AJ11" s="132">
        <v>14</v>
      </c>
      <c r="AK11" s="132">
        <v>15</v>
      </c>
      <c r="AL11" s="132">
        <v>16</v>
      </c>
      <c r="AM11" s="132">
        <v>17</v>
      </c>
      <c r="AN11" s="132">
        <v>18</v>
      </c>
      <c r="AO11" s="132">
        <v>19</v>
      </c>
      <c r="AP11" s="132">
        <v>20</v>
      </c>
      <c r="AQ11" s="132">
        <v>21</v>
      </c>
      <c r="AR11" s="132">
        <v>22</v>
      </c>
      <c r="AS11" s="132">
        <v>23</v>
      </c>
      <c r="AT11" s="132">
        <v>24</v>
      </c>
      <c r="AU11" s="132">
        <v>25</v>
      </c>
      <c r="AV11" s="132">
        <v>26</v>
      </c>
      <c r="AW11" s="132">
        <v>27</v>
      </c>
      <c r="AX11" s="132">
        <v>28</v>
      </c>
      <c r="AY11" s="132">
        <v>29</v>
      </c>
      <c r="AZ11" s="132">
        <v>30</v>
      </c>
      <c r="BA11" s="132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4"/>
      <c r="X12" s="3"/>
      <c r="Y12" s="8"/>
      <c r="Z12" s="8"/>
      <c r="AA12" s="3"/>
      <c r="AB12" s="3"/>
      <c r="AC12" s="3"/>
      <c r="AD12" s="3"/>
      <c r="AE12" s="3"/>
      <c r="AF12" s="8"/>
      <c r="AG12" s="8"/>
      <c r="AH12" s="3"/>
      <c r="AI12" s="3"/>
      <c r="AJ12" s="3"/>
      <c r="AK12" s="3"/>
      <c r="AL12" s="3"/>
      <c r="AM12" s="8"/>
      <c r="AN12" s="8"/>
      <c r="AO12" s="3"/>
      <c r="AP12" s="3"/>
      <c r="AQ12" s="3"/>
      <c r="AR12" s="3"/>
      <c r="AS12" s="3"/>
      <c r="AT12" s="8"/>
      <c r="AU12" s="8"/>
      <c r="AV12" s="3"/>
      <c r="AW12" s="3"/>
      <c r="AX12" s="3"/>
      <c r="AY12" s="3"/>
      <c r="AZ12" s="3"/>
      <c r="BA12" s="12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60" si="4">IF(ISBLANK(E13),"",E13*10)</f>
        <v/>
      </c>
      <c r="H13" s="100" t="str">
        <f t="shared" ref="H13:H60" si="5">IF(ISBLANK(F13),"",F13*20)</f>
        <v/>
      </c>
      <c r="I13" s="101">
        <f t="shared" ref="I13:I60" si="6">SUM(G13,H13)</f>
        <v>0</v>
      </c>
      <c r="J13" s="100" t="str">
        <f t="shared" si="1"/>
        <v/>
      </c>
      <c r="K13" s="6" t="str">
        <f t="shared" ref="K13:L60" si="7">IF(M13=E13,"","X")</f>
        <v/>
      </c>
      <c r="L13" s="6" t="str">
        <f t="shared" si="7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4"/>
      <c r="X13" s="3"/>
      <c r="Y13" s="8"/>
      <c r="Z13" s="8"/>
      <c r="AA13" s="3"/>
      <c r="AB13" s="3"/>
      <c r="AC13" s="3"/>
      <c r="AD13" s="3"/>
      <c r="AE13" s="3"/>
      <c r="AF13" s="8"/>
      <c r="AG13" s="8"/>
      <c r="AH13" s="3"/>
      <c r="AI13" s="3"/>
      <c r="AJ13" s="3"/>
      <c r="AK13" s="3"/>
      <c r="AL13" s="3"/>
      <c r="AM13" s="8"/>
      <c r="AN13" s="8"/>
      <c r="AO13" s="3"/>
      <c r="AP13" s="3"/>
      <c r="AQ13" s="3"/>
      <c r="AR13" s="3"/>
      <c r="AS13" s="3"/>
      <c r="AT13" s="8"/>
      <c r="AU13" s="8"/>
      <c r="AV13" s="3"/>
      <c r="AW13" s="3"/>
      <c r="AX13" s="3"/>
      <c r="AY13" s="3"/>
      <c r="AZ13" s="3"/>
      <c r="BA13" s="12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6"/>
        <v>0</v>
      </c>
      <c r="J14" s="100" t="str">
        <f t="shared" si="1"/>
        <v/>
      </c>
      <c r="K14" s="6" t="str">
        <f t="shared" si="7"/>
        <v/>
      </c>
      <c r="L14" s="6" t="str">
        <f t="shared" si="7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4"/>
      <c r="X14" s="3"/>
      <c r="Y14" s="8"/>
      <c r="Z14" s="8"/>
      <c r="AA14" s="3"/>
      <c r="AB14" s="3"/>
      <c r="AC14" s="3"/>
      <c r="AD14" s="3"/>
      <c r="AE14" s="3"/>
      <c r="AF14" s="8"/>
      <c r="AG14" s="8"/>
      <c r="AH14" s="3"/>
      <c r="AI14" s="3"/>
      <c r="AJ14" s="3"/>
      <c r="AK14" s="3"/>
      <c r="AL14" s="3"/>
      <c r="AM14" s="8"/>
      <c r="AN14" s="8"/>
      <c r="AO14" s="3"/>
      <c r="AP14" s="3"/>
      <c r="AQ14" s="3"/>
      <c r="AR14" s="3"/>
      <c r="AS14" s="3"/>
      <c r="AT14" s="8"/>
      <c r="AU14" s="8"/>
      <c r="AV14" s="3"/>
      <c r="AW14" s="3"/>
      <c r="AX14" s="3"/>
      <c r="AY14" s="3"/>
      <c r="AZ14" s="3"/>
      <c r="BA14" s="12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6"/>
        <v>0</v>
      </c>
      <c r="J15" s="100" t="str">
        <f t="shared" si="1"/>
        <v/>
      </c>
      <c r="K15" s="6" t="str">
        <f t="shared" si="7"/>
        <v/>
      </c>
      <c r="L15" s="6" t="str">
        <f t="shared" si="7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4"/>
      <c r="X15" s="3"/>
      <c r="Y15" s="8"/>
      <c r="Z15" s="8"/>
      <c r="AA15" s="3"/>
      <c r="AB15" s="3"/>
      <c r="AC15" s="3"/>
      <c r="AD15" s="3"/>
      <c r="AE15" s="3"/>
      <c r="AF15" s="8"/>
      <c r="AG15" s="8"/>
      <c r="AH15" s="3"/>
      <c r="AI15" s="3"/>
      <c r="AJ15" s="3"/>
      <c r="AK15" s="3"/>
      <c r="AL15" s="3"/>
      <c r="AM15" s="8"/>
      <c r="AN15" s="8"/>
      <c r="AO15" s="3"/>
      <c r="AP15" s="3"/>
      <c r="AQ15" s="3"/>
      <c r="AR15" s="3"/>
      <c r="AS15" s="3"/>
      <c r="AT15" s="8"/>
      <c r="AU15" s="8"/>
      <c r="AV15" s="3"/>
      <c r="AW15" s="3"/>
      <c r="AX15" s="3"/>
      <c r="AY15" s="3"/>
      <c r="AZ15" s="3"/>
      <c r="BA15" s="12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6"/>
        <v>0</v>
      </c>
      <c r="J16" s="100" t="str">
        <f t="shared" si="1"/>
        <v/>
      </c>
      <c r="K16" s="6" t="str">
        <f t="shared" si="7"/>
        <v/>
      </c>
      <c r="L16" s="6" t="str">
        <f t="shared" si="7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4"/>
      <c r="X16" s="3"/>
      <c r="Y16" s="8"/>
      <c r="Z16" s="8"/>
      <c r="AA16" s="3"/>
      <c r="AB16" s="3"/>
      <c r="AC16" s="3"/>
      <c r="AD16" s="3"/>
      <c r="AE16" s="3"/>
      <c r="AF16" s="8"/>
      <c r="AG16" s="8"/>
      <c r="AH16" s="3"/>
      <c r="AI16" s="3"/>
      <c r="AJ16" s="3"/>
      <c r="AK16" s="3"/>
      <c r="AL16" s="3"/>
      <c r="AM16" s="8"/>
      <c r="AN16" s="8"/>
      <c r="AO16" s="3"/>
      <c r="AP16" s="3"/>
      <c r="AQ16" s="3"/>
      <c r="AR16" s="3"/>
      <c r="AS16" s="3"/>
      <c r="AT16" s="8"/>
      <c r="AU16" s="8"/>
      <c r="AV16" s="3"/>
      <c r="AW16" s="3"/>
      <c r="AX16" s="3"/>
      <c r="AY16" s="3"/>
      <c r="AZ16" s="3"/>
      <c r="BA16" s="12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6"/>
        <v>0</v>
      </c>
      <c r="J17" s="100" t="str">
        <f t="shared" si="1"/>
        <v/>
      </c>
      <c r="K17" s="6" t="str">
        <f t="shared" si="7"/>
        <v/>
      </c>
      <c r="L17" s="6" t="str">
        <f t="shared" si="7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4"/>
      <c r="X17" s="3"/>
      <c r="Y17" s="8"/>
      <c r="Z17" s="8"/>
      <c r="AA17" s="3"/>
      <c r="AB17" s="3"/>
      <c r="AC17" s="3"/>
      <c r="AD17" s="3"/>
      <c r="AE17" s="3"/>
      <c r="AF17" s="8"/>
      <c r="AG17" s="8"/>
      <c r="AH17" s="3"/>
      <c r="AI17" s="3"/>
      <c r="AJ17" s="3"/>
      <c r="AK17" s="3"/>
      <c r="AL17" s="3"/>
      <c r="AM17" s="8"/>
      <c r="AN17" s="8"/>
      <c r="AO17" s="3"/>
      <c r="AP17" s="3"/>
      <c r="AQ17" s="3"/>
      <c r="AR17" s="3"/>
      <c r="AS17" s="3"/>
      <c r="AT17" s="8"/>
      <c r="AU17" s="8"/>
      <c r="AV17" s="3"/>
      <c r="AW17" s="3"/>
      <c r="AX17" s="3"/>
      <c r="AY17" s="3"/>
      <c r="AZ17" s="3"/>
      <c r="BA17" s="12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6"/>
        <v>0</v>
      </c>
      <c r="J18" s="100" t="str">
        <f t="shared" si="1"/>
        <v/>
      </c>
      <c r="K18" s="6" t="str">
        <f t="shared" si="7"/>
        <v/>
      </c>
      <c r="L18" s="6" t="str">
        <f t="shared" si="7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4"/>
      <c r="X18" s="3"/>
      <c r="Y18" s="8"/>
      <c r="Z18" s="8"/>
      <c r="AA18" s="3"/>
      <c r="AB18" s="3"/>
      <c r="AC18" s="3"/>
      <c r="AD18" s="3"/>
      <c r="AE18" s="3"/>
      <c r="AF18" s="8"/>
      <c r="AG18" s="8"/>
      <c r="AH18" s="3"/>
      <c r="AI18" s="3"/>
      <c r="AJ18" s="3"/>
      <c r="AK18" s="3"/>
      <c r="AL18" s="3"/>
      <c r="AM18" s="8"/>
      <c r="AN18" s="8"/>
      <c r="AO18" s="3"/>
      <c r="AP18" s="3"/>
      <c r="AQ18" s="3"/>
      <c r="AR18" s="3"/>
      <c r="AS18" s="3"/>
      <c r="AT18" s="8"/>
      <c r="AU18" s="8"/>
      <c r="AV18" s="3"/>
      <c r="AW18" s="3"/>
      <c r="AX18" s="3"/>
      <c r="AY18" s="3"/>
      <c r="AZ18" s="3"/>
      <c r="BA18" s="12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6"/>
        <v>0</v>
      </c>
      <c r="J19" s="100" t="str">
        <f t="shared" si="1"/>
        <v/>
      </c>
      <c r="K19" s="6" t="str">
        <f t="shared" si="7"/>
        <v/>
      </c>
      <c r="L19" s="6" t="str">
        <f t="shared" si="7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4"/>
      <c r="X19" s="3"/>
      <c r="Y19" s="8"/>
      <c r="Z19" s="8"/>
      <c r="AA19" s="3"/>
      <c r="AB19" s="3"/>
      <c r="AC19" s="3"/>
      <c r="AD19" s="3"/>
      <c r="AE19" s="3"/>
      <c r="AF19" s="8"/>
      <c r="AG19" s="8"/>
      <c r="AH19" s="3"/>
      <c r="AI19" s="3"/>
      <c r="AJ19" s="3"/>
      <c r="AK19" s="3"/>
      <c r="AL19" s="3"/>
      <c r="AM19" s="8"/>
      <c r="AN19" s="8"/>
      <c r="AO19" s="3"/>
      <c r="AP19" s="3"/>
      <c r="AQ19" s="3"/>
      <c r="AR19" s="3"/>
      <c r="AS19" s="3"/>
      <c r="AT19" s="8"/>
      <c r="AU19" s="8"/>
      <c r="AV19" s="3"/>
      <c r="AW19" s="3"/>
      <c r="AX19" s="3"/>
      <c r="AY19" s="3"/>
      <c r="AZ19" s="3"/>
      <c r="BA19" s="12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4"/>
        <v/>
      </c>
      <c r="H20" s="100" t="str">
        <f t="shared" si="5"/>
        <v/>
      </c>
      <c r="I20" s="101">
        <f t="shared" si="6"/>
        <v>0</v>
      </c>
      <c r="J20" s="100" t="str">
        <f t="shared" si="1"/>
        <v/>
      </c>
      <c r="K20" s="6" t="str">
        <f t="shared" si="7"/>
        <v/>
      </c>
      <c r="L20" s="6" t="str">
        <f t="shared" si="7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4"/>
      <c r="X20" s="3"/>
      <c r="Y20" s="8"/>
      <c r="Z20" s="8"/>
      <c r="AA20" s="3"/>
      <c r="AB20" s="3"/>
      <c r="AC20" s="3"/>
      <c r="AD20" s="3"/>
      <c r="AE20" s="3"/>
      <c r="AF20" s="8"/>
      <c r="AG20" s="8"/>
      <c r="AH20" s="3"/>
      <c r="AI20" s="3"/>
      <c r="AJ20" s="3"/>
      <c r="AK20" s="3"/>
      <c r="AL20" s="3"/>
      <c r="AM20" s="8"/>
      <c r="AN20" s="8"/>
      <c r="AO20" s="3"/>
      <c r="AP20" s="3"/>
      <c r="AQ20" s="3"/>
      <c r="AR20" s="3"/>
      <c r="AS20" s="3"/>
      <c r="AT20" s="8"/>
      <c r="AU20" s="8"/>
      <c r="AV20" s="3"/>
      <c r="AW20" s="3"/>
      <c r="AX20" s="3"/>
      <c r="AY20" s="3"/>
      <c r="AZ20" s="3"/>
      <c r="BA20" s="12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4"/>
        <v/>
      </c>
      <c r="H21" s="100" t="str">
        <f t="shared" si="5"/>
        <v/>
      </c>
      <c r="I21" s="101">
        <f t="shared" si="6"/>
        <v>0</v>
      </c>
      <c r="J21" s="100" t="str">
        <f t="shared" si="1"/>
        <v/>
      </c>
      <c r="K21" s="6" t="str">
        <f t="shared" si="7"/>
        <v/>
      </c>
      <c r="L21" s="6" t="str">
        <f t="shared" si="7"/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4"/>
      <c r="X21" s="3"/>
      <c r="Y21" s="8"/>
      <c r="Z21" s="8"/>
      <c r="AA21" s="3"/>
      <c r="AB21" s="3"/>
      <c r="AC21" s="3"/>
      <c r="AD21" s="3"/>
      <c r="AE21" s="3"/>
      <c r="AF21" s="8"/>
      <c r="AG21" s="8"/>
      <c r="AH21" s="3"/>
      <c r="AI21" s="3"/>
      <c r="AJ21" s="3"/>
      <c r="AK21" s="3"/>
      <c r="AL21" s="3"/>
      <c r="AM21" s="8"/>
      <c r="AN21" s="8"/>
      <c r="AO21" s="3"/>
      <c r="AP21" s="3"/>
      <c r="AQ21" s="3"/>
      <c r="AR21" s="3"/>
      <c r="AS21" s="3"/>
      <c r="AT21" s="8"/>
      <c r="AU21" s="8"/>
      <c r="AV21" s="3"/>
      <c r="AW21" s="3"/>
      <c r="AX21" s="3"/>
      <c r="AY21" s="3"/>
      <c r="AZ21" s="3"/>
      <c r="BA21" s="12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97">
        <v>11</v>
      </c>
      <c r="B22" s="103"/>
      <c r="C22" s="104"/>
      <c r="D22" s="1"/>
      <c r="E22" s="105"/>
      <c r="F22" s="105"/>
      <c r="G22" s="100" t="str">
        <f t="shared" si="4"/>
        <v/>
      </c>
      <c r="H22" s="100" t="str">
        <f t="shared" si="5"/>
        <v/>
      </c>
      <c r="I22" s="101">
        <f t="shared" si="6"/>
        <v>0</v>
      </c>
      <c r="J22" s="100" t="str">
        <f t="shared" si="1"/>
        <v/>
      </c>
      <c r="K22" s="6" t="str">
        <f t="shared" si="7"/>
        <v/>
      </c>
      <c r="L22" s="6" t="str">
        <f t="shared" si="7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4"/>
      <c r="X22" s="3"/>
      <c r="Y22" s="8"/>
      <c r="Z22" s="8"/>
      <c r="AA22" s="3"/>
      <c r="AB22" s="3"/>
      <c r="AC22" s="3"/>
      <c r="AD22" s="3"/>
      <c r="AE22" s="3"/>
      <c r="AF22" s="8"/>
      <c r="AG22" s="8"/>
      <c r="AH22" s="3"/>
      <c r="AI22" s="3"/>
      <c r="AJ22" s="3"/>
      <c r="AK22" s="3"/>
      <c r="AL22" s="3"/>
      <c r="AM22" s="8"/>
      <c r="AN22" s="8"/>
      <c r="AO22" s="3"/>
      <c r="AP22" s="3"/>
      <c r="AQ22" s="3"/>
      <c r="AR22" s="3"/>
      <c r="AS22" s="3"/>
      <c r="AT22" s="8"/>
      <c r="AU22" s="8"/>
      <c r="AV22" s="3"/>
      <c r="AW22" s="3"/>
      <c r="AX22" s="3"/>
      <c r="AY22" s="3"/>
      <c r="AZ22" s="3"/>
      <c r="BA22" s="12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97">
        <v>12</v>
      </c>
      <c r="B23" s="103"/>
      <c r="C23" s="104"/>
      <c r="D23" s="1"/>
      <c r="E23" s="105"/>
      <c r="F23" s="105"/>
      <c r="G23" s="100" t="str">
        <f t="shared" si="4"/>
        <v/>
      </c>
      <c r="H23" s="100" t="str">
        <f t="shared" si="5"/>
        <v/>
      </c>
      <c r="I23" s="101">
        <f t="shared" si="6"/>
        <v>0</v>
      </c>
      <c r="J23" s="100" t="str">
        <f t="shared" si="1"/>
        <v/>
      </c>
      <c r="K23" s="6" t="str">
        <f t="shared" si="7"/>
        <v/>
      </c>
      <c r="L23" s="6" t="str">
        <f t="shared" si="7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4"/>
      <c r="X23" s="3"/>
      <c r="Y23" s="8"/>
      <c r="Z23" s="8"/>
      <c r="AA23" s="3"/>
      <c r="AB23" s="3"/>
      <c r="AC23" s="3"/>
      <c r="AD23" s="3"/>
      <c r="AE23" s="3"/>
      <c r="AF23" s="8"/>
      <c r="AG23" s="8"/>
      <c r="AH23" s="3"/>
      <c r="AI23" s="3"/>
      <c r="AJ23" s="3"/>
      <c r="AK23" s="3"/>
      <c r="AL23" s="3"/>
      <c r="AM23" s="8"/>
      <c r="AN23" s="8"/>
      <c r="AO23" s="3"/>
      <c r="AP23" s="3"/>
      <c r="AQ23" s="3"/>
      <c r="AR23" s="3"/>
      <c r="AS23" s="3"/>
      <c r="AT23" s="8"/>
      <c r="AU23" s="8"/>
      <c r="AV23" s="3"/>
      <c r="AW23" s="3"/>
      <c r="AX23" s="3"/>
      <c r="AY23" s="3"/>
      <c r="AZ23" s="3"/>
      <c r="BA23" s="12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4"/>
        <v/>
      </c>
      <c r="H24" s="100" t="str">
        <f t="shared" si="5"/>
        <v/>
      </c>
      <c r="I24" s="101">
        <f t="shared" si="6"/>
        <v>0</v>
      </c>
      <c r="J24" s="100" t="str">
        <f t="shared" si="1"/>
        <v/>
      </c>
      <c r="K24" s="6" t="str">
        <f t="shared" si="7"/>
        <v/>
      </c>
      <c r="L24" s="6" t="str">
        <f t="shared" si="7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4"/>
      <c r="X24" s="3"/>
      <c r="Y24" s="8"/>
      <c r="Z24" s="8"/>
      <c r="AA24" s="3"/>
      <c r="AB24" s="3"/>
      <c r="AC24" s="3"/>
      <c r="AD24" s="3"/>
      <c r="AE24" s="3"/>
      <c r="AF24" s="8"/>
      <c r="AG24" s="8"/>
      <c r="AH24" s="3"/>
      <c r="AI24" s="3"/>
      <c r="AJ24" s="3"/>
      <c r="AK24" s="3"/>
      <c r="AL24" s="3"/>
      <c r="AM24" s="8"/>
      <c r="AN24" s="8"/>
      <c r="AO24" s="3"/>
      <c r="AP24" s="3"/>
      <c r="AQ24" s="3"/>
      <c r="AR24" s="3"/>
      <c r="AS24" s="3"/>
      <c r="AT24" s="8"/>
      <c r="AU24" s="8"/>
      <c r="AV24" s="3"/>
      <c r="AW24" s="3"/>
      <c r="AX24" s="3"/>
      <c r="AY24" s="3"/>
      <c r="AZ24" s="3"/>
      <c r="BA24" s="12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2"/>
      <c r="E25" s="105"/>
      <c r="F25" s="105"/>
      <c r="G25" s="100" t="str">
        <f t="shared" si="4"/>
        <v/>
      </c>
      <c r="H25" s="100" t="str">
        <f t="shared" si="5"/>
        <v/>
      </c>
      <c r="I25" s="101">
        <f t="shared" si="6"/>
        <v>0</v>
      </c>
      <c r="J25" s="100" t="str">
        <f t="shared" si="1"/>
        <v/>
      </c>
      <c r="K25" s="6" t="str">
        <f t="shared" si="7"/>
        <v/>
      </c>
      <c r="L25" s="6" t="str">
        <f t="shared" si="7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4"/>
      <c r="X25" s="3"/>
      <c r="Y25" s="8"/>
      <c r="Z25" s="8"/>
      <c r="AA25" s="3"/>
      <c r="AB25" s="3"/>
      <c r="AC25" s="3"/>
      <c r="AD25" s="3"/>
      <c r="AE25" s="3"/>
      <c r="AF25" s="8"/>
      <c r="AG25" s="8"/>
      <c r="AH25" s="3"/>
      <c r="AI25" s="3"/>
      <c r="AJ25" s="3"/>
      <c r="AK25" s="3"/>
      <c r="AL25" s="3"/>
      <c r="AM25" s="8"/>
      <c r="AN25" s="8"/>
      <c r="AO25" s="3"/>
      <c r="AP25" s="3"/>
      <c r="AQ25" s="3"/>
      <c r="AR25" s="3"/>
      <c r="AS25" s="3"/>
      <c r="AT25" s="8"/>
      <c r="AU25" s="8"/>
      <c r="AV25" s="3"/>
      <c r="AW25" s="3"/>
      <c r="AX25" s="3"/>
      <c r="AY25" s="3"/>
      <c r="AZ25" s="3"/>
      <c r="BA25" s="12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4"/>
        <v/>
      </c>
      <c r="H26" s="100" t="str">
        <f t="shared" si="5"/>
        <v/>
      </c>
      <c r="I26" s="101">
        <f t="shared" si="6"/>
        <v>0</v>
      </c>
      <c r="J26" s="100" t="str">
        <f t="shared" si="1"/>
        <v/>
      </c>
      <c r="K26" s="6" t="str">
        <f t="shared" si="7"/>
        <v/>
      </c>
      <c r="L26" s="6" t="str">
        <f t="shared" si="7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4"/>
      <c r="X26" s="3"/>
      <c r="Y26" s="8"/>
      <c r="Z26" s="8"/>
      <c r="AA26" s="3"/>
      <c r="AB26" s="3"/>
      <c r="AC26" s="3"/>
      <c r="AD26" s="3"/>
      <c r="AE26" s="3"/>
      <c r="AF26" s="8"/>
      <c r="AG26" s="8"/>
      <c r="AH26" s="3"/>
      <c r="AI26" s="3"/>
      <c r="AJ26" s="3"/>
      <c r="AK26" s="3"/>
      <c r="AL26" s="3"/>
      <c r="AM26" s="8"/>
      <c r="AN26" s="8"/>
      <c r="AO26" s="3"/>
      <c r="AP26" s="3"/>
      <c r="AQ26" s="3"/>
      <c r="AR26" s="3"/>
      <c r="AS26" s="3"/>
      <c r="AT26" s="8"/>
      <c r="AU26" s="8"/>
      <c r="AV26" s="3"/>
      <c r="AW26" s="3"/>
      <c r="AX26" s="3"/>
      <c r="AY26" s="3"/>
      <c r="AZ26" s="3"/>
      <c r="BA26" s="12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4"/>
        <v/>
      </c>
      <c r="H27" s="100" t="str">
        <f t="shared" si="5"/>
        <v/>
      </c>
      <c r="I27" s="101">
        <f t="shared" si="6"/>
        <v>0</v>
      </c>
      <c r="J27" s="100" t="str">
        <f t="shared" si="1"/>
        <v/>
      </c>
      <c r="K27" s="6" t="str">
        <f t="shared" si="7"/>
        <v/>
      </c>
      <c r="L27" s="6" t="str">
        <f t="shared" si="7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4"/>
      <c r="X27" s="3"/>
      <c r="Y27" s="8"/>
      <c r="Z27" s="8"/>
      <c r="AA27" s="3"/>
      <c r="AB27" s="3"/>
      <c r="AC27" s="3"/>
      <c r="AD27" s="3"/>
      <c r="AE27" s="3"/>
      <c r="AF27" s="8"/>
      <c r="AG27" s="8"/>
      <c r="AH27" s="3"/>
      <c r="AI27" s="3"/>
      <c r="AJ27" s="3"/>
      <c r="AK27" s="3"/>
      <c r="AL27" s="3"/>
      <c r="AM27" s="8"/>
      <c r="AN27" s="8"/>
      <c r="AO27" s="3"/>
      <c r="AP27" s="3"/>
      <c r="AQ27" s="3"/>
      <c r="AR27" s="3"/>
      <c r="AS27" s="3"/>
      <c r="AT27" s="8"/>
      <c r="AU27" s="8"/>
      <c r="AV27" s="3"/>
      <c r="AW27" s="3"/>
      <c r="AX27" s="3"/>
      <c r="AY27" s="3"/>
      <c r="AZ27" s="3"/>
      <c r="BA27" s="12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97">
        <v>17</v>
      </c>
      <c r="B28" s="103"/>
      <c r="C28" s="104"/>
      <c r="D28" s="1"/>
      <c r="E28" s="105"/>
      <c r="F28" s="105"/>
      <c r="G28" s="100" t="str">
        <f t="shared" si="4"/>
        <v/>
      </c>
      <c r="H28" s="100" t="str">
        <f t="shared" si="5"/>
        <v/>
      </c>
      <c r="I28" s="101">
        <f t="shared" si="6"/>
        <v>0</v>
      </c>
      <c r="J28" s="100" t="str">
        <f t="shared" si="1"/>
        <v/>
      </c>
      <c r="K28" s="6" t="str">
        <f t="shared" si="7"/>
        <v/>
      </c>
      <c r="L28" s="6" t="str">
        <f t="shared" si="7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4"/>
      <c r="X28" s="3"/>
      <c r="Y28" s="8"/>
      <c r="Z28" s="8"/>
      <c r="AA28" s="3"/>
      <c r="AB28" s="3"/>
      <c r="AC28" s="3"/>
      <c r="AD28" s="3"/>
      <c r="AE28" s="3"/>
      <c r="AF28" s="8"/>
      <c r="AG28" s="8"/>
      <c r="AH28" s="3"/>
      <c r="AI28" s="3"/>
      <c r="AJ28" s="3"/>
      <c r="AK28" s="3"/>
      <c r="AL28" s="3"/>
      <c r="AM28" s="8"/>
      <c r="AN28" s="8"/>
      <c r="AO28" s="3"/>
      <c r="AP28" s="3"/>
      <c r="AQ28" s="3"/>
      <c r="AR28" s="3"/>
      <c r="AS28" s="3"/>
      <c r="AT28" s="8"/>
      <c r="AU28" s="8"/>
      <c r="AV28" s="3"/>
      <c r="AW28" s="3"/>
      <c r="AX28" s="3"/>
      <c r="AY28" s="3"/>
      <c r="AZ28" s="3"/>
      <c r="BA28" s="12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2"/>
      <c r="E29" s="105"/>
      <c r="F29" s="105"/>
      <c r="G29" s="100" t="str">
        <f t="shared" si="4"/>
        <v/>
      </c>
      <c r="H29" s="100" t="str">
        <f t="shared" si="5"/>
        <v/>
      </c>
      <c r="I29" s="101">
        <f t="shared" si="6"/>
        <v>0</v>
      </c>
      <c r="J29" s="100" t="str">
        <f t="shared" si="1"/>
        <v/>
      </c>
      <c r="K29" s="6" t="str">
        <f t="shared" si="7"/>
        <v/>
      </c>
      <c r="L29" s="6" t="str">
        <f t="shared" si="7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4"/>
      <c r="X29" s="3"/>
      <c r="Y29" s="8"/>
      <c r="Z29" s="8"/>
      <c r="AA29" s="3"/>
      <c r="AB29" s="3"/>
      <c r="AC29" s="3"/>
      <c r="AD29" s="3"/>
      <c r="AE29" s="3"/>
      <c r="AF29" s="8"/>
      <c r="AG29" s="8"/>
      <c r="AH29" s="3"/>
      <c r="AI29" s="3"/>
      <c r="AJ29" s="3"/>
      <c r="AK29" s="3"/>
      <c r="AL29" s="3"/>
      <c r="AM29" s="8"/>
      <c r="AN29" s="8"/>
      <c r="AO29" s="3"/>
      <c r="AP29" s="3"/>
      <c r="AQ29" s="3"/>
      <c r="AR29" s="3"/>
      <c r="AS29" s="3"/>
      <c r="AT29" s="8"/>
      <c r="AU29" s="8"/>
      <c r="AV29" s="3"/>
      <c r="AW29" s="3"/>
      <c r="AX29" s="3"/>
      <c r="AY29" s="3"/>
      <c r="AZ29" s="3"/>
      <c r="BA29" s="12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4"/>
        <v/>
      </c>
      <c r="H30" s="100" t="str">
        <f t="shared" si="5"/>
        <v/>
      </c>
      <c r="I30" s="101">
        <f t="shared" si="6"/>
        <v>0</v>
      </c>
      <c r="J30" s="100" t="str">
        <f t="shared" si="1"/>
        <v/>
      </c>
      <c r="K30" s="6" t="str">
        <f t="shared" si="7"/>
        <v/>
      </c>
      <c r="L30" s="6" t="str">
        <f t="shared" si="7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4"/>
      <c r="X30" s="3"/>
      <c r="Y30" s="8"/>
      <c r="Z30" s="8"/>
      <c r="AA30" s="3"/>
      <c r="AB30" s="3"/>
      <c r="AC30" s="3"/>
      <c r="AD30" s="3"/>
      <c r="AE30" s="3"/>
      <c r="AF30" s="8"/>
      <c r="AG30" s="8"/>
      <c r="AH30" s="3"/>
      <c r="AI30" s="3"/>
      <c r="AJ30" s="3"/>
      <c r="AK30" s="3"/>
      <c r="AL30" s="3"/>
      <c r="AM30" s="8"/>
      <c r="AN30" s="8"/>
      <c r="AO30" s="3"/>
      <c r="AP30" s="3"/>
      <c r="AQ30" s="3"/>
      <c r="AR30" s="3"/>
      <c r="AS30" s="3"/>
      <c r="AT30" s="8"/>
      <c r="AU30" s="8"/>
      <c r="AV30" s="3"/>
      <c r="AW30" s="3"/>
      <c r="AX30" s="3"/>
      <c r="AY30" s="3"/>
      <c r="AZ30" s="3"/>
      <c r="BA30" s="12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4"/>
        <v/>
      </c>
      <c r="H31" s="100" t="str">
        <f t="shared" si="5"/>
        <v/>
      </c>
      <c r="I31" s="101">
        <f t="shared" si="6"/>
        <v>0</v>
      </c>
      <c r="J31" s="100" t="str">
        <f t="shared" si="1"/>
        <v/>
      </c>
      <c r="K31" s="6" t="str">
        <f t="shared" si="7"/>
        <v/>
      </c>
      <c r="L31" s="6" t="str">
        <f t="shared" si="7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4"/>
      <c r="X31" s="3"/>
      <c r="Y31" s="8"/>
      <c r="Z31" s="8"/>
      <c r="AA31" s="3"/>
      <c r="AB31" s="3"/>
      <c r="AC31" s="3"/>
      <c r="AD31" s="3"/>
      <c r="AE31" s="3"/>
      <c r="AF31" s="8"/>
      <c r="AG31" s="8"/>
      <c r="AH31" s="3"/>
      <c r="AI31" s="3"/>
      <c r="AJ31" s="3"/>
      <c r="AK31" s="3"/>
      <c r="AL31" s="3"/>
      <c r="AM31" s="8"/>
      <c r="AN31" s="8"/>
      <c r="AO31" s="3"/>
      <c r="AP31" s="3"/>
      <c r="AQ31" s="3"/>
      <c r="AR31" s="3"/>
      <c r="AS31" s="3"/>
      <c r="AT31" s="8"/>
      <c r="AU31" s="8"/>
      <c r="AV31" s="3"/>
      <c r="AW31" s="3"/>
      <c r="AX31" s="3"/>
      <c r="AY31" s="3"/>
      <c r="AZ31" s="3"/>
      <c r="BA31" s="12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4"/>
        <v/>
      </c>
      <c r="H32" s="100" t="str">
        <f t="shared" si="5"/>
        <v/>
      </c>
      <c r="I32" s="101">
        <f t="shared" si="6"/>
        <v>0</v>
      </c>
      <c r="J32" s="100" t="str">
        <f t="shared" si="1"/>
        <v/>
      </c>
      <c r="K32" s="6" t="str">
        <f t="shared" si="7"/>
        <v/>
      </c>
      <c r="L32" s="6" t="str">
        <f t="shared" si="7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4"/>
      <c r="X32" s="3"/>
      <c r="Y32" s="8"/>
      <c r="Z32" s="8"/>
      <c r="AA32" s="3"/>
      <c r="AB32" s="3"/>
      <c r="AC32" s="3"/>
      <c r="AD32" s="3"/>
      <c r="AE32" s="3"/>
      <c r="AF32" s="8"/>
      <c r="AG32" s="8"/>
      <c r="AH32" s="3"/>
      <c r="AI32" s="3"/>
      <c r="AJ32" s="3"/>
      <c r="AK32" s="3"/>
      <c r="AL32" s="3"/>
      <c r="AM32" s="8"/>
      <c r="AN32" s="8"/>
      <c r="AO32" s="3"/>
      <c r="AP32" s="3"/>
      <c r="AQ32" s="3"/>
      <c r="AR32" s="3"/>
      <c r="AS32" s="3"/>
      <c r="AT32" s="8"/>
      <c r="AU32" s="8"/>
      <c r="AV32" s="3"/>
      <c r="AW32" s="3"/>
      <c r="AX32" s="3"/>
      <c r="AY32" s="3"/>
      <c r="AZ32" s="3"/>
      <c r="BA32" s="12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97">
        <v>22</v>
      </c>
      <c r="B33" s="103"/>
      <c r="C33" s="104"/>
      <c r="D33" s="1"/>
      <c r="E33" s="105"/>
      <c r="F33" s="105"/>
      <c r="G33" s="100" t="str">
        <f t="shared" si="4"/>
        <v/>
      </c>
      <c r="H33" s="100" t="str">
        <f t="shared" si="5"/>
        <v/>
      </c>
      <c r="I33" s="101">
        <f t="shared" si="6"/>
        <v>0</v>
      </c>
      <c r="J33" s="100" t="str">
        <f t="shared" si="1"/>
        <v/>
      </c>
      <c r="K33" s="6" t="str">
        <f t="shared" si="7"/>
        <v/>
      </c>
      <c r="L33" s="6" t="str">
        <f t="shared" si="7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4"/>
      <c r="X33" s="3"/>
      <c r="Y33" s="8"/>
      <c r="Z33" s="8"/>
      <c r="AA33" s="3"/>
      <c r="AB33" s="3"/>
      <c r="AC33" s="3"/>
      <c r="AD33" s="3"/>
      <c r="AE33" s="3"/>
      <c r="AF33" s="8"/>
      <c r="AG33" s="8"/>
      <c r="AH33" s="3"/>
      <c r="AI33" s="3"/>
      <c r="AJ33" s="3"/>
      <c r="AK33" s="3"/>
      <c r="AL33" s="3"/>
      <c r="AM33" s="8"/>
      <c r="AN33" s="8"/>
      <c r="AO33" s="3"/>
      <c r="AP33" s="3"/>
      <c r="AQ33" s="3"/>
      <c r="AR33" s="3"/>
      <c r="AS33" s="3"/>
      <c r="AT33" s="8"/>
      <c r="AU33" s="8"/>
      <c r="AV33" s="3"/>
      <c r="AW33" s="3"/>
      <c r="AX33" s="3"/>
      <c r="AY33" s="3"/>
      <c r="AZ33" s="3"/>
      <c r="BA33" s="12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97">
        <v>23</v>
      </c>
      <c r="B34" s="103"/>
      <c r="C34" s="104"/>
      <c r="D34" s="1"/>
      <c r="E34" s="105"/>
      <c r="F34" s="105"/>
      <c r="G34" s="100" t="str">
        <f t="shared" si="4"/>
        <v/>
      </c>
      <c r="H34" s="100" t="str">
        <f t="shared" si="5"/>
        <v/>
      </c>
      <c r="I34" s="101">
        <f t="shared" si="6"/>
        <v>0</v>
      </c>
      <c r="J34" s="100" t="str">
        <f t="shared" si="1"/>
        <v/>
      </c>
      <c r="K34" s="6" t="str">
        <f t="shared" si="7"/>
        <v/>
      </c>
      <c r="L34" s="6" t="str">
        <f t="shared" si="7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4"/>
      <c r="X34" s="3"/>
      <c r="Y34" s="8"/>
      <c r="Z34" s="8"/>
      <c r="AA34" s="3"/>
      <c r="AB34" s="3"/>
      <c r="AC34" s="3"/>
      <c r="AD34" s="3"/>
      <c r="AE34" s="3"/>
      <c r="AF34" s="8"/>
      <c r="AG34" s="8"/>
      <c r="AH34" s="3"/>
      <c r="AI34" s="3"/>
      <c r="AJ34" s="3"/>
      <c r="AK34" s="3"/>
      <c r="AL34" s="3"/>
      <c r="AM34" s="8"/>
      <c r="AN34" s="8"/>
      <c r="AO34" s="3"/>
      <c r="AP34" s="3"/>
      <c r="AQ34" s="3"/>
      <c r="AR34" s="3"/>
      <c r="AS34" s="3"/>
      <c r="AT34" s="8"/>
      <c r="AU34" s="8"/>
      <c r="AV34" s="3"/>
      <c r="AW34" s="3"/>
      <c r="AX34" s="3"/>
      <c r="AY34" s="3"/>
      <c r="AZ34" s="3"/>
      <c r="BA34" s="12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4"/>
        <v/>
      </c>
      <c r="H35" s="100" t="str">
        <f t="shared" si="5"/>
        <v/>
      </c>
      <c r="I35" s="101">
        <f t="shared" si="6"/>
        <v>0</v>
      </c>
      <c r="J35" s="100" t="str">
        <f t="shared" si="1"/>
        <v/>
      </c>
      <c r="K35" s="6" t="str">
        <f t="shared" si="7"/>
        <v/>
      </c>
      <c r="L35" s="6" t="str">
        <f t="shared" si="7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4"/>
      <c r="X35" s="3"/>
      <c r="Y35" s="8"/>
      <c r="Z35" s="8"/>
      <c r="AA35" s="3"/>
      <c r="AB35" s="3"/>
      <c r="AC35" s="3"/>
      <c r="AD35" s="3"/>
      <c r="AE35" s="3"/>
      <c r="AF35" s="8"/>
      <c r="AG35" s="8"/>
      <c r="AH35" s="3"/>
      <c r="AI35" s="3"/>
      <c r="AJ35" s="3"/>
      <c r="AK35" s="3"/>
      <c r="AL35" s="3"/>
      <c r="AM35" s="8"/>
      <c r="AN35" s="8"/>
      <c r="AO35" s="3"/>
      <c r="AP35" s="3"/>
      <c r="AQ35" s="3"/>
      <c r="AR35" s="3"/>
      <c r="AS35" s="3"/>
      <c r="AT35" s="8"/>
      <c r="AU35" s="8"/>
      <c r="AV35" s="3"/>
      <c r="AW35" s="3"/>
      <c r="AX35" s="3"/>
      <c r="AY35" s="3"/>
      <c r="AZ35" s="3"/>
      <c r="BA35" s="12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4"/>
        <v/>
      </c>
      <c r="H36" s="100" t="str">
        <f t="shared" si="5"/>
        <v/>
      </c>
      <c r="I36" s="101">
        <f t="shared" si="6"/>
        <v>0</v>
      </c>
      <c r="J36" s="100" t="str">
        <f t="shared" si="1"/>
        <v/>
      </c>
      <c r="K36" s="6" t="str">
        <f t="shared" si="7"/>
        <v/>
      </c>
      <c r="L36" s="6" t="str">
        <f t="shared" si="7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4"/>
      <c r="X36" s="3"/>
      <c r="Y36" s="8"/>
      <c r="Z36" s="8"/>
      <c r="AA36" s="3"/>
      <c r="AB36" s="3"/>
      <c r="AC36" s="3"/>
      <c r="AD36" s="3"/>
      <c r="AE36" s="3"/>
      <c r="AF36" s="8"/>
      <c r="AG36" s="8"/>
      <c r="AH36" s="3"/>
      <c r="AI36" s="3"/>
      <c r="AJ36" s="3"/>
      <c r="AK36" s="3"/>
      <c r="AL36" s="3"/>
      <c r="AM36" s="8"/>
      <c r="AN36" s="8"/>
      <c r="AO36" s="3"/>
      <c r="AP36" s="3"/>
      <c r="AQ36" s="3"/>
      <c r="AR36" s="3"/>
      <c r="AS36" s="3"/>
      <c r="AT36" s="8"/>
      <c r="AU36" s="8"/>
      <c r="AV36" s="3"/>
      <c r="AW36" s="3"/>
      <c r="AX36" s="3"/>
      <c r="AY36" s="3"/>
      <c r="AZ36" s="3"/>
      <c r="BA36" s="12"/>
      <c r="BB36" s="59"/>
      <c r="BC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4"/>
        <v/>
      </c>
      <c r="H37" s="100" t="str">
        <f t="shared" si="5"/>
        <v/>
      </c>
      <c r="I37" s="101">
        <f t="shared" si="6"/>
        <v>0</v>
      </c>
      <c r="J37" s="100" t="str">
        <f t="shared" si="1"/>
        <v/>
      </c>
      <c r="K37" s="6" t="str">
        <f t="shared" si="7"/>
        <v/>
      </c>
      <c r="L37" s="6" t="str">
        <f t="shared" si="7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4"/>
      <c r="X37" s="3"/>
      <c r="Y37" s="8"/>
      <c r="Z37" s="8"/>
      <c r="AA37" s="3"/>
      <c r="AB37" s="3"/>
      <c r="AC37" s="3"/>
      <c r="AD37" s="3"/>
      <c r="AE37" s="3"/>
      <c r="AF37" s="8"/>
      <c r="AG37" s="8"/>
      <c r="AH37" s="3"/>
      <c r="AI37" s="3"/>
      <c r="AJ37" s="3"/>
      <c r="AK37" s="3"/>
      <c r="AL37" s="3"/>
      <c r="AM37" s="8"/>
      <c r="AN37" s="8"/>
      <c r="AO37" s="3"/>
      <c r="AP37" s="3"/>
      <c r="AQ37" s="3"/>
      <c r="AR37" s="3"/>
      <c r="AS37" s="3"/>
      <c r="AT37" s="8"/>
      <c r="AU37" s="8"/>
      <c r="AV37" s="3"/>
      <c r="AW37" s="3"/>
      <c r="AX37" s="3"/>
      <c r="AY37" s="3"/>
      <c r="AZ37" s="3"/>
      <c r="BA37" s="12"/>
      <c r="BB37" s="59"/>
      <c r="BC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4"/>
        <v/>
      </c>
      <c r="H38" s="100" t="str">
        <f t="shared" si="5"/>
        <v/>
      </c>
      <c r="I38" s="101">
        <f t="shared" si="6"/>
        <v>0</v>
      </c>
      <c r="J38" s="100" t="str">
        <f t="shared" si="1"/>
        <v/>
      </c>
      <c r="K38" s="6" t="str">
        <f t="shared" si="7"/>
        <v/>
      </c>
      <c r="L38" s="6" t="str">
        <f t="shared" si="7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4"/>
      <c r="X38" s="3"/>
      <c r="Y38" s="8"/>
      <c r="Z38" s="8"/>
      <c r="AA38" s="3"/>
      <c r="AB38" s="3"/>
      <c r="AC38" s="3"/>
      <c r="AD38" s="3"/>
      <c r="AE38" s="3"/>
      <c r="AF38" s="8"/>
      <c r="AG38" s="8"/>
      <c r="AH38" s="3"/>
      <c r="AI38" s="3"/>
      <c r="AJ38" s="3"/>
      <c r="AK38" s="3"/>
      <c r="AL38" s="3"/>
      <c r="AM38" s="8"/>
      <c r="AN38" s="8"/>
      <c r="AO38" s="3"/>
      <c r="AP38" s="3"/>
      <c r="AQ38" s="3"/>
      <c r="AR38" s="3"/>
      <c r="AS38" s="3"/>
      <c r="AT38" s="8"/>
      <c r="AU38" s="8"/>
      <c r="AV38" s="3"/>
      <c r="AW38" s="3"/>
      <c r="AX38" s="3"/>
      <c r="AY38" s="3"/>
      <c r="AZ38" s="3"/>
      <c r="BA38" s="12"/>
      <c r="BB38" s="59"/>
      <c r="BC38" s="59"/>
      <c r="GP38" s="54"/>
      <c r="GQ38" s="54"/>
    </row>
    <row r="39" spans="1:199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4"/>
        <v/>
      </c>
      <c r="H39" s="100" t="str">
        <f t="shared" si="5"/>
        <v/>
      </c>
      <c r="I39" s="101">
        <f t="shared" si="6"/>
        <v>0</v>
      </c>
      <c r="J39" s="100" t="str">
        <f t="shared" si="1"/>
        <v/>
      </c>
      <c r="K39" s="6" t="str">
        <f t="shared" si="7"/>
        <v/>
      </c>
      <c r="L39" s="6" t="str">
        <f t="shared" si="7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4"/>
      <c r="X39" s="3"/>
      <c r="Y39" s="8"/>
      <c r="Z39" s="8"/>
      <c r="AA39" s="3"/>
      <c r="AB39" s="3"/>
      <c r="AC39" s="3"/>
      <c r="AD39" s="3"/>
      <c r="AE39" s="3"/>
      <c r="AF39" s="8"/>
      <c r="AG39" s="8"/>
      <c r="AH39" s="3"/>
      <c r="AI39" s="3"/>
      <c r="AJ39" s="3"/>
      <c r="AK39" s="3"/>
      <c r="AL39" s="3"/>
      <c r="AM39" s="8"/>
      <c r="AN39" s="8"/>
      <c r="AO39" s="3"/>
      <c r="AP39" s="3"/>
      <c r="AQ39" s="3"/>
      <c r="AR39" s="3"/>
      <c r="AS39" s="3"/>
      <c r="AT39" s="8"/>
      <c r="AU39" s="8"/>
      <c r="AV39" s="3"/>
      <c r="AW39" s="3"/>
      <c r="AX39" s="3"/>
      <c r="AY39" s="3"/>
      <c r="AZ39" s="3"/>
      <c r="BA39" s="12"/>
      <c r="BB39" s="58"/>
      <c r="BC39" s="59"/>
      <c r="GP39" s="54"/>
      <c r="GQ39" s="54"/>
    </row>
    <row r="40" spans="1:199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4"/>
        <v/>
      </c>
      <c r="H40" s="100" t="str">
        <f t="shared" si="5"/>
        <v/>
      </c>
      <c r="I40" s="101">
        <f t="shared" si="6"/>
        <v>0</v>
      </c>
      <c r="J40" s="100" t="str">
        <f t="shared" si="1"/>
        <v/>
      </c>
      <c r="K40" s="6" t="str">
        <f t="shared" si="7"/>
        <v/>
      </c>
      <c r="L40" s="6" t="str">
        <f t="shared" si="7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4"/>
      <c r="X40" s="3"/>
      <c r="Y40" s="8"/>
      <c r="Z40" s="8"/>
      <c r="AA40" s="3"/>
      <c r="AB40" s="3"/>
      <c r="AC40" s="3"/>
      <c r="AD40" s="3"/>
      <c r="AE40" s="3"/>
      <c r="AF40" s="8"/>
      <c r="AG40" s="8"/>
      <c r="AH40" s="3"/>
      <c r="AI40" s="3"/>
      <c r="AJ40" s="3"/>
      <c r="AK40" s="3"/>
      <c r="AL40" s="3"/>
      <c r="AM40" s="8"/>
      <c r="AN40" s="8"/>
      <c r="AO40" s="3"/>
      <c r="AP40" s="3"/>
      <c r="AQ40" s="3"/>
      <c r="AR40" s="3"/>
      <c r="AS40" s="3"/>
      <c r="AT40" s="8"/>
      <c r="AU40" s="8"/>
      <c r="AV40" s="3"/>
      <c r="AW40" s="3"/>
      <c r="AX40" s="3"/>
      <c r="AY40" s="3"/>
      <c r="AZ40" s="3"/>
      <c r="BA40" s="12"/>
      <c r="BB40" s="58"/>
      <c r="BC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4"/>
        <v/>
      </c>
      <c r="H41" s="100" t="str">
        <f t="shared" si="5"/>
        <v/>
      </c>
      <c r="I41" s="101">
        <f t="shared" si="6"/>
        <v>0</v>
      </c>
      <c r="J41" s="100" t="str">
        <f t="shared" si="1"/>
        <v/>
      </c>
      <c r="K41" s="6" t="str">
        <f t="shared" si="7"/>
        <v/>
      </c>
      <c r="L41" s="6" t="str">
        <f t="shared" si="7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4"/>
      <c r="X41" s="3"/>
      <c r="Y41" s="8"/>
      <c r="Z41" s="8"/>
      <c r="AA41" s="3"/>
      <c r="AB41" s="3"/>
      <c r="AC41" s="3"/>
      <c r="AD41" s="3"/>
      <c r="AE41" s="3"/>
      <c r="AF41" s="8"/>
      <c r="AG41" s="8"/>
      <c r="AH41" s="3"/>
      <c r="AI41" s="3"/>
      <c r="AJ41" s="3"/>
      <c r="AK41" s="3"/>
      <c r="AL41" s="3"/>
      <c r="AM41" s="8"/>
      <c r="AN41" s="8"/>
      <c r="AO41" s="3"/>
      <c r="AP41" s="3"/>
      <c r="AQ41" s="3"/>
      <c r="AR41" s="3"/>
      <c r="AS41" s="3"/>
      <c r="AT41" s="8"/>
      <c r="AU41" s="8"/>
      <c r="AV41" s="3"/>
      <c r="AW41" s="3"/>
      <c r="AX41" s="3"/>
      <c r="AY41" s="3"/>
      <c r="AZ41" s="3"/>
      <c r="BA41" s="12"/>
      <c r="BB41" s="59"/>
      <c r="BC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4"/>
        <v/>
      </c>
      <c r="H42" s="100" t="str">
        <f t="shared" si="5"/>
        <v/>
      </c>
      <c r="I42" s="101">
        <f t="shared" si="6"/>
        <v>0</v>
      </c>
      <c r="J42" s="100" t="str">
        <f t="shared" si="1"/>
        <v/>
      </c>
      <c r="K42" s="6" t="str">
        <f t="shared" si="7"/>
        <v/>
      </c>
      <c r="L42" s="6" t="str">
        <f t="shared" si="7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4"/>
      <c r="X42" s="3"/>
      <c r="Y42" s="8"/>
      <c r="Z42" s="8"/>
      <c r="AA42" s="3"/>
      <c r="AB42" s="3"/>
      <c r="AC42" s="3"/>
      <c r="AD42" s="3"/>
      <c r="AE42" s="3"/>
      <c r="AF42" s="8"/>
      <c r="AG42" s="8"/>
      <c r="AH42" s="3"/>
      <c r="AI42" s="3"/>
      <c r="AJ42" s="3"/>
      <c r="AK42" s="3"/>
      <c r="AL42" s="3"/>
      <c r="AM42" s="8"/>
      <c r="AN42" s="8"/>
      <c r="AO42" s="3"/>
      <c r="AP42" s="3"/>
      <c r="AQ42" s="3"/>
      <c r="AR42" s="3"/>
      <c r="AS42" s="3"/>
      <c r="AT42" s="8"/>
      <c r="AU42" s="8"/>
      <c r="AV42" s="3"/>
      <c r="AW42" s="3"/>
      <c r="AX42" s="3"/>
      <c r="AY42" s="3"/>
      <c r="AZ42" s="3"/>
      <c r="BA42" s="12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4"/>
        <v/>
      </c>
      <c r="H43" s="100" t="str">
        <f t="shared" si="5"/>
        <v/>
      </c>
      <c r="I43" s="101">
        <f t="shared" si="6"/>
        <v>0</v>
      </c>
      <c r="J43" s="100" t="str">
        <f t="shared" si="1"/>
        <v/>
      </c>
      <c r="K43" s="6" t="str">
        <f t="shared" si="7"/>
        <v/>
      </c>
      <c r="L43" s="6" t="str">
        <f t="shared" si="7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4"/>
      <c r="X43" s="3"/>
      <c r="Y43" s="8"/>
      <c r="Z43" s="8"/>
      <c r="AA43" s="3"/>
      <c r="AB43" s="3"/>
      <c r="AC43" s="3"/>
      <c r="AD43" s="3"/>
      <c r="AE43" s="3"/>
      <c r="AF43" s="8"/>
      <c r="AG43" s="8"/>
      <c r="AH43" s="3"/>
      <c r="AI43" s="3"/>
      <c r="AJ43" s="3"/>
      <c r="AK43" s="3"/>
      <c r="AL43" s="3"/>
      <c r="AM43" s="8"/>
      <c r="AN43" s="8"/>
      <c r="AO43" s="3"/>
      <c r="AP43" s="3"/>
      <c r="AQ43" s="3"/>
      <c r="AR43" s="3"/>
      <c r="AS43" s="3"/>
      <c r="AT43" s="8"/>
      <c r="AU43" s="8"/>
      <c r="AV43" s="3"/>
      <c r="AW43" s="3"/>
      <c r="AX43" s="3"/>
      <c r="AY43" s="3"/>
      <c r="AZ43" s="3"/>
      <c r="BA43" s="12"/>
      <c r="BB43" s="106"/>
      <c r="BC43" s="59"/>
      <c r="GP43" s="54"/>
      <c r="GQ43" s="54"/>
    </row>
    <row r="44" spans="1:199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4"/>
        <v/>
      </c>
      <c r="H44" s="100" t="str">
        <f t="shared" si="5"/>
        <v/>
      </c>
      <c r="I44" s="101">
        <f t="shared" si="6"/>
        <v>0</v>
      </c>
      <c r="J44" s="100" t="str">
        <f t="shared" si="1"/>
        <v/>
      </c>
      <c r="K44" s="6" t="str">
        <f t="shared" si="7"/>
        <v/>
      </c>
      <c r="L44" s="6" t="str">
        <f t="shared" si="7"/>
        <v/>
      </c>
      <c r="M44" s="6">
        <f t="shared" ref="M44:M75" si="8">(IF(O44="hT",4,0))+(IF(P44="hT",4,0))+(IF(Q44="hT",4,0))+(IF(R44="hT",4,0))+(IF(S44="hT",4,0))+T44+(COUNTIF(W44:BA44,"hT"))</f>
        <v>0</v>
      </c>
      <c r="N44" s="7">
        <f t="shared" ref="N44:N75" si="9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4"/>
      <c r="X44" s="3"/>
      <c r="Y44" s="8"/>
      <c r="Z44" s="8"/>
      <c r="AA44" s="3"/>
      <c r="AB44" s="3"/>
      <c r="AC44" s="3"/>
      <c r="AD44" s="3"/>
      <c r="AE44" s="3"/>
      <c r="AF44" s="8"/>
      <c r="AG44" s="8"/>
      <c r="AH44" s="3"/>
      <c r="AI44" s="3"/>
      <c r="AJ44" s="3"/>
      <c r="AK44" s="3"/>
      <c r="AL44" s="3"/>
      <c r="AM44" s="8"/>
      <c r="AN44" s="8"/>
      <c r="AO44" s="3"/>
      <c r="AP44" s="3"/>
      <c r="AQ44" s="3"/>
      <c r="AR44" s="3"/>
      <c r="AS44" s="3"/>
      <c r="AT44" s="8"/>
      <c r="AU44" s="8"/>
      <c r="AV44" s="3"/>
      <c r="AW44" s="3"/>
      <c r="AX44" s="3"/>
      <c r="AY44" s="3"/>
      <c r="AZ44" s="3"/>
      <c r="BA44" s="12"/>
      <c r="BB44" s="59"/>
      <c r="BC44" s="59"/>
      <c r="GP44" s="54"/>
      <c r="GQ44" s="54"/>
    </row>
    <row r="45" spans="1:199" ht="15" hidden="1" customHeight="1" x14ac:dyDescent="0.25">
      <c r="A45" s="97">
        <v>34</v>
      </c>
      <c r="B45" s="103"/>
      <c r="C45" s="104"/>
      <c r="D45" s="1"/>
      <c r="E45" s="105"/>
      <c r="F45" s="105"/>
      <c r="G45" s="100" t="str">
        <f t="shared" si="4"/>
        <v/>
      </c>
      <c r="H45" s="100" t="str">
        <f t="shared" si="5"/>
        <v/>
      </c>
      <c r="I45" s="101">
        <f t="shared" si="6"/>
        <v>0</v>
      </c>
      <c r="J45" s="100" t="str">
        <f t="shared" si="1"/>
        <v/>
      </c>
      <c r="K45" s="6" t="str">
        <f t="shared" si="7"/>
        <v/>
      </c>
      <c r="L45" s="6" t="str">
        <f t="shared" si="7"/>
        <v/>
      </c>
      <c r="M45" s="6">
        <f t="shared" si="8"/>
        <v>0</v>
      </c>
      <c r="N45" s="7">
        <f t="shared" si="9"/>
        <v>0</v>
      </c>
      <c r="O45" s="4"/>
      <c r="P45" s="3"/>
      <c r="Q45" s="3"/>
      <c r="R45" s="3"/>
      <c r="S45" s="3"/>
      <c r="T45" s="3"/>
      <c r="U45" s="5"/>
      <c r="V45" s="125"/>
      <c r="W45" s="4"/>
      <c r="X45" s="3"/>
      <c r="Y45" s="8"/>
      <c r="Z45" s="8"/>
      <c r="AA45" s="3"/>
      <c r="AB45" s="3"/>
      <c r="AC45" s="3"/>
      <c r="AD45" s="3"/>
      <c r="AE45" s="3"/>
      <c r="AF45" s="8"/>
      <c r="AG45" s="8"/>
      <c r="AH45" s="3"/>
      <c r="AI45" s="3"/>
      <c r="AJ45" s="3"/>
      <c r="AK45" s="3"/>
      <c r="AL45" s="3"/>
      <c r="AM45" s="8"/>
      <c r="AN45" s="8"/>
      <c r="AO45" s="3"/>
      <c r="AP45" s="3"/>
      <c r="AQ45" s="3"/>
      <c r="AR45" s="3"/>
      <c r="AS45" s="3"/>
      <c r="AT45" s="8"/>
      <c r="AU45" s="8"/>
      <c r="AV45" s="3"/>
      <c r="AW45" s="3"/>
      <c r="AX45" s="3"/>
      <c r="AY45" s="3"/>
      <c r="AZ45" s="3"/>
      <c r="BA45" s="12"/>
      <c r="BB45" s="59"/>
      <c r="BC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2"/>
      <c r="E46" s="105"/>
      <c r="F46" s="105"/>
      <c r="G46" s="100" t="str">
        <f t="shared" si="4"/>
        <v/>
      </c>
      <c r="H46" s="100" t="str">
        <f t="shared" si="5"/>
        <v/>
      </c>
      <c r="I46" s="101">
        <f t="shared" si="6"/>
        <v>0</v>
      </c>
      <c r="J46" s="100" t="str">
        <f t="shared" si="1"/>
        <v/>
      </c>
      <c r="K46" s="6" t="str">
        <f t="shared" si="7"/>
        <v/>
      </c>
      <c r="L46" s="6" t="str">
        <f t="shared" si="7"/>
        <v/>
      </c>
      <c r="M46" s="6">
        <f t="shared" si="8"/>
        <v>0</v>
      </c>
      <c r="N46" s="7">
        <f t="shared" si="9"/>
        <v>0</v>
      </c>
      <c r="O46" s="4"/>
      <c r="P46" s="3"/>
      <c r="Q46" s="3"/>
      <c r="R46" s="3"/>
      <c r="S46" s="3"/>
      <c r="T46" s="3"/>
      <c r="U46" s="5"/>
      <c r="V46" s="125"/>
      <c r="W46" s="4"/>
      <c r="X46" s="3"/>
      <c r="Y46" s="8"/>
      <c r="Z46" s="8"/>
      <c r="AA46" s="3"/>
      <c r="AB46" s="3"/>
      <c r="AC46" s="3"/>
      <c r="AD46" s="3"/>
      <c r="AE46" s="3"/>
      <c r="AF46" s="8"/>
      <c r="AG46" s="8"/>
      <c r="AH46" s="3"/>
      <c r="AI46" s="3"/>
      <c r="AJ46" s="3"/>
      <c r="AK46" s="3"/>
      <c r="AL46" s="3"/>
      <c r="AM46" s="8"/>
      <c r="AN46" s="8"/>
      <c r="AO46" s="3"/>
      <c r="AP46" s="3"/>
      <c r="AQ46" s="3"/>
      <c r="AR46" s="3"/>
      <c r="AS46" s="3"/>
      <c r="AT46" s="8"/>
      <c r="AU46" s="8"/>
      <c r="AV46" s="3"/>
      <c r="AW46" s="3"/>
      <c r="AX46" s="3"/>
      <c r="AY46" s="3"/>
      <c r="AZ46" s="3"/>
      <c r="BA46" s="12"/>
      <c r="BB46" s="59"/>
      <c r="BC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4"/>
        <v/>
      </c>
      <c r="H47" s="100" t="str">
        <f t="shared" si="5"/>
        <v/>
      </c>
      <c r="I47" s="101">
        <f t="shared" si="6"/>
        <v>0</v>
      </c>
      <c r="J47" s="100" t="str">
        <f t="shared" si="1"/>
        <v/>
      </c>
      <c r="K47" s="6" t="str">
        <f t="shared" si="7"/>
        <v/>
      </c>
      <c r="L47" s="6" t="str">
        <f t="shared" si="7"/>
        <v/>
      </c>
      <c r="M47" s="6">
        <f t="shared" si="8"/>
        <v>0</v>
      </c>
      <c r="N47" s="7">
        <f t="shared" si="9"/>
        <v>0</v>
      </c>
      <c r="O47" s="4"/>
      <c r="P47" s="3"/>
      <c r="Q47" s="3"/>
      <c r="R47" s="3"/>
      <c r="S47" s="3"/>
      <c r="T47" s="3"/>
      <c r="U47" s="5"/>
      <c r="V47" s="125"/>
      <c r="W47" s="4"/>
      <c r="X47" s="3"/>
      <c r="Y47" s="8"/>
      <c r="Z47" s="8"/>
      <c r="AA47" s="3"/>
      <c r="AB47" s="3"/>
      <c r="AC47" s="3"/>
      <c r="AD47" s="3"/>
      <c r="AE47" s="3"/>
      <c r="AF47" s="8"/>
      <c r="AG47" s="8"/>
      <c r="AH47" s="3"/>
      <c r="AI47" s="3"/>
      <c r="AJ47" s="3"/>
      <c r="AK47" s="3"/>
      <c r="AL47" s="3"/>
      <c r="AM47" s="8"/>
      <c r="AN47" s="8"/>
      <c r="AO47" s="3"/>
      <c r="AP47" s="3"/>
      <c r="AQ47" s="3"/>
      <c r="AR47" s="3"/>
      <c r="AS47" s="3"/>
      <c r="AT47" s="8"/>
      <c r="AU47" s="8"/>
      <c r="AV47" s="3"/>
      <c r="AW47" s="3"/>
      <c r="AX47" s="3"/>
      <c r="AY47" s="3"/>
      <c r="AZ47" s="3"/>
      <c r="BA47" s="12"/>
      <c r="BB47" s="59"/>
      <c r="BC47" s="59"/>
      <c r="GP47" s="54"/>
      <c r="GQ47" s="54"/>
    </row>
    <row r="48" spans="1:199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4"/>
        <v/>
      </c>
      <c r="H48" s="100" t="str">
        <f t="shared" si="5"/>
        <v/>
      </c>
      <c r="I48" s="101">
        <f t="shared" si="6"/>
        <v>0</v>
      </c>
      <c r="J48" s="100" t="str">
        <f t="shared" si="1"/>
        <v/>
      </c>
      <c r="K48" s="6" t="str">
        <f t="shared" si="7"/>
        <v/>
      </c>
      <c r="L48" s="6" t="str">
        <f t="shared" si="7"/>
        <v/>
      </c>
      <c r="M48" s="6">
        <f t="shared" si="8"/>
        <v>0</v>
      </c>
      <c r="N48" s="7">
        <f t="shared" si="9"/>
        <v>0</v>
      </c>
      <c r="O48" s="4"/>
      <c r="P48" s="3"/>
      <c r="Q48" s="3"/>
      <c r="R48" s="3"/>
      <c r="S48" s="3"/>
      <c r="T48" s="3"/>
      <c r="U48" s="5"/>
      <c r="V48" s="125"/>
      <c r="W48" s="4"/>
      <c r="X48" s="3"/>
      <c r="Y48" s="8"/>
      <c r="Z48" s="8"/>
      <c r="AA48" s="3"/>
      <c r="AB48" s="3"/>
      <c r="AC48" s="3"/>
      <c r="AD48" s="3"/>
      <c r="AE48" s="3"/>
      <c r="AF48" s="8"/>
      <c r="AG48" s="8"/>
      <c r="AH48" s="3"/>
      <c r="AI48" s="3"/>
      <c r="AJ48" s="3"/>
      <c r="AK48" s="3"/>
      <c r="AL48" s="3"/>
      <c r="AM48" s="8"/>
      <c r="AN48" s="8"/>
      <c r="AO48" s="3"/>
      <c r="AP48" s="3"/>
      <c r="AQ48" s="3"/>
      <c r="AR48" s="3"/>
      <c r="AS48" s="3"/>
      <c r="AT48" s="8"/>
      <c r="AU48" s="8"/>
      <c r="AV48" s="3"/>
      <c r="AW48" s="3"/>
      <c r="AX48" s="3"/>
      <c r="AY48" s="3"/>
      <c r="AZ48" s="3"/>
      <c r="BA48" s="12"/>
      <c r="BB48" s="59"/>
      <c r="BC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4"/>
        <v/>
      </c>
      <c r="H49" s="100" t="str">
        <f t="shared" si="5"/>
        <v/>
      </c>
      <c r="I49" s="101">
        <f t="shared" si="6"/>
        <v>0</v>
      </c>
      <c r="J49" s="100" t="str">
        <f t="shared" si="1"/>
        <v/>
      </c>
      <c r="K49" s="6" t="str">
        <f t="shared" si="7"/>
        <v/>
      </c>
      <c r="L49" s="6" t="str">
        <f t="shared" si="7"/>
        <v/>
      </c>
      <c r="M49" s="6">
        <f t="shared" si="8"/>
        <v>0</v>
      </c>
      <c r="N49" s="7">
        <f t="shared" si="9"/>
        <v>0</v>
      </c>
      <c r="O49" s="4"/>
      <c r="P49" s="3"/>
      <c r="Q49" s="3"/>
      <c r="R49" s="3"/>
      <c r="S49" s="3"/>
      <c r="T49" s="3"/>
      <c r="U49" s="5"/>
      <c r="V49" s="125"/>
      <c r="W49" s="4"/>
      <c r="X49" s="3"/>
      <c r="Y49" s="8"/>
      <c r="Z49" s="8"/>
      <c r="AA49" s="3"/>
      <c r="AB49" s="3"/>
      <c r="AC49" s="3"/>
      <c r="AD49" s="3"/>
      <c r="AE49" s="3"/>
      <c r="AF49" s="8"/>
      <c r="AG49" s="8"/>
      <c r="AH49" s="3"/>
      <c r="AI49" s="3"/>
      <c r="AJ49" s="3"/>
      <c r="AK49" s="3"/>
      <c r="AL49" s="3"/>
      <c r="AM49" s="8"/>
      <c r="AN49" s="8"/>
      <c r="AO49" s="3"/>
      <c r="AP49" s="3"/>
      <c r="AQ49" s="3"/>
      <c r="AR49" s="3"/>
      <c r="AS49" s="3"/>
      <c r="AT49" s="8"/>
      <c r="AU49" s="8"/>
      <c r="AV49" s="3"/>
      <c r="AW49" s="3"/>
      <c r="AX49" s="3"/>
      <c r="AY49" s="3"/>
      <c r="AZ49" s="3"/>
      <c r="BA49" s="12"/>
      <c r="BB49" s="59"/>
      <c r="BC49" s="59"/>
      <c r="GP49" s="54"/>
      <c r="GQ49" s="54"/>
    </row>
    <row r="50" spans="1:199" ht="15" hidden="1" customHeight="1" x14ac:dyDescent="0.25">
      <c r="A50" s="97">
        <v>39</v>
      </c>
      <c r="B50" s="103"/>
      <c r="C50" s="104"/>
      <c r="D50" s="1"/>
      <c r="E50" s="105"/>
      <c r="F50" s="105"/>
      <c r="G50" s="100" t="str">
        <f t="shared" si="4"/>
        <v/>
      </c>
      <c r="H50" s="100" t="str">
        <f t="shared" si="5"/>
        <v/>
      </c>
      <c r="I50" s="101">
        <f t="shared" si="6"/>
        <v>0</v>
      </c>
      <c r="J50" s="100" t="str">
        <f t="shared" si="1"/>
        <v/>
      </c>
      <c r="K50" s="6" t="str">
        <f t="shared" si="7"/>
        <v/>
      </c>
      <c r="L50" s="6" t="str">
        <f t="shared" si="7"/>
        <v/>
      </c>
      <c r="M50" s="6">
        <f t="shared" si="8"/>
        <v>0</v>
      </c>
      <c r="N50" s="7">
        <f t="shared" si="9"/>
        <v>0</v>
      </c>
      <c r="O50" s="4"/>
      <c r="P50" s="3"/>
      <c r="Q50" s="3"/>
      <c r="R50" s="3"/>
      <c r="S50" s="3"/>
      <c r="T50" s="3"/>
      <c r="U50" s="5"/>
      <c r="V50" s="125"/>
      <c r="W50" s="4"/>
      <c r="X50" s="3"/>
      <c r="Y50" s="8"/>
      <c r="Z50" s="8"/>
      <c r="AA50" s="3"/>
      <c r="AB50" s="3"/>
      <c r="AC50" s="3"/>
      <c r="AD50" s="3"/>
      <c r="AE50" s="3"/>
      <c r="AF50" s="8"/>
      <c r="AG50" s="8"/>
      <c r="AH50" s="3"/>
      <c r="AI50" s="3"/>
      <c r="AJ50" s="3"/>
      <c r="AK50" s="3"/>
      <c r="AL50" s="3"/>
      <c r="AM50" s="8"/>
      <c r="AN50" s="8"/>
      <c r="AO50" s="3"/>
      <c r="AP50" s="3"/>
      <c r="AQ50" s="3"/>
      <c r="AR50" s="3"/>
      <c r="AS50" s="3"/>
      <c r="AT50" s="8"/>
      <c r="AU50" s="8"/>
      <c r="AV50" s="3"/>
      <c r="AW50" s="3"/>
      <c r="AX50" s="3"/>
      <c r="AY50" s="3"/>
      <c r="AZ50" s="3"/>
      <c r="BA50" s="12"/>
      <c r="BB50" s="59"/>
      <c r="BC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4"/>
        <v/>
      </c>
      <c r="H51" s="100" t="str">
        <f t="shared" si="5"/>
        <v/>
      </c>
      <c r="I51" s="101">
        <f t="shared" si="6"/>
        <v>0</v>
      </c>
      <c r="J51" s="100" t="str">
        <f t="shared" si="1"/>
        <v/>
      </c>
      <c r="K51" s="6" t="str">
        <f t="shared" si="7"/>
        <v/>
      </c>
      <c r="L51" s="6" t="str">
        <f t="shared" si="7"/>
        <v/>
      </c>
      <c r="M51" s="6">
        <f t="shared" si="8"/>
        <v>0</v>
      </c>
      <c r="N51" s="7">
        <f t="shared" si="9"/>
        <v>0</v>
      </c>
      <c r="O51" s="4"/>
      <c r="P51" s="3"/>
      <c r="Q51" s="3"/>
      <c r="R51" s="3"/>
      <c r="S51" s="3"/>
      <c r="T51" s="3"/>
      <c r="U51" s="5"/>
      <c r="V51" s="125"/>
      <c r="W51" s="4"/>
      <c r="X51" s="3"/>
      <c r="Y51" s="8"/>
      <c r="Z51" s="8"/>
      <c r="AA51" s="3"/>
      <c r="AB51" s="3"/>
      <c r="AC51" s="3"/>
      <c r="AD51" s="3"/>
      <c r="AE51" s="3"/>
      <c r="AF51" s="8"/>
      <c r="AG51" s="8"/>
      <c r="AH51" s="3"/>
      <c r="AI51" s="3"/>
      <c r="AJ51" s="3"/>
      <c r="AK51" s="3"/>
      <c r="AL51" s="3"/>
      <c r="AM51" s="8"/>
      <c r="AN51" s="8"/>
      <c r="AO51" s="3"/>
      <c r="AP51" s="3"/>
      <c r="AQ51" s="3"/>
      <c r="AR51" s="3"/>
      <c r="AS51" s="3"/>
      <c r="AT51" s="8"/>
      <c r="AU51" s="8"/>
      <c r="AV51" s="3"/>
      <c r="AW51" s="3"/>
      <c r="AX51" s="3"/>
      <c r="AY51" s="3"/>
      <c r="AZ51" s="3"/>
      <c r="BA51" s="12"/>
      <c r="BB51" s="59"/>
      <c r="BC51" s="59"/>
      <c r="GP51" s="54"/>
      <c r="GQ51" s="54"/>
    </row>
    <row r="52" spans="1:199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4"/>
        <v/>
      </c>
      <c r="H52" s="100" t="str">
        <f t="shared" si="5"/>
        <v/>
      </c>
      <c r="I52" s="101">
        <f t="shared" si="6"/>
        <v>0</v>
      </c>
      <c r="J52" s="100" t="str">
        <f t="shared" si="1"/>
        <v/>
      </c>
      <c r="K52" s="6" t="str">
        <f t="shared" si="7"/>
        <v/>
      </c>
      <c r="L52" s="6" t="str">
        <f t="shared" si="7"/>
        <v/>
      </c>
      <c r="M52" s="6">
        <f t="shared" si="8"/>
        <v>0</v>
      </c>
      <c r="N52" s="7">
        <f t="shared" si="9"/>
        <v>0</v>
      </c>
      <c r="O52" s="4"/>
      <c r="P52" s="3"/>
      <c r="Q52" s="3"/>
      <c r="R52" s="3"/>
      <c r="S52" s="3"/>
      <c r="T52" s="3"/>
      <c r="U52" s="5"/>
      <c r="V52" s="125"/>
      <c r="W52" s="4"/>
      <c r="X52" s="3"/>
      <c r="Y52" s="8"/>
      <c r="Z52" s="8"/>
      <c r="AA52" s="3"/>
      <c r="AB52" s="3"/>
      <c r="AC52" s="3"/>
      <c r="AD52" s="3"/>
      <c r="AE52" s="3"/>
      <c r="AF52" s="8"/>
      <c r="AG52" s="8"/>
      <c r="AH52" s="3"/>
      <c r="AI52" s="3"/>
      <c r="AJ52" s="3"/>
      <c r="AK52" s="3"/>
      <c r="AL52" s="3"/>
      <c r="AM52" s="8"/>
      <c r="AN52" s="8"/>
      <c r="AO52" s="3"/>
      <c r="AP52" s="3"/>
      <c r="AQ52" s="3"/>
      <c r="AR52" s="3"/>
      <c r="AS52" s="3"/>
      <c r="AT52" s="8"/>
      <c r="AU52" s="8"/>
      <c r="AV52" s="3"/>
      <c r="AW52" s="3"/>
      <c r="AX52" s="3"/>
      <c r="AY52" s="3"/>
      <c r="AZ52" s="3"/>
      <c r="BA52" s="12"/>
      <c r="BB52" s="59"/>
      <c r="BC52" s="59"/>
      <c r="GP52" s="54"/>
      <c r="GQ52" s="54"/>
    </row>
    <row r="53" spans="1:199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4"/>
        <v/>
      </c>
      <c r="H53" s="100" t="str">
        <f t="shared" si="5"/>
        <v/>
      </c>
      <c r="I53" s="101">
        <f t="shared" si="6"/>
        <v>0</v>
      </c>
      <c r="J53" s="100" t="str">
        <f t="shared" si="1"/>
        <v/>
      </c>
      <c r="K53" s="6" t="str">
        <f t="shared" si="7"/>
        <v/>
      </c>
      <c r="L53" s="6" t="str">
        <f t="shared" si="7"/>
        <v/>
      </c>
      <c r="M53" s="6">
        <f t="shared" si="8"/>
        <v>0</v>
      </c>
      <c r="N53" s="7">
        <f t="shared" si="9"/>
        <v>0</v>
      </c>
      <c r="O53" s="4"/>
      <c r="P53" s="3"/>
      <c r="Q53" s="3"/>
      <c r="R53" s="3"/>
      <c r="S53" s="3"/>
      <c r="T53" s="3"/>
      <c r="U53" s="5"/>
      <c r="V53" s="125"/>
      <c r="W53" s="4"/>
      <c r="X53" s="3"/>
      <c r="Y53" s="8"/>
      <c r="Z53" s="8"/>
      <c r="AA53" s="3"/>
      <c r="AB53" s="3"/>
      <c r="AC53" s="3"/>
      <c r="AD53" s="3"/>
      <c r="AE53" s="3"/>
      <c r="AF53" s="8"/>
      <c r="AG53" s="8"/>
      <c r="AH53" s="3"/>
      <c r="AI53" s="3"/>
      <c r="AJ53" s="3"/>
      <c r="AK53" s="3"/>
      <c r="AL53" s="3"/>
      <c r="AM53" s="8"/>
      <c r="AN53" s="8"/>
      <c r="AO53" s="3"/>
      <c r="AP53" s="3"/>
      <c r="AQ53" s="3"/>
      <c r="AR53" s="3"/>
      <c r="AS53" s="3"/>
      <c r="AT53" s="8"/>
      <c r="AU53" s="8"/>
      <c r="AV53" s="3"/>
      <c r="AW53" s="3"/>
      <c r="AX53" s="3"/>
      <c r="AY53" s="3"/>
      <c r="AZ53" s="3"/>
      <c r="BA53" s="12"/>
      <c r="BB53" s="59"/>
      <c r="BC53" s="59"/>
      <c r="GP53" s="54"/>
      <c r="GQ53" s="54"/>
    </row>
    <row r="54" spans="1:199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4"/>
        <v/>
      </c>
      <c r="H54" s="100" t="str">
        <f t="shared" si="5"/>
        <v/>
      </c>
      <c r="I54" s="101">
        <f t="shared" si="6"/>
        <v>0</v>
      </c>
      <c r="J54" s="100" t="str">
        <f t="shared" si="1"/>
        <v/>
      </c>
      <c r="K54" s="6" t="str">
        <f t="shared" si="7"/>
        <v/>
      </c>
      <c r="L54" s="6" t="str">
        <f t="shared" si="7"/>
        <v/>
      </c>
      <c r="M54" s="6">
        <f t="shared" si="8"/>
        <v>0</v>
      </c>
      <c r="N54" s="7">
        <f t="shared" si="9"/>
        <v>0</v>
      </c>
      <c r="O54" s="4"/>
      <c r="P54" s="3"/>
      <c r="Q54" s="3"/>
      <c r="R54" s="3"/>
      <c r="S54" s="3"/>
      <c r="T54" s="3"/>
      <c r="U54" s="5"/>
      <c r="V54" s="125"/>
      <c r="W54" s="4"/>
      <c r="X54" s="3"/>
      <c r="Y54" s="8"/>
      <c r="Z54" s="8"/>
      <c r="AA54" s="3"/>
      <c r="AB54" s="3"/>
      <c r="AC54" s="3"/>
      <c r="AD54" s="3"/>
      <c r="AE54" s="3"/>
      <c r="AF54" s="8"/>
      <c r="AG54" s="8"/>
      <c r="AH54" s="3"/>
      <c r="AI54" s="3"/>
      <c r="AJ54" s="3"/>
      <c r="AK54" s="3"/>
      <c r="AL54" s="3"/>
      <c r="AM54" s="8"/>
      <c r="AN54" s="8"/>
      <c r="AO54" s="3"/>
      <c r="AP54" s="3"/>
      <c r="AQ54" s="3"/>
      <c r="AR54" s="3"/>
      <c r="AS54" s="3"/>
      <c r="AT54" s="8"/>
      <c r="AU54" s="8"/>
      <c r="AV54" s="3"/>
      <c r="AW54" s="3"/>
      <c r="AX54" s="3"/>
      <c r="AY54" s="3"/>
      <c r="AZ54" s="3"/>
      <c r="BA54" s="12"/>
      <c r="BB54" s="59"/>
      <c r="BC54" s="59"/>
      <c r="GP54" s="54"/>
      <c r="GQ54" s="54"/>
    </row>
    <row r="55" spans="1:199" ht="15" hidden="1" customHeight="1" x14ac:dyDescent="0.25">
      <c r="A55" s="97">
        <v>44</v>
      </c>
      <c r="B55" s="103"/>
      <c r="C55" s="104"/>
      <c r="D55" s="2"/>
      <c r="E55" s="105"/>
      <c r="F55" s="105"/>
      <c r="G55" s="100" t="str">
        <f t="shared" si="4"/>
        <v/>
      </c>
      <c r="H55" s="100" t="str">
        <f t="shared" si="5"/>
        <v/>
      </c>
      <c r="I55" s="101">
        <f t="shared" si="6"/>
        <v>0</v>
      </c>
      <c r="J55" s="100" t="str">
        <f t="shared" si="1"/>
        <v/>
      </c>
      <c r="K55" s="6" t="str">
        <f t="shared" si="7"/>
        <v/>
      </c>
      <c r="L55" s="6" t="str">
        <f t="shared" si="7"/>
        <v/>
      </c>
      <c r="M55" s="6">
        <f t="shared" si="8"/>
        <v>0</v>
      </c>
      <c r="N55" s="7">
        <f t="shared" si="9"/>
        <v>0</v>
      </c>
      <c r="O55" s="4"/>
      <c r="P55" s="3"/>
      <c r="Q55" s="3"/>
      <c r="R55" s="3"/>
      <c r="S55" s="3"/>
      <c r="T55" s="3"/>
      <c r="U55" s="5"/>
      <c r="V55" s="125"/>
      <c r="W55" s="4"/>
      <c r="X55" s="3"/>
      <c r="Y55" s="8"/>
      <c r="Z55" s="8"/>
      <c r="AA55" s="3"/>
      <c r="AB55" s="3"/>
      <c r="AC55" s="3"/>
      <c r="AD55" s="3"/>
      <c r="AE55" s="3"/>
      <c r="AF55" s="8"/>
      <c r="AG55" s="8"/>
      <c r="AH55" s="3"/>
      <c r="AI55" s="3"/>
      <c r="AJ55" s="3"/>
      <c r="AK55" s="3"/>
      <c r="AL55" s="3"/>
      <c r="AM55" s="8"/>
      <c r="AN55" s="8"/>
      <c r="AO55" s="3"/>
      <c r="AP55" s="3"/>
      <c r="AQ55" s="3"/>
      <c r="AR55" s="3"/>
      <c r="AS55" s="3"/>
      <c r="AT55" s="8"/>
      <c r="AU55" s="8"/>
      <c r="AV55" s="3"/>
      <c r="AW55" s="3"/>
      <c r="AX55" s="3"/>
      <c r="AY55" s="3"/>
      <c r="AZ55" s="3"/>
      <c r="BA55" s="12"/>
      <c r="BB55" s="59"/>
      <c r="BC55" s="59"/>
      <c r="GP55" s="54"/>
      <c r="GQ55" s="54"/>
    </row>
    <row r="56" spans="1:199" ht="15" hidden="1" customHeight="1" x14ac:dyDescent="0.25">
      <c r="A56" s="97">
        <v>45</v>
      </c>
      <c r="B56" s="103"/>
      <c r="C56" s="104"/>
      <c r="D56" s="1"/>
      <c r="E56" s="105"/>
      <c r="F56" s="105"/>
      <c r="G56" s="100" t="str">
        <f t="shared" si="4"/>
        <v/>
      </c>
      <c r="H56" s="100" t="str">
        <f t="shared" si="5"/>
        <v/>
      </c>
      <c r="I56" s="101">
        <f t="shared" si="6"/>
        <v>0</v>
      </c>
      <c r="J56" s="100" t="str">
        <f t="shared" si="1"/>
        <v/>
      </c>
      <c r="K56" s="6" t="str">
        <f t="shared" si="7"/>
        <v/>
      </c>
      <c r="L56" s="6" t="str">
        <f t="shared" si="7"/>
        <v/>
      </c>
      <c r="M56" s="6">
        <f t="shared" si="8"/>
        <v>0</v>
      </c>
      <c r="N56" s="7">
        <f t="shared" si="9"/>
        <v>0</v>
      </c>
      <c r="O56" s="4"/>
      <c r="P56" s="3"/>
      <c r="Q56" s="3"/>
      <c r="R56" s="3"/>
      <c r="S56" s="3"/>
      <c r="T56" s="3"/>
      <c r="U56" s="5"/>
      <c r="V56" s="125"/>
      <c r="W56" s="4"/>
      <c r="X56" s="3"/>
      <c r="Y56" s="8"/>
      <c r="Z56" s="8"/>
      <c r="AA56" s="3"/>
      <c r="AB56" s="3"/>
      <c r="AC56" s="3"/>
      <c r="AD56" s="3"/>
      <c r="AE56" s="3"/>
      <c r="AF56" s="8"/>
      <c r="AG56" s="8"/>
      <c r="AH56" s="3"/>
      <c r="AI56" s="3"/>
      <c r="AJ56" s="3"/>
      <c r="AK56" s="3"/>
      <c r="AL56" s="3"/>
      <c r="AM56" s="8"/>
      <c r="AN56" s="8"/>
      <c r="AO56" s="3"/>
      <c r="AP56" s="3"/>
      <c r="AQ56" s="3"/>
      <c r="AR56" s="3"/>
      <c r="AS56" s="3"/>
      <c r="AT56" s="8"/>
      <c r="AU56" s="8"/>
      <c r="AV56" s="3"/>
      <c r="AW56" s="3"/>
      <c r="AX56" s="3"/>
      <c r="AY56" s="3"/>
      <c r="AZ56" s="3"/>
      <c r="BA56" s="12"/>
      <c r="BB56" s="59"/>
      <c r="BC56" s="59"/>
      <c r="GP56" s="54"/>
      <c r="GQ56" s="54"/>
    </row>
    <row r="57" spans="1:199" ht="15" hidden="1" customHeight="1" x14ac:dyDescent="0.25">
      <c r="A57" s="102">
        <v>46</v>
      </c>
      <c r="B57" s="103"/>
      <c r="C57" s="104"/>
      <c r="D57" s="1"/>
      <c r="E57" s="105"/>
      <c r="F57" s="105"/>
      <c r="G57" s="100" t="str">
        <f t="shared" si="4"/>
        <v/>
      </c>
      <c r="H57" s="100" t="str">
        <f t="shared" si="5"/>
        <v/>
      </c>
      <c r="I57" s="101">
        <f t="shared" si="6"/>
        <v>0</v>
      </c>
      <c r="J57" s="100" t="str">
        <f t="shared" si="1"/>
        <v/>
      </c>
      <c r="K57" s="6" t="str">
        <f t="shared" si="7"/>
        <v/>
      </c>
      <c r="L57" s="6" t="str">
        <f t="shared" si="7"/>
        <v/>
      </c>
      <c r="M57" s="6">
        <f t="shared" si="8"/>
        <v>0</v>
      </c>
      <c r="N57" s="7">
        <f t="shared" si="9"/>
        <v>0</v>
      </c>
      <c r="O57" s="4"/>
      <c r="P57" s="3"/>
      <c r="Q57" s="3"/>
      <c r="R57" s="3"/>
      <c r="S57" s="3"/>
      <c r="T57" s="3"/>
      <c r="U57" s="5"/>
      <c r="V57" s="125"/>
      <c r="W57" s="4"/>
      <c r="X57" s="3"/>
      <c r="Y57" s="8"/>
      <c r="Z57" s="8"/>
      <c r="AA57" s="3"/>
      <c r="AB57" s="3"/>
      <c r="AC57" s="3"/>
      <c r="AD57" s="3"/>
      <c r="AE57" s="3"/>
      <c r="AF57" s="8"/>
      <c r="AG57" s="8"/>
      <c r="AH57" s="3"/>
      <c r="AI57" s="3"/>
      <c r="AJ57" s="3"/>
      <c r="AK57" s="3"/>
      <c r="AL57" s="3"/>
      <c r="AM57" s="8"/>
      <c r="AN57" s="8"/>
      <c r="AO57" s="3"/>
      <c r="AP57" s="3"/>
      <c r="AQ57" s="3"/>
      <c r="AR57" s="3"/>
      <c r="AS57" s="3"/>
      <c r="AT57" s="8"/>
      <c r="AU57" s="8"/>
      <c r="AV57" s="3"/>
      <c r="AW57" s="3"/>
      <c r="AX57" s="3"/>
      <c r="AY57" s="3"/>
      <c r="AZ57" s="3"/>
      <c r="BA57" s="12"/>
      <c r="BB57" s="59"/>
      <c r="BC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4"/>
        <v/>
      </c>
      <c r="H58" s="100" t="str">
        <f t="shared" si="5"/>
        <v/>
      </c>
      <c r="I58" s="101">
        <f t="shared" si="6"/>
        <v>0</v>
      </c>
      <c r="J58" s="100" t="str">
        <f t="shared" si="1"/>
        <v/>
      </c>
      <c r="K58" s="6" t="str">
        <f t="shared" si="7"/>
        <v/>
      </c>
      <c r="L58" s="6" t="str">
        <f t="shared" si="7"/>
        <v/>
      </c>
      <c r="M58" s="6">
        <f t="shared" si="8"/>
        <v>0</v>
      </c>
      <c r="N58" s="7">
        <f t="shared" si="9"/>
        <v>0</v>
      </c>
      <c r="O58" s="4"/>
      <c r="P58" s="3"/>
      <c r="Q58" s="3"/>
      <c r="R58" s="3"/>
      <c r="S58" s="3"/>
      <c r="T58" s="3"/>
      <c r="U58" s="5"/>
      <c r="V58" s="125"/>
      <c r="W58" s="4"/>
      <c r="X58" s="3"/>
      <c r="Y58" s="8"/>
      <c r="Z58" s="8"/>
      <c r="AA58" s="3"/>
      <c r="AB58" s="3"/>
      <c r="AC58" s="3"/>
      <c r="AD58" s="3"/>
      <c r="AE58" s="3"/>
      <c r="AF58" s="8"/>
      <c r="AG58" s="8"/>
      <c r="AH58" s="3"/>
      <c r="AI58" s="3"/>
      <c r="AJ58" s="3"/>
      <c r="AK58" s="3"/>
      <c r="AL58" s="3"/>
      <c r="AM58" s="8"/>
      <c r="AN58" s="8"/>
      <c r="AO58" s="3"/>
      <c r="AP58" s="3"/>
      <c r="AQ58" s="3"/>
      <c r="AR58" s="3"/>
      <c r="AS58" s="3"/>
      <c r="AT58" s="8"/>
      <c r="AU58" s="8"/>
      <c r="AV58" s="3"/>
      <c r="AW58" s="3"/>
      <c r="AX58" s="3"/>
      <c r="AY58" s="3"/>
      <c r="AZ58" s="3"/>
      <c r="BA58" s="12"/>
      <c r="BB58" s="59"/>
      <c r="BC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4"/>
        <v/>
      </c>
      <c r="H59" s="100" t="str">
        <f t="shared" si="5"/>
        <v/>
      </c>
      <c r="I59" s="101">
        <f t="shared" si="6"/>
        <v>0</v>
      </c>
      <c r="J59" s="100" t="str">
        <f t="shared" si="1"/>
        <v/>
      </c>
      <c r="K59" s="6" t="str">
        <f t="shared" si="7"/>
        <v/>
      </c>
      <c r="L59" s="6" t="str">
        <f t="shared" si="7"/>
        <v/>
      </c>
      <c r="M59" s="6">
        <f t="shared" si="8"/>
        <v>0</v>
      </c>
      <c r="N59" s="7">
        <f t="shared" si="9"/>
        <v>0</v>
      </c>
      <c r="O59" s="4"/>
      <c r="P59" s="3"/>
      <c r="Q59" s="3"/>
      <c r="R59" s="3"/>
      <c r="S59" s="3"/>
      <c r="T59" s="3"/>
      <c r="U59" s="5"/>
      <c r="V59" s="125"/>
      <c r="W59" s="4"/>
      <c r="X59" s="3"/>
      <c r="Y59" s="8"/>
      <c r="Z59" s="8"/>
      <c r="AA59" s="3"/>
      <c r="AB59" s="3"/>
      <c r="AC59" s="3"/>
      <c r="AD59" s="3"/>
      <c r="AE59" s="3"/>
      <c r="AF59" s="8"/>
      <c r="AG59" s="8"/>
      <c r="AH59" s="3"/>
      <c r="AI59" s="3"/>
      <c r="AJ59" s="3"/>
      <c r="AK59" s="3"/>
      <c r="AL59" s="3"/>
      <c r="AM59" s="8"/>
      <c r="AN59" s="8"/>
      <c r="AO59" s="3"/>
      <c r="AP59" s="3"/>
      <c r="AQ59" s="3"/>
      <c r="AR59" s="3"/>
      <c r="AS59" s="3"/>
      <c r="AT59" s="8"/>
      <c r="AU59" s="8"/>
      <c r="AV59" s="3"/>
      <c r="AW59" s="3"/>
      <c r="AX59" s="3"/>
      <c r="AY59" s="3"/>
      <c r="AZ59" s="3"/>
      <c r="BA59" s="12"/>
      <c r="BB59" s="59"/>
      <c r="BC59" s="59"/>
      <c r="GP59" s="54"/>
      <c r="GQ59" s="54"/>
    </row>
    <row r="60" spans="1:199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4"/>
        <v/>
      </c>
      <c r="H60" s="100" t="str">
        <f t="shared" si="5"/>
        <v/>
      </c>
      <c r="I60" s="101">
        <f t="shared" si="6"/>
        <v>0</v>
      </c>
      <c r="J60" s="100" t="str">
        <f t="shared" si="1"/>
        <v/>
      </c>
      <c r="K60" s="6" t="str">
        <f t="shared" si="7"/>
        <v/>
      </c>
      <c r="L60" s="6" t="str">
        <f t="shared" si="7"/>
        <v/>
      </c>
      <c r="M60" s="6">
        <f t="shared" si="8"/>
        <v>0</v>
      </c>
      <c r="N60" s="7">
        <f t="shared" si="9"/>
        <v>0</v>
      </c>
      <c r="O60" s="4"/>
      <c r="P60" s="3"/>
      <c r="Q60" s="3"/>
      <c r="R60" s="3"/>
      <c r="S60" s="3"/>
      <c r="T60" s="3"/>
      <c r="U60" s="5"/>
      <c r="V60" s="125"/>
      <c r="W60" s="4"/>
      <c r="X60" s="3"/>
      <c r="Y60" s="8"/>
      <c r="Z60" s="8"/>
      <c r="AA60" s="3"/>
      <c r="AB60" s="3"/>
      <c r="AC60" s="3"/>
      <c r="AD60" s="3"/>
      <c r="AE60" s="3"/>
      <c r="AF60" s="8"/>
      <c r="AG60" s="8"/>
      <c r="AH60" s="3"/>
      <c r="AI60" s="3"/>
      <c r="AJ60" s="3"/>
      <c r="AK60" s="3"/>
      <c r="AL60" s="3"/>
      <c r="AM60" s="8"/>
      <c r="AN60" s="8"/>
      <c r="AO60" s="3"/>
      <c r="AP60" s="3"/>
      <c r="AQ60" s="3"/>
      <c r="AR60" s="3"/>
      <c r="AS60" s="3"/>
      <c r="AT60" s="8"/>
      <c r="AU60" s="8"/>
      <c r="AV60" s="3"/>
      <c r="AW60" s="3"/>
      <c r="AX60" s="3"/>
      <c r="AY60" s="3"/>
      <c r="AZ60" s="3"/>
      <c r="BA60" s="12"/>
      <c r="BB60" s="59"/>
      <c r="BC60" s="59"/>
      <c r="GP60" s="54"/>
      <c r="GQ60" s="54"/>
    </row>
    <row r="61" spans="1:199" ht="15" hidden="1" customHeight="1" x14ac:dyDescent="0.25">
      <c r="A61" s="97">
        <v>50</v>
      </c>
      <c r="B61" s="103"/>
      <c r="C61" s="104"/>
      <c r="D61" s="1"/>
      <c r="E61" s="105"/>
      <c r="F61" s="105"/>
      <c r="G61" s="100" t="str">
        <f t="shared" ref="G61:G111" si="10">IF(ISBLANK(E61),"",E61*10)</f>
        <v/>
      </c>
      <c r="H61" s="100" t="str">
        <f t="shared" ref="H61:H111" si="11">IF(ISBLANK(F61),"",F61*20)</f>
        <v/>
      </c>
      <c r="I61" s="101">
        <f t="shared" ref="I61:I111" si="12">SUM(G61,H61)</f>
        <v>0</v>
      </c>
      <c r="J61" s="100" t="str">
        <f t="shared" si="1"/>
        <v/>
      </c>
      <c r="K61" s="6" t="str">
        <f t="shared" ref="K61:K111" si="13">IF(M61=E61,"","X")</f>
        <v/>
      </c>
      <c r="L61" s="6" t="str">
        <f t="shared" ref="L61:L111" si="14">IF(N61=F61,"","X")</f>
        <v/>
      </c>
      <c r="M61" s="6">
        <f t="shared" si="8"/>
        <v>0</v>
      </c>
      <c r="N61" s="7">
        <f t="shared" si="9"/>
        <v>0</v>
      </c>
      <c r="O61" s="4"/>
      <c r="P61" s="3"/>
      <c r="Q61" s="3"/>
      <c r="R61" s="3"/>
      <c r="S61" s="3"/>
      <c r="T61" s="3"/>
      <c r="U61" s="5"/>
      <c r="V61" s="125"/>
      <c r="W61" s="4"/>
      <c r="X61" s="3"/>
      <c r="Y61" s="8"/>
      <c r="Z61" s="8"/>
      <c r="AA61" s="3"/>
      <c r="AB61" s="3"/>
      <c r="AC61" s="3"/>
      <c r="AD61" s="3"/>
      <c r="AE61" s="3"/>
      <c r="AF61" s="8"/>
      <c r="AG61" s="8"/>
      <c r="AH61" s="3"/>
      <c r="AI61" s="3"/>
      <c r="AJ61" s="3"/>
      <c r="AK61" s="3"/>
      <c r="AL61" s="3"/>
      <c r="AM61" s="8"/>
      <c r="AN61" s="8"/>
      <c r="AO61" s="3"/>
      <c r="AP61" s="3"/>
      <c r="AQ61" s="3"/>
      <c r="AR61" s="3"/>
      <c r="AS61" s="3"/>
      <c r="AT61" s="8"/>
      <c r="AU61" s="8"/>
      <c r="AV61" s="3"/>
      <c r="AW61" s="3"/>
      <c r="AX61" s="3"/>
      <c r="AY61" s="3"/>
      <c r="AZ61" s="3"/>
      <c r="BA61" s="12"/>
      <c r="BB61" s="59"/>
      <c r="BC61" s="59"/>
      <c r="GP61" s="54"/>
      <c r="GQ61" s="54"/>
    </row>
    <row r="62" spans="1:199" ht="15" hidden="1" customHeight="1" x14ac:dyDescent="0.25">
      <c r="A62" s="102">
        <v>51</v>
      </c>
      <c r="B62" s="103"/>
      <c r="C62" s="104"/>
      <c r="D62" s="1"/>
      <c r="E62" s="105"/>
      <c r="F62" s="105"/>
      <c r="G62" s="100" t="str">
        <f t="shared" si="10"/>
        <v/>
      </c>
      <c r="H62" s="100" t="str">
        <f t="shared" si="11"/>
        <v/>
      </c>
      <c r="I62" s="101">
        <f t="shared" si="12"/>
        <v>0</v>
      </c>
      <c r="J62" s="100" t="str">
        <f t="shared" si="1"/>
        <v/>
      </c>
      <c r="K62" s="6" t="str">
        <f t="shared" si="13"/>
        <v/>
      </c>
      <c r="L62" s="6" t="str">
        <f t="shared" si="14"/>
        <v/>
      </c>
      <c r="M62" s="6">
        <f t="shared" si="8"/>
        <v>0</v>
      </c>
      <c r="N62" s="7">
        <f t="shared" si="9"/>
        <v>0</v>
      </c>
      <c r="O62" s="4"/>
      <c r="P62" s="3"/>
      <c r="Q62" s="3"/>
      <c r="R62" s="3"/>
      <c r="S62" s="3"/>
      <c r="T62" s="3"/>
      <c r="U62" s="5"/>
      <c r="V62" s="125"/>
      <c r="W62" s="4"/>
      <c r="X62" s="3"/>
      <c r="Y62" s="8"/>
      <c r="Z62" s="8"/>
      <c r="AA62" s="3"/>
      <c r="AB62" s="3"/>
      <c r="AC62" s="3"/>
      <c r="AD62" s="3"/>
      <c r="AE62" s="3"/>
      <c r="AF62" s="8"/>
      <c r="AG62" s="8"/>
      <c r="AH62" s="3"/>
      <c r="AI62" s="3"/>
      <c r="AJ62" s="3"/>
      <c r="AK62" s="3"/>
      <c r="AL62" s="3"/>
      <c r="AM62" s="8"/>
      <c r="AN62" s="8"/>
      <c r="AO62" s="3"/>
      <c r="AP62" s="3"/>
      <c r="AQ62" s="3"/>
      <c r="AR62" s="3"/>
      <c r="AS62" s="3"/>
      <c r="AT62" s="8"/>
      <c r="AU62" s="8"/>
      <c r="AV62" s="3"/>
      <c r="AW62" s="3"/>
      <c r="AX62" s="3"/>
      <c r="AY62" s="3"/>
      <c r="AZ62" s="3"/>
      <c r="BA62" s="12"/>
      <c r="BB62" s="59"/>
      <c r="BC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10"/>
        <v/>
      </c>
      <c r="H63" s="100" t="str">
        <f t="shared" si="11"/>
        <v/>
      </c>
      <c r="I63" s="101">
        <f t="shared" si="12"/>
        <v>0</v>
      </c>
      <c r="J63" s="100" t="str">
        <f t="shared" si="1"/>
        <v/>
      </c>
      <c r="K63" s="6" t="str">
        <f t="shared" si="13"/>
        <v/>
      </c>
      <c r="L63" s="6" t="str">
        <f t="shared" si="14"/>
        <v/>
      </c>
      <c r="M63" s="6">
        <f t="shared" si="8"/>
        <v>0</v>
      </c>
      <c r="N63" s="7">
        <f t="shared" si="9"/>
        <v>0</v>
      </c>
      <c r="O63" s="4"/>
      <c r="P63" s="3"/>
      <c r="Q63" s="3"/>
      <c r="R63" s="3"/>
      <c r="S63" s="3"/>
      <c r="T63" s="3"/>
      <c r="U63" s="5"/>
      <c r="V63" s="125"/>
      <c r="W63" s="4"/>
      <c r="X63" s="3"/>
      <c r="Y63" s="8"/>
      <c r="Z63" s="8"/>
      <c r="AA63" s="3"/>
      <c r="AB63" s="3"/>
      <c r="AC63" s="3"/>
      <c r="AD63" s="3"/>
      <c r="AE63" s="3"/>
      <c r="AF63" s="8"/>
      <c r="AG63" s="8"/>
      <c r="AH63" s="3"/>
      <c r="AI63" s="3"/>
      <c r="AJ63" s="3"/>
      <c r="AK63" s="3"/>
      <c r="AL63" s="3"/>
      <c r="AM63" s="8"/>
      <c r="AN63" s="8"/>
      <c r="AO63" s="3"/>
      <c r="AP63" s="3"/>
      <c r="AQ63" s="3"/>
      <c r="AR63" s="3"/>
      <c r="AS63" s="3"/>
      <c r="AT63" s="8"/>
      <c r="AU63" s="8"/>
      <c r="AV63" s="3"/>
      <c r="AW63" s="3"/>
      <c r="AX63" s="3"/>
      <c r="AY63" s="3"/>
      <c r="AZ63" s="3"/>
      <c r="BA63" s="12"/>
      <c r="BB63" s="59"/>
      <c r="BC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10"/>
        <v/>
      </c>
      <c r="H64" s="100" t="str">
        <f t="shared" si="11"/>
        <v/>
      </c>
      <c r="I64" s="101">
        <f t="shared" si="12"/>
        <v>0</v>
      </c>
      <c r="J64" s="100" t="str">
        <f t="shared" si="1"/>
        <v/>
      </c>
      <c r="K64" s="6" t="str">
        <f t="shared" si="13"/>
        <v/>
      </c>
      <c r="L64" s="6" t="str">
        <f t="shared" si="14"/>
        <v/>
      </c>
      <c r="M64" s="6">
        <f t="shared" si="8"/>
        <v>0</v>
      </c>
      <c r="N64" s="7">
        <f t="shared" si="9"/>
        <v>0</v>
      </c>
      <c r="O64" s="4"/>
      <c r="P64" s="3"/>
      <c r="Q64" s="3"/>
      <c r="R64" s="3"/>
      <c r="S64" s="3"/>
      <c r="T64" s="3"/>
      <c r="U64" s="5"/>
      <c r="V64" s="125"/>
      <c r="W64" s="4"/>
      <c r="X64" s="3"/>
      <c r="Y64" s="8"/>
      <c r="Z64" s="8"/>
      <c r="AA64" s="3"/>
      <c r="AB64" s="3"/>
      <c r="AC64" s="3"/>
      <c r="AD64" s="3"/>
      <c r="AE64" s="3"/>
      <c r="AF64" s="8"/>
      <c r="AG64" s="8"/>
      <c r="AH64" s="3"/>
      <c r="AI64" s="3"/>
      <c r="AJ64" s="3"/>
      <c r="AK64" s="3"/>
      <c r="AL64" s="3"/>
      <c r="AM64" s="8"/>
      <c r="AN64" s="8"/>
      <c r="AO64" s="3"/>
      <c r="AP64" s="3"/>
      <c r="AQ64" s="3"/>
      <c r="AR64" s="3"/>
      <c r="AS64" s="3"/>
      <c r="AT64" s="8"/>
      <c r="AU64" s="8"/>
      <c r="AV64" s="3"/>
      <c r="AW64" s="3"/>
      <c r="AX64" s="3"/>
      <c r="AY64" s="3"/>
      <c r="AZ64" s="3"/>
      <c r="BA64" s="12"/>
      <c r="BB64" s="59"/>
      <c r="BC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10"/>
        <v/>
      </c>
      <c r="H65" s="100" t="str">
        <f t="shared" si="11"/>
        <v/>
      </c>
      <c r="I65" s="101">
        <f t="shared" si="12"/>
        <v>0</v>
      </c>
      <c r="J65" s="100" t="str">
        <f t="shared" si="1"/>
        <v/>
      </c>
      <c r="K65" s="6" t="str">
        <f t="shared" si="13"/>
        <v/>
      </c>
      <c r="L65" s="6" t="str">
        <f t="shared" si="14"/>
        <v/>
      </c>
      <c r="M65" s="6">
        <f t="shared" si="8"/>
        <v>0</v>
      </c>
      <c r="N65" s="7">
        <f t="shared" si="9"/>
        <v>0</v>
      </c>
      <c r="O65" s="4"/>
      <c r="P65" s="3"/>
      <c r="Q65" s="3"/>
      <c r="R65" s="3"/>
      <c r="S65" s="3"/>
      <c r="T65" s="3"/>
      <c r="U65" s="5"/>
      <c r="V65" s="125"/>
      <c r="W65" s="4"/>
      <c r="X65" s="3"/>
      <c r="Y65" s="8"/>
      <c r="Z65" s="8"/>
      <c r="AA65" s="3"/>
      <c r="AB65" s="3"/>
      <c r="AC65" s="3"/>
      <c r="AD65" s="3"/>
      <c r="AE65" s="3"/>
      <c r="AF65" s="8"/>
      <c r="AG65" s="8"/>
      <c r="AH65" s="3"/>
      <c r="AI65" s="3"/>
      <c r="AJ65" s="3"/>
      <c r="AK65" s="3"/>
      <c r="AL65" s="3"/>
      <c r="AM65" s="8"/>
      <c r="AN65" s="8"/>
      <c r="AO65" s="3"/>
      <c r="AP65" s="3"/>
      <c r="AQ65" s="3"/>
      <c r="AR65" s="3"/>
      <c r="AS65" s="3"/>
      <c r="AT65" s="8"/>
      <c r="AU65" s="8"/>
      <c r="AV65" s="3"/>
      <c r="AW65" s="3"/>
      <c r="AX65" s="3"/>
      <c r="AY65" s="3"/>
      <c r="AZ65" s="3"/>
      <c r="BA65" s="12"/>
      <c r="BB65" s="59"/>
      <c r="BC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10"/>
        <v/>
      </c>
      <c r="H66" s="100" t="str">
        <f t="shared" si="11"/>
        <v/>
      </c>
      <c r="I66" s="101">
        <f t="shared" si="12"/>
        <v>0</v>
      </c>
      <c r="J66" s="100" t="str">
        <f t="shared" si="1"/>
        <v/>
      </c>
      <c r="K66" s="6" t="str">
        <f t="shared" si="13"/>
        <v/>
      </c>
      <c r="L66" s="6" t="str">
        <f t="shared" si="14"/>
        <v/>
      </c>
      <c r="M66" s="6">
        <f t="shared" si="8"/>
        <v>0</v>
      </c>
      <c r="N66" s="7">
        <f t="shared" si="9"/>
        <v>0</v>
      </c>
      <c r="O66" s="4"/>
      <c r="P66" s="3"/>
      <c r="Q66" s="3"/>
      <c r="R66" s="3"/>
      <c r="S66" s="3"/>
      <c r="T66" s="3"/>
      <c r="U66" s="5"/>
      <c r="V66" s="125"/>
      <c r="W66" s="4"/>
      <c r="X66" s="3"/>
      <c r="Y66" s="8"/>
      <c r="Z66" s="8"/>
      <c r="AA66" s="3"/>
      <c r="AB66" s="3"/>
      <c r="AC66" s="3"/>
      <c r="AD66" s="3"/>
      <c r="AE66" s="3"/>
      <c r="AF66" s="8"/>
      <c r="AG66" s="8"/>
      <c r="AH66" s="3"/>
      <c r="AI66" s="3"/>
      <c r="AJ66" s="3"/>
      <c r="AK66" s="3"/>
      <c r="AL66" s="3"/>
      <c r="AM66" s="8"/>
      <c r="AN66" s="8"/>
      <c r="AO66" s="3"/>
      <c r="AP66" s="3"/>
      <c r="AQ66" s="3"/>
      <c r="AR66" s="3"/>
      <c r="AS66" s="3"/>
      <c r="AT66" s="8"/>
      <c r="AU66" s="8"/>
      <c r="AV66" s="3"/>
      <c r="AW66" s="3"/>
      <c r="AX66" s="3"/>
      <c r="AY66" s="3"/>
      <c r="AZ66" s="3"/>
      <c r="BA66" s="12"/>
      <c r="BB66" s="59"/>
      <c r="BC66" s="59"/>
      <c r="GP66" s="54"/>
      <c r="GQ66" s="54"/>
    </row>
    <row r="67" spans="1:199" ht="15" hidden="1" customHeight="1" x14ac:dyDescent="0.25">
      <c r="A67" s="97">
        <v>56</v>
      </c>
      <c r="B67" s="103"/>
      <c r="C67" s="104"/>
      <c r="D67" s="1"/>
      <c r="E67" s="105"/>
      <c r="F67" s="105"/>
      <c r="G67" s="100" t="str">
        <f t="shared" si="10"/>
        <v/>
      </c>
      <c r="H67" s="100" t="str">
        <f t="shared" si="11"/>
        <v/>
      </c>
      <c r="I67" s="101">
        <f t="shared" si="12"/>
        <v>0</v>
      </c>
      <c r="J67" s="100" t="str">
        <f t="shared" si="1"/>
        <v/>
      </c>
      <c r="K67" s="6" t="str">
        <f t="shared" si="13"/>
        <v/>
      </c>
      <c r="L67" s="6" t="str">
        <f t="shared" si="14"/>
        <v/>
      </c>
      <c r="M67" s="6">
        <f t="shared" si="8"/>
        <v>0</v>
      </c>
      <c r="N67" s="7">
        <f t="shared" si="9"/>
        <v>0</v>
      </c>
      <c r="O67" s="4"/>
      <c r="P67" s="3"/>
      <c r="Q67" s="3"/>
      <c r="R67" s="3"/>
      <c r="S67" s="3"/>
      <c r="T67" s="3"/>
      <c r="U67" s="5"/>
      <c r="V67" s="125"/>
      <c r="W67" s="4"/>
      <c r="X67" s="3"/>
      <c r="Y67" s="8"/>
      <c r="Z67" s="8"/>
      <c r="AA67" s="3"/>
      <c r="AB67" s="3"/>
      <c r="AC67" s="3"/>
      <c r="AD67" s="3"/>
      <c r="AE67" s="3"/>
      <c r="AF67" s="8"/>
      <c r="AG67" s="8"/>
      <c r="AH67" s="3"/>
      <c r="AI67" s="3"/>
      <c r="AJ67" s="3"/>
      <c r="AK67" s="3"/>
      <c r="AL67" s="3"/>
      <c r="AM67" s="8"/>
      <c r="AN67" s="8"/>
      <c r="AO67" s="3"/>
      <c r="AP67" s="3"/>
      <c r="AQ67" s="3"/>
      <c r="AR67" s="3"/>
      <c r="AS67" s="3"/>
      <c r="AT67" s="8"/>
      <c r="AU67" s="8"/>
      <c r="AV67" s="3"/>
      <c r="AW67" s="3"/>
      <c r="AX67" s="3"/>
      <c r="AY67" s="3"/>
      <c r="AZ67" s="3"/>
      <c r="BA67" s="12"/>
      <c r="BB67" s="59"/>
      <c r="BC67" s="59"/>
      <c r="GP67" s="54"/>
      <c r="GQ67" s="54"/>
    </row>
    <row r="68" spans="1:199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10"/>
        <v/>
      </c>
      <c r="H68" s="100" t="str">
        <f t="shared" si="11"/>
        <v/>
      </c>
      <c r="I68" s="101">
        <f t="shared" si="12"/>
        <v>0</v>
      </c>
      <c r="J68" s="100" t="str">
        <f t="shared" si="1"/>
        <v/>
      </c>
      <c r="K68" s="6" t="str">
        <f t="shared" si="13"/>
        <v/>
      </c>
      <c r="L68" s="6" t="str">
        <f t="shared" si="14"/>
        <v/>
      </c>
      <c r="M68" s="6">
        <f t="shared" si="8"/>
        <v>0</v>
      </c>
      <c r="N68" s="7">
        <f t="shared" si="9"/>
        <v>0</v>
      </c>
      <c r="O68" s="4"/>
      <c r="P68" s="3"/>
      <c r="Q68" s="3"/>
      <c r="R68" s="3"/>
      <c r="S68" s="3"/>
      <c r="T68" s="3"/>
      <c r="U68" s="5"/>
      <c r="V68" s="125"/>
      <c r="W68" s="4"/>
      <c r="X68" s="3"/>
      <c r="Y68" s="8"/>
      <c r="Z68" s="8"/>
      <c r="AA68" s="3"/>
      <c r="AB68" s="3"/>
      <c r="AC68" s="3"/>
      <c r="AD68" s="3"/>
      <c r="AE68" s="3"/>
      <c r="AF68" s="8"/>
      <c r="AG68" s="8"/>
      <c r="AH68" s="3"/>
      <c r="AI68" s="3"/>
      <c r="AJ68" s="3"/>
      <c r="AK68" s="3"/>
      <c r="AL68" s="3"/>
      <c r="AM68" s="8"/>
      <c r="AN68" s="8"/>
      <c r="AO68" s="3"/>
      <c r="AP68" s="3"/>
      <c r="AQ68" s="3"/>
      <c r="AR68" s="3"/>
      <c r="AS68" s="3"/>
      <c r="AT68" s="8"/>
      <c r="AU68" s="8"/>
      <c r="AV68" s="3"/>
      <c r="AW68" s="3"/>
      <c r="AX68" s="3"/>
      <c r="AY68" s="3"/>
      <c r="AZ68" s="3"/>
      <c r="BA68" s="12"/>
      <c r="BB68" s="59"/>
      <c r="BC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10"/>
        <v/>
      </c>
      <c r="H69" s="100" t="str">
        <f t="shared" si="11"/>
        <v/>
      </c>
      <c r="I69" s="101">
        <f t="shared" si="12"/>
        <v>0</v>
      </c>
      <c r="J69" s="100" t="str">
        <f t="shared" si="1"/>
        <v/>
      </c>
      <c r="K69" s="6" t="str">
        <f t="shared" si="13"/>
        <v/>
      </c>
      <c r="L69" s="6" t="str">
        <f t="shared" si="14"/>
        <v/>
      </c>
      <c r="M69" s="6">
        <f t="shared" si="8"/>
        <v>0</v>
      </c>
      <c r="N69" s="7">
        <f t="shared" si="9"/>
        <v>0</v>
      </c>
      <c r="O69" s="4"/>
      <c r="P69" s="3"/>
      <c r="Q69" s="3"/>
      <c r="R69" s="3"/>
      <c r="S69" s="3"/>
      <c r="T69" s="3"/>
      <c r="U69" s="5"/>
      <c r="V69" s="125"/>
      <c r="W69" s="4"/>
      <c r="X69" s="3"/>
      <c r="Y69" s="8"/>
      <c r="Z69" s="8"/>
      <c r="AA69" s="3"/>
      <c r="AB69" s="3"/>
      <c r="AC69" s="3"/>
      <c r="AD69" s="3"/>
      <c r="AE69" s="3"/>
      <c r="AF69" s="8"/>
      <c r="AG69" s="8"/>
      <c r="AH69" s="3"/>
      <c r="AI69" s="3"/>
      <c r="AJ69" s="3"/>
      <c r="AK69" s="3"/>
      <c r="AL69" s="3"/>
      <c r="AM69" s="8"/>
      <c r="AN69" s="8"/>
      <c r="AO69" s="3"/>
      <c r="AP69" s="3"/>
      <c r="AQ69" s="3"/>
      <c r="AR69" s="3"/>
      <c r="AS69" s="3"/>
      <c r="AT69" s="8"/>
      <c r="AU69" s="8"/>
      <c r="AV69" s="3"/>
      <c r="AW69" s="3"/>
      <c r="AX69" s="3"/>
      <c r="AY69" s="3"/>
      <c r="AZ69" s="3"/>
      <c r="BA69" s="12"/>
      <c r="BB69" s="59"/>
      <c r="BC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10"/>
        <v/>
      </c>
      <c r="H70" s="100" t="str">
        <f t="shared" si="11"/>
        <v/>
      </c>
      <c r="I70" s="101">
        <f t="shared" si="12"/>
        <v>0</v>
      </c>
      <c r="J70" s="100" t="str">
        <f t="shared" si="1"/>
        <v/>
      </c>
      <c r="K70" s="6" t="str">
        <f t="shared" si="13"/>
        <v/>
      </c>
      <c r="L70" s="6" t="str">
        <f t="shared" si="14"/>
        <v/>
      </c>
      <c r="M70" s="6">
        <f t="shared" si="8"/>
        <v>0</v>
      </c>
      <c r="N70" s="7">
        <f t="shared" si="9"/>
        <v>0</v>
      </c>
      <c r="O70" s="4"/>
      <c r="P70" s="3"/>
      <c r="Q70" s="3"/>
      <c r="R70" s="3"/>
      <c r="S70" s="3"/>
      <c r="T70" s="3"/>
      <c r="U70" s="5"/>
      <c r="V70" s="125"/>
      <c r="W70" s="4"/>
      <c r="X70" s="3"/>
      <c r="Y70" s="8"/>
      <c r="Z70" s="8"/>
      <c r="AA70" s="3"/>
      <c r="AB70" s="3"/>
      <c r="AC70" s="3"/>
      <c r="AD70" s="3"/>
      <c r="AE70" s="3"/>
      <c r="AF70" s="8"/>
      <c r="AG70" s="8"/>
      <c r="AH70" s="3"/>
      <c r="AI70" s="3"/>
      <c r="AJ70" s="3"/>
      <c r="AK70" s="3"/>
      <c r="AL70" s="3"/>
      <c r="AM70" s="8"/>
      <c r="AN70" s="8"/>
      <c r="AO70" s="3"/>
      <c r="AP70" s="3"/>
      <c r="AQ70" s="3"/>
      <c r="AR70" s="3"/>
      <c r="AS70" s="3"/>
      <c r="AT70" s="8"/>
      <c r="AU70" s="8"/>
      <c r="AV70" s="3"/>
      <c r="AW70" s="3"/>
      <c r="AX70" s="3"/>
      <c r="AY70" s="3"/>
      <c r="AZ70" s="3"/>
      <c r="BA70" s="12"/>
      <c r="BB70" s="59"/>
      <c r="BC70" s="59"/>
      <c r="GP70" s="54"/>
      <c r="GQ70" s="54"/>
    </row>
    <row r="71" spans="1:199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10"/>
        <v/>
      </c>
      <c r="H71" s="100" t="str">
        <f t="shared" si="11"/>
        <v/>
      </c>
      <c r="I71" s="101">
        <f t="shared" si="12"/>
        <v>0</v>
      </c>
      <c r="J71" s="100" t="str">
        <f t="shared" si="1"/>
        <v/>
      </c>
      <c r="K71" s="6" t="str">
        <f t="shared" si="13"/>
        <v/>
      </c>
      <c r="L71" s="6" t="str">
        <f t="shared" si="14"/>
        <v/>
      </c>
      <c r="M71" s="6">
        <f t="shared" si="8"/>
        <v>0</v>
      </c>
      <c r="N71" s="7">
        <f t="shared" si="9"/>
        <v>0</v>
      </c>
      <c r="O71" s="4"/>
      <c r="P71" s="3"/>
      <c r="Q71" s="3"/>
      <c r="R71" s="3"/>
      <c r="S71" s="3"/>
      <c r="T71" s="3"/>
      <c r="U71" s="5"/>
      <c r="V71" s="125"/>
      <c r="W71" s="4"/>
      <c r="X71" s="3"/>
      <c r="Y71" s="8"/>
      <c r="Z71" s="8"/>
      <c r="AA71" s="3"/>
      <c r="AB71" s="3"/>
      <c r="AC71" s="3"/>
      <c r="AD71" s="3"/>
      <c r="AE71" s="3"/>
      <c r="AF71" s="8"/>
      <c r="AG71" s="8"/>
      <c r="AH71" s="3"/>
      <c r="AI71" s="3"/>
      <c r="AJ71" s="3"/>
      <c r="AK71" s="3"/>
      <c r="AL71" s="3"/>
      <c r="AM71" s="8"/>
      <c r="AN71" s="8"/>
      <c r="AO71" s="3"/>
      <c r="AP71" s="3"/>
      <c r="AQ71" s="3"/>
      <c r="AR71" s="3"/>
      <c r="AS71" s="3"/>
      <c r="AT71" s="8"/>
      <c r="AU71" s="8"/>
      <c r="AV71" s="3"/>
      <c r="AW71" s="3"/>
      <c r="AX71" s="3"/>
      <c r="AY71" s="3"/>
      <c r="AZ71" s="3"/>
      <c r="BA71" s="12"/>
      <c r="BB71" s="59"/>
      <c r="BC71" s="59"/>
      <c r="GP71" s="54"/>
      <c r="GQ71" s="54"/>
    </row>
    <row r="72" spans="1:199" ht="15" hidden="1" customHeight="1" x14ac:dyDescent="0.25">
      <c r="A72" s="97">
        <v>61</v>
      </c>
      <c r="B72" s="103"/>
      <c r="C72" s="104"/>
      <c r="D72" s="1"/>
      <c r="E72" s="105"/>
      <c r="F72" s="105"/>
      <c r="G72" s="100" t="str">
        <f t="shared" si="10"/>
        <v/>
      </c>
      <c r="H72" s="100" t="str">
        <f t="shared" si="11"/>
        <v/>
      </c>
      <c r="I72" s="101">
        <f t="shared" si="12"/>
        <v>0</v>
      </c>
      <c r="J72" s="100" t="str">
        <f t="shared" si="1"/>
        <v/>
      </c>
      <c r="K72" s="6" t="str">
        <f t="shared" si="13"/>
        <v/>
      </c>
      <c r="L72" s="6" t="str">
        <f t="shared" si="14"/>
        <v/>
      </c>
      <c r="M72" s="6">
        <f t="shared" si="8"/>
        <v>0</v>
      </c>
      <c r="N72" s="7">
        <f t="shared" si="9"/>
        <v>0</v>
      </c>
      <c r="O72" s="4"/>
      <c r="P72" s="3"/>
      <c r="Q72" s="3"/>
      <c r="R72" s="3"/>
      <c r="S72" s="3"/>
      <c r="T72" s="3"/>
      <c r="U72" s="5"/>
      <c r="V72" s="125"/>
      <c r="W72" s="4"/>
      <c r="X72" s="3"/>
      <c r="Y72" s="8"/>
      <c r="Z72" s="8"/>
      <c r="AA72" s="3"/>
      <c r="AB72" s="3"/>
      <c r="AC72" s="3"/>
      <c r="AD72" s="3"/>
      <c r="AE72" s="3"/>
      <c r="AF72" s="8"/>
      <c r="AG72" s="8"/>
      <c r="AH72" s="3"/>
      <c r="AI72" s="3"/>
      <c r="AJ72" s="3"/>
      <c r="AK72" s="3"/>
      <c r="AL72" s="3"/>
      <c r="AM72" s="8"/>
      <c r="AN72" s="8"/>
      <c r="AO72" s="3"/>
      <c r="AP72" s="3"/>
      <c r="AQ72" s="3"/>
      <c r="AR72" s="3"/>
      <c r="AS72" s="3"/>
      <c r="AT72" s="8"/>
      <c r="AU72" s="8"/>
      <c r="AV72" s="3"/>
      <c r="AW72" s="3"/>
      <c r="AX72" s="3"/>
      <c r="AY72" s="3"/>
      <c r="AZ72" s="3"/>
      <c r="BA72" s="12"/>
      <c r="BB72" s="59"/>
      <c r="BC72" s="59"/>
      <c r="GP72" s="54"/>
      <c r="GQ72" s="54"/>
    </row>
    <row r="73" spans="1:199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10"/>
        <v/>
      </c>
      <c r="H73" s="100" t="str">
        <f t="shared" si="11"/>
        <v/>
      </c>
      <c r="I73" s="101">
        <f t="shared" si="12"/>
        <v>0</v>
      </c>
      <c r="J73" s="100" t="str">
        <f t="shared" si="1"/>
        <v/>
      </c>
      <c r="K73" s="6" t="str">
        <f t="shared" si="13"/>
        <v/>
      </c>
      <c r="L73" s="6" t="str">
        <f t="shared" si="14"/>
        <v/>
      </c>
      <c r="M73" s="6">
        <f t="shared" si="8"/>
        <v>0</v>
      </c>
      <c r="N73" s="7">
        <f t="shared" si="9"/>
        <v>0</v>
      </c>
      <c r="O73" s="4"/>
      <c r="P73" s="3"/>
      <c r="Q73" s="3"/>
      <c r="R73" s="3"/>
      <c r="S73" s="3"/>
      <c r="T73" s="3"/>
      <c r="U73" s="5"/>
      <c r="V73" s="125"/>
      <c r="W73" s="4"/>
      <c r="X73" s="3"/>
      <c r="Y73" s="8"/>
      <c r="Z73" s="8"/>
      <c r="AA73" s="3"/>
      <c r="AB73" s="3"/>
      <c r="AC73" s="3"/>
      <c r="AD73" s="3"/>
      <c r="AE73" s="3"/>
      <c r="AF73" s="8"/>
      <c r="AG73" s="8"/>
      <c r="AH73" s="3"/>
      <c r="AI73" s="3"/>
      <c r="AJ73" s="3"/>
      <c r="AK73" s="3"/>
      <c r="AL73" s="3"/>
      <c r="AM73" s="8"/>
      <c r="AN73" s="8"/>
      <c r="AO73" s="3"/>
      <c r="AP73" s="3"/>
      <c r="AQ73" s="3"/>
      <c r="AR73" s="3"/>
      <c r="AS73" s="3"/>
      <c r="AT73" s="8"/>
      <c r="AU73" s="8"/>
      <c r="AV73" s="3"/>
      <c r="AW73" s="3"/>
      <c r="AX73" s="3"/>
      <c r="AY73" s="3"/>
      <c r="AZ73" s="3"/>
      <c r="BA73" s="12"/>
      <c r="BB73" s="59"/>
      <c r="BC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10"/>
        <v/>
      </c>
      <c r="H74" s="100" t="str">
        <f t="shared" si="11"/>
        <v/>
      </c>
      <c r="I74" s="101">
        <f t="shared" si="12"/>
        <v>0</v>
      </c>
      <c r="J74" s="100" t="str">
        <f t="shared" si="1"/>
        <v/>
      </c>
      <c r="K74" s="6" t="str">
        <f t="shared" si="13"/>
        <v/>
      </c>
      <c r="L74" s="6" t="str">
        <f t="shared" si="14"/>
        <v/>
      </c>
      <c r="M74" s="6">
        <f t="shared" si="8"/>
        <v>0</v>
      </c>
      <c r="N74" s="7">
        <f t="shared" si="9"/>
        <v>0</v>
      </c>
      <c r="O74" s="4"/>
      <c r="P74" s="3"/>
      <c r="Q74" s="3"/>
      <c r="R74" s="3"/>
      <c r="S74" s="3"/>
      <c r="T74" s="3"/>
      <c r="U74" s="5"/>
      <c r="V74" s="125"/>
      <c r="W74" s="4"/>
      <c r="X74" s="3"/>
      <c r="Y74" s="8"/>
      <c r="Z74" s="8"/>
      <c r="AA74" s="3"/>
      <c r="AB74" s="3"/>
      <c r="AC74" s="3"/>
      <c r="AD74" s="3"/>
      <c r="AE74" s="3"/>
      <c r="AF74" s="8"/>
      <c r="AG74" s="8"/>
      <c r="AH74" s="3"/>
      <c r="AI74" s="3"/>
      <c r="AJ74" s="3"/>
      <c r="AK74" s="3"/>
      <c r="AL74" s="3"/>
      <c r="AM74" s="8"/>
      <c r="AN74" s="8"/>
      <c r="AO74" s="3"/>
      <c r="AP74" s="3"/>
      <c r="AQ74" s="3"/>
      <c r="AR74" s="3"/>
      <c r="AS74" s="3"/>
      <c r="AT74" s="8"/>
      <c r="AU74" s="8"/>
      <c r="AV74" s="3"/>
      <c r="AW74" s="3"/>
      <c r="AX74" s="3"/>
      <c r="AY74" s="3"/>
      <c r="AZ74" s="3"/>
      <c r="BA74" s="12"/>
      <c r="BB74" s="59"/>
      <c r="BC74" s="59"/>
      <c r="GP74" s="54"/>
      <c r="GQ74" s="54"/>
    </row>
    <row r="75" spans="1:199" ht="15" hidden="1" customHeight="1" x14ac:dyDescent="0.25">
      <c r="A75" s="102">
        <v>64</v>
      </c>
      <c r="B75" s="103"/>
      <c r="C75" s="104"/>
      <c r="D75" s="1"/>
      <c r="E75" s="105"/>
      <c r="F75" s="105"/>
      <c r="G75" s="100" t="str">
        <f t="shared" si="10"/>
        <v/>
      </c>
      <c r="H75" s="100" t="str">
        <f t="shared" si="11"/>
        <v/>
      </c>
      <c r="I75" s="101">
        <f t="shared" si="12"/>
        <v>0</v>
      </c>
      <c r="J75" s="100" t="str">
        <f t="shared" si="1"/>
        <v/>
      </c>
      <c r="K75" s="6" t="str">
        <f t="shared" si="13"/>
        <v/>
      </c>
      <c r="L75" s="6" t="str">
        <f t="shared" si="14"/>
        <v/>
      </c>
      <c r="M75" s="6">
        <f t="shared" si="8"/>
        <v>0</v>
      </c>
      <c r="N75" s="7">
        <f t="shared" si="9"/>
        <v>0</v>
      </c>
      <c r="O75" s="4"/>
      <c r="P75" s="3"/>
      <c r="Q75" s="3"/>
      <c r="R75" s="3"/>
      <c r="S75" s="3"/>
      <c r="T75" s="3"/>
      <c r="U75" s="5"/>
      <c r="V75" s="125"/>
      <c r="W75" s="4"/>
      <c r="X75" s="3"/>
      <c r="Y75" s="8"/>
      <c r="Z75" s="8"/>
      <c r="AA75" s="3"/>
      <c r="AB75" s="3"/>
      <c r="AC75" s="3"/>
      <c r="AD75" s="3"/>
      <c r="AE75" s="3"/>
      <c r="AF75" s="8"/>
      <c r="AG75" s="8"/>
      <c r="AH75" s="3"/>
      <c r="AI75" s="3"/>
      <c r="AJ75" s="3"/>
      <c r="AK75" s="3"/>
      <c r="AL75" s="3"/>
      <c r="AM75" s="8"/>
      <c r="AN75" s="8"/>
      <c r="AO75" s="3"/>
      <c r="AP75" s="3"/>
      <c r="AQ75" s="3"/>
      <c r="AR75" s="3"/>
      <c r="AS75" s="3"/>
      <c r="AT75" s="8"/>
      <c r="AU75" s="8"/>
      <c r="AV75" s="3"/>
      <c r="AW75" s="3"/>
      <c r="AX75" s="3"/>
      <c r="AY75" s="3"/>
      <c r="AZ75" s="3"/>
      <c r="BA75" s="12"/>
      <c r="BB75" s="59"/>
      <c r="BC75" s="59"/>
      <c r="GP75" s="54"/>
      <c r="GQ75" s="54"/>
    </row>
    <row r="76" spans="1:199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10"/>
        <v/>
      </c>
      <c r="H76" s="100" t="str">
        <f t="shared" si="11"/>
        <v/>
      </c>
      <c r="I76" s="101">
        <f t="shared" si="12"/>
        <v>0</v>
      </c>
      <c r="J76" s="100" t="str">
        <f t="shared" ref="J76:J110" si="15">IF(I76&gt;0,12,"")</f>
        <v/>
      </c>
      <c r="K76" s="6" t="str">
        <f t="shared" si="13"/>
        <v/>
      </c>
      <c r="L76" s="6" t="str">
        <f t="shared" si="14"/>
        <v/>
      </c>
      <c r="M76" s="6">
        <f t="shared" ref="M76:M111" si="16">(IF(O76="hT",4,0))+(IF(P76="hT",4,0))+(IF(Q76="hT",4,0))+(IF(R76="hT",4,0))+(IF(S76="hT",4,0))+T76+(COUNTIF(W76:BA76,"hT"))</f>
        <v>0</v>
      </c>
      <c r="N76" s="7">
        <f t="shared" ref="N76:N107" si="17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4"/>
      <c r="X76" s="3"/>
      <c r="Y76" s="8"/>
      <c r="Z76" s="8"/>
      <c r="AA76" s="3"/>
      <c r="AB76" s="3"/>
      <c r="AC76" s="3"/>
      <c r="AD76" s="3"/>
      <c r="AE76" s="3"/>
      <c r="AF76" s="8"/>
      <c r="AG76" s="8"/>
      <c r="AH76" s="3"/>
      <c r="AI76" s="3"/>
      <c r="AJ76" s="3"/>
      <c r="AK76" s="3"/>
      <c r="AL76" s="3"/>
      <c r="AM76" s="8"/>
      <c r="AN76" s="8"/>
      <c r="AO76" s="3"/>
      <c r="AP76" s="3"/>
      <c r="AQ76" s="3"/>
      <c r="AR76" s="3"/>
      <c r="AS76" s="3"/>
      <c r="AT76" s="8"/>
      <c r="AU76" s="8"/>
      <c r="AV76" s="3"/>
      <c r="AW76" s="3"/>
      <c r="AX76" s="3"/>
      <c r="AY76" s="3"/>
      <c r="AZ76" s="3"/>
      <c r="BA76" s="12"/>
      <c r="BB76" s="59"/>
      <c r="BC76" s="59"/>
      <c r="GP76" s="54"/>
      <c r="GQ76" s="54"/>
    </row>
    <row r="77" spans="1:199" ht="15" hidden="1" customHeight="1" x14ac:dyDescent="0.25">
      <c r="A77" s="97">
        <v>66</v>
      </c>
      <c r="B77" s="103"/>
      <c r="C77" s="104"/>
      <c r="D77" s="1"/>
      <c r="E77" s="105"/>
      <c r="F77" s="105"/>
      <c r="G77" s="100" t="str">
        <f t="shared" si="10"/>
        <v/>
      </c>
      <c r="H77" s="100" t="str">
        <f t="shared" si="11"/>
        <v/>
      </c>
      <c r="I77" s="101">
        <f t="shared" si="12"/>
        <v>0</v>
      </c>
      <c r="J77" s="100" t="str">
        <f t="shared" si="15"/>
        <v/>
      </c>
      <c r="K77" s="6" t="str">
        <f t="shared" si="13"/>
        <v/>
      </c>
      <c r="L77" s="6" t="str">
        <f t="shared" si="14"/>
        <v/>
      </c>
      <c r="M77" s="6">
        <f t="shared" si="16"/>
        <v>0</v>
      </c>
      <c r="N77" s="7">
        <f t="shared" si="17"/>
        <v>0</v>
      </c>
      <c r="O77" s="4"/>
      <c r="P77" s="3"/>
      <c r="Q77" s="3"/>
      <c r="R77" s="3"/>
      <c r="S77" s="3"/>
      <c r="T77" s="3"/>
      <c r="U77" s="5"/>
      <c r="V77" s="125"/>
      <c r="W77" s="4"/>
      <c r="X77" s="3"/>
      <c r="Y77" s="8"/>
      <c r="Z77" s="8"/>
      <c r="AA77" s="3"/>
      <c r="AB77" s="3"/>
      <c r="AC77" s="3"/>
      <c r="AD77" s="3"/>
      <c r="AE77" s="3"/>
      <c r="AF77" s="8"/>
      <c r="AG77" s="8"/>
      <c r="AH77" s="3"/>
      <c r="AI77" s="3"/>
      <c r="AJ77" s="3"/>
      <c r="AK77" s="3"/>
      <c r="AL77" s="3"/>
      <c r="AM77" s="8"/>
      <c r="AN77" s="8"/>
      <c r="AO77" s="3"/>
      <c r="AP77" s="3"/>
      <c r="AQ77" s="3"/>
      <c r="AR77" s="3"/>
      <c r="AS77" s="3"/>
      <c r="AT77" s="8"/>
      <c r="AU77" s="8"/>
      <c r="AV77" s="3"/>
      <c r="AW77" s="3"/>
      <c r="AX77" s="3"/>
      <c r="AY77" s="3"/>
      <c r="AZ77" s="3"/>
      <c r="BA77" s="12"/>
      <c r="BB77" s="59"/>
      <c r="BC77" s="59"/>
      <c r="GP77" s="54"/>
      <c r="GQ77" s="54"/>
    </row>
    <row r="78" spans="1:199" ht="15" hidden="1" customHeight="1" x14ac:dyDescent="0.25">
      <c r="A78" s="97">
        <v>67</v>
      </c>
      <c r="B78" s="103"/>
      <c r="C78" s="104"/>
      <c r="D78" s="1"/>
      <c r="E78" s="105"/>
      <c r="F78" s="105"/>
      <c r="G78" s="100" t="str">
        <f t="shared" si="10"/>
        <v/>
      </c>
      <c r="H78" s="100" t="str">
        <f t="shared" si="11"/>
        <v/>
      </c>
      <c r="I78" s="101">
        <f t="shared" si="12"/>
        <v>0</v>
      </c>
      <c r="J78" s="100" t="str">
        <f t="shared" si="15"/>
        <v/>
      </c>
      <c r="K78" s="6" t="str">
        <f t="shared" si="13"/>
        <v/>
      </c>
      <c r="L78" s="6" t="str">
        <f t="shared" si="14"/>
        <v/>
      </c>
      <c r="M78" s="6">
        <f t="shared" si="16"/>
        <v>0</v>
      </c>
      <c r="N78" s="7">
        <f t="shared" si="17"/>
        <v>0</v>
      </c>
      <c r="O78" s="4"/>
      <c r="P78" s="3"/>
      <c r="Q78" s="3"/>
      <c r="R78" s="3"/>
      <c r="S78" s="3"/>
      <c r="T78" s="3"/>
      <c r="U78" s="5"/>
      <c r="V78" s="125"/>
      <c r="W78" s="4"/>
      <c r="X78" s="3"/>
      <c r="Y78" s="8"/>
      <c r="Z78" s="8"/>
      <c r="AA78" s="3"/>
      <c r="AB78" s="3"/>
      <c r="AC78" s="3"/>
      <c r="AD78" s="3"/>
      <c r="AE78" s="3"/>
      <c r="AF78" s="8"/>
      <c r="AG78" s="8"/>
      <c r="AH78" s="3"/>
      <c r="AI78" s="3"/>
      <c r="AJ78" s="3"/>
      <c r="AK78" s="3"/>
      <c r="AL78" s="3"/>
      <c r="AM78" s="8"/>
      <c r="AN78" s="8"/>
      <c r="AO78" s="3"/>
      <c r="AP78" s="3"/>
      <c r="AQ78" s="3"/>
      <c r="AR78" s="3"/>
      <c r="AS78" s="3"/>
      <c r="AT78" s="8"/>
      <c r="AU78" s="8"/>
      <c r="AV78" s="3"/>
      <c r="AW78" s="3"/>
      <c r="AX78" s="3"/>
      <c r="AY78" s="3"/>
      <c r="AZ78" s="3"/>
      <c r="BA78" s="12"/>
      <c r="BB78" s="59"/>
      <c r="BC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10"/>
        <v/>
      </c>
      <c r="H79" s="100" t="str">
        <f t="shared" si="11"/>
        <v/>
      </c>
      <c r="I79" s="101">
        <f t="shared" si="12"/>
        <v>0</v>
      </c>
      <c r="J79" s="100" t="str">
        <f t="shared" si="15"/>
        <v/>
      </c>
      <c r="K79" s="6" t="str">
        <f t="shared" si="13"/>
        <v/>
      </c>
      <c r="L79" s="6" t="str">
        <f t="shared" si="14"/>
        <v/>
      </c>
      <c r="M79" s="6">
        <f t="shared" si="16"/>
        <v>0</v>
      </c>
      <c r="N79" s="7">
        <f t="shared" si="17"/>
        <v>0</v>
      </c>
      <c r="O79" s="4"/>
      <c r="P79" s="3"/>
      <c r="Q79" s="3"/>
      <c r="R79" s="3"/>
      <c r="S79" s="3"/>
      <c r="T79" s="3"/>
      <c r="U79" s="5"/>
      <c r="V79" s="125"/>
      <c r="W79" s="4"/>
      <c r="X79" s="3"/>
      <c r="Y79" s="8"/>
      <c r="Z79" s="8"/>
      <c r="AA79" s="3"/>
      <c r="AB79" s="3"/>
      <c r="AC79" s="3"/>
      <c r="AD79" s="3"/>
      <c r="AE79" s="3"/>
      <c r="AF79" s="8"/>
      <c r="AG79" s="8"/>
      <c r="AH79" s="3"/>
      <c r="AI79" s="3"/>
      <c r="AJ79" s="3"/>
      <c r="AK79" s="3"/>
      <c r="AL79" s="3"/>
      <c r="AM79" s="8"/>
      <c r="AN79" s="8"/>
      <c r="AO79" s="3"/>
      <c r="AP79" s="3"/>
      <c r="AQ79" s="3"/>
      <c r="AR79" s="3"/>
      <c r="AS79" s="3"/>
      <c r="AT79" s="8"/>
      <c r="AU79" s="8"/>
      <c r="AV79" s="3"/>
      <c r="AW79" s="3"/>
      <c r="AX79" s="3"/>
      <c r="AY79" s="3"/>
      <c r="AZ79" s="3"/>
      <c r="BA79" s="12"/>
      <c r="BB79" s="59"/>
      <c r="BC79" s="59"/>
      <c r="GP79" s="54"/>
      <c r="GQ79" s="54"/>
    </row>
    <row r="80" spans="1:199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10"/>
        <v/>
      </c>
      <c r="H80" s="100" t="str">
        <f t="shared" si="11"/>
        <v/>
      </c>
      <c r="I80" s="101">
        <f t="shared" si="12"/>
        <v>0</v>
      </c>
      <c r="J80" s="100" t="str">
        <f t="shared" si="15"/>
        <v/>
      </c>
      <c r="K80" s="6" t="str">
        <f t="shared" si="13"/>
        <v/>
      </c>
      <c r="L80" s="6" t="str">
        <f t="shared" si="14"/>
        <v/>
      </c>
      <c r="M80" s="6">
        <f t="shared" si="16"/>
        <v>0</v>
      </c>
      <c r="N80" s="7">
        <f t="shared" si="17"/>
        <v>0</v>
      </c>
      <c r="O80" s="4"/>
      <c r="P80" s="3"/>
      <c r="Q80" s="3"/>
      <c r="R80" s="3"/>
      <c r="S80" s="3"/>
      <c r="T80" s="3"/>
      <c r="U80" s="5"/>
      <c r="V80" s="125"/>
      <c r="W80" s="4"/>
      <c r="X80" s="3"/>
      <c r="Y80" s="8"/>
      <c r="Z80" s="8"/>
      <c r="AA80" s="3"/>
      <c r="AB80" s="3"/>
      <c r="AC80" s="3"/>
      <c r="AD80" s="3"/>
      <c r="AE80" s="3"/>
      <c r="AF80" s="8"/>
      <c r="AG80" s="8"/>
      <c r="AH80" s="3"/>
      <c r="AI80" s="3"/>
      <c r="AJ80" s="3"/>
      <c r="AK80" s="3"/>
      <c r="AL80" s="3"/>
      <c r="AM80" s="8"/>
      <c r="AN80" s="8"/>
      <c r="AO80" s="3"/>
      <c r="AP80" s="3"/>
      <c r="AQ80" s="3"/>
      <c r="AR80" s="3"/>
      <c r="AS80" s="3"/>
      <c r="AT80" s="8"/>
      <c r="AU80" s="8"/>
      <c r="AV80" s="3"/>
      <c r="AW80" s="3"/>
      <c r="AX80" s="3"/>
      <c r="AY80" s="3"/>
      <c r="AZ80" s="3"/>
      <c r="BA80" s="12"/>
      <c r="BB80" s="59"/>
      <c r="BC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10"/>
        <v/>
      </c>
      <c r="H81" s="100" t="str">
        <f t="shared" si="11"/>
        <v/>
      </c>
      <c r="I81" s="101">
        <f t="shared" si="12"/>
        <v>0</v>
      </c>
      <c r="J81" s="100" t="str">
        <f t="shared" si="15"/>
        <v/>
      </c>
      <c r="K81" s="6" t="str">
        <f t="shared" si="13"/>
        <v/>
      </c>
      <c r="L81" s="6" t="str">
        <f t="shared" si="14"/>
        <v/>
      </c>
      <c r="M81" s="6">
        <f t="shared" si="16"/>
        <v>0</v>
      </c>
      <c r="N81" s="7">
        <f t="shared" si="17"/>
        <v>0</v>
      </c>
      <c r="O81" s="4"/>
      <c r="P81" s="3"/>
      <c r="Q81" s="3"/>
      <c r="R81" s="3"/>
      <c r="S81" s="3"/>
      <c r="T81" s="3"/>
      <c r="U81" s="5"/>
      <c r="V81" s="125"/>
      <c r="W81" s="4"/>
      <c r="X81" s="3"/>
      <c r="Y81" s="8"/>
      <c r="Z81" s="8"/>
      <c r="AA81" s="3"/>
      <c r="AB81" s="3"/>
      <c r="AC81" s="3"/>
      <c r="AD81" s="3"/>
      <c r="AE81" s="3"/>
      <c r="AF81" s="8"/>
      <c r="AG81" s="8"/>
      <c r="AH81" s="3"/>
      <c r="AI81" s="3"/>
      <c r="AJ81" s="3"/>
      <c r="AK81" s="3"/>
      <c r="AL81" s="3"/>
      <c r="AM81" s="8"/>
      <c r="AN81" s="8"/>
      <c r="AO81" s="3"/>
      <c r="AP81" s="3"/>
      <c r="AQ81" s="3"/>
      <c r="AR81" s="3"/>
      <c r="AS81" s="3"/>
      <c r="AT81" s="8"/>
      <c r="AU81" s="8"/>
      <c r="AV81" s="3"/>
      <c r="AW81" s="3"/>
      <c r="AX81" s="3"/>
      <c r="AY81" s="3"/>
      <c r="AZ81" s="3"/>
      <c r="BA81" s="12"/>
      <c r="BB81" s="59"/>
      <c r="BC81" s="59"/>
      <c r="GP81" s="54"/>
      <c r="GQ81" s="54"/>
    </row>
    <row r="82" spans="1:199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10"/>
        <v/>
      </c>
      <c r="H82" s="100" t="str">
        <f t="shared" si="11"/>
        <v/>
      </c>
      <c r="I82" s="101">
        <f t="shared" si="12"/>
        <v>0</v>
      </c>
      <c r="J82" s="100" t="str">
        <f t="shared" si="15"/>
        <v/>
      </c>
      <c r="K82" s="6" t="str">
        <f t="shared" si="13"/>
        <v/>
      </c>
      <c r="L82" s="6" t="str">
        <f t="shared" si="14"/>
        <v/>
      </c>
      <c r="M82" s="6">
        <f t="shared" si="16"/>
        <v>0</v>
      </c>
      <c r="N82" s="7">
        <f t="shared" si="17"/>
        <v>0</v>
      </c>
      <c r="O82" s="4"/>
      <c r="P82" s="3"/>
      <c r="Q82" s="3"/>
      <c r="R82" s="3"/>
      <c r="S82" s="3"/>
      <c r="T82" s="3"/>
      <c r="U82" s="5"/>
      <c r="V82" s="125"/>
      <c r="W82" s="4"/>
      <c r="X82" s="3"/>
      <c r="Y82" s="8"/>
      <c r="Z82" s="8"/>
      <c r="AA82" s="3"/>
      <c r="AB82" s="3"/>
      <c r="AC82" s="3"/>
      <c r="AD82" s="3"/>
      <c r="AE82" s="3"/>
      <c r="AF82" s="8"/>
      <c r="AG82" s="8"/>
      <c r="AH82" s="3"/>
      <c r="AI82" s="3"/>
      <c r="AJ82" s="3"/>
      <c r="AK82" s="3"/>
      <c r="AL82" s="3"/>
      <c r="AM82" s="8"/>
      <c r="AN82" s="8"/>
      <c r="AO82" s="3"/>
      <c r="AP82" s="3"/>
      <c r="AQ82" s="3"/>
      <c r="AR82" s="3"/>
      <c r="AS82" s="3"/>
      <c r="AT82" s="8"/>
      <c r="AU82" s="8"/>
      <c r="AV82" s="3"/>
      <c r="AW82" s="3"/>
      <c r="AX82" s="3"/>
      <c r="AY82" s="3"/>
      <c r="AZ82" s="3"/>
      <c r="BA82" s="12"/>
      <c r="BB82" s="59"/>
      <c r="BC82" s="59"/>
      <c r="GP82" s="54"/>
      <c r="GQ82" s="54"/>
    </row>
    <row r="83" spans="1:199" ht="15" hidden="1" customHeight="1" x14ac:dyDescent="0.25">
      <c r="A83" s="97">
        <v>72</v>
      </c>
      <c r="B83" s="103"/>
      <c r="C83" s="104"/>
      <c r="D83" s="1"/>
      <c r="E83" s="105"/>
      <c r="F83" s="105"/>
      <c r="G83" s="100" t="str">
        <f t="shared" si="10"/>
        <v/>
      </c>
      <c r="H83" s="100" t="str">
        <f t="shared" si="11"/>
        <v/>
      </c>
      <c r="I83" s="101">
        <f t="shared" si="12"/>
        <v>0</v>
      </c>
      <c r="J83" s="100" t="str">
        <f t="shared" si="15"/>
        <v/>
      </c>
      <c r="K83" s="6" t="str">
        <f t="shared" si="13"/>
        <v/>
      </c>
      <c r="L83" s="6" t="str">
        <f t="shared" si="14"/>
        <v/>
      </c>
      <c r="M83" s="6">
        <f t="shared" si="16"/>
        <v>0</v>
      </c>
      <c r="N83" s="7">
        <f t="shared" si="17"/>
        <v>0</v>
      </c>
      <c r="O83" s="4"/>
      <c r="P83" s="3"/>
      <c r="Q83" s="3"/>
      <c r="R83" s="3"/>
      <c r="S83" s="3"/>
      <c r="T83" s="3"/>
      <c r="U83" s="5"/>
      <c r="V83" s="125"/>
      <c r="W83" s="4"/>
      <c r="X83" s="3"/>
      <c r="Y83" s="8"/>
      <c r="Z83" s="8"/>
      <c r="AA83" s="3"/>
      <c r="AB83" s="3"/>
      <c r="AC83" s="3"/>
      <c r="AD83" s="3"/>
      <c r="AE83" s="3"/>
      <c r="AF83" s="8"/>
      <c r="AG83" s="8"/>
      <c r="AH83" s="3"/>
      <c r="AI83" s="3"/>
      <c r="AJ83" s="3"/>
      <c r="AK83" s="3"/>
      <c r="AL83" s="3"/>
      <c r="AM83" s="8"/>
      <c r="AN83" s="8"/>
      <c r="AO83" s="3"/>
      <c r="AP83" s="3"/>
      <c r="AQ83" s="3"/>
      <c r="AR83" s="3"/>
      <c r="AS83" s="3"/>
      <c r="AT83" s="8"/>
      <c r="AU83" s="8"/>
      <c r="AV83" s="3"/>
      <c r="AW83" s="3"/>
      <c r="AX83" s="3"/>
      <c r="AY83" s="3"/>
      <c r="AZ83" s="3"/>
      <c r="BA83" s="12"/>
      <c r="BB83" s="59"/>
      <c r="BC83" s="59"/>
      <c r="GP83" s="54"/>
      <c r="GQ83" s="54"/>
    </row>
    <row r="84" spans="1:199" ht="15" hidden="1" customHeight="1" x14ac:dyDescent="0.25">
      <c r="A84" s="102">
        <v>73</v>
      </c>
      <c r="B84" s="103"/>
      <c r="C84" s="104"/>
      <c r="D84" s="1"/>
      <c r="E84" s="105"/>
      <c r="F84" s="105"/>
      <c r="G84" s="100" t="str">
        <f t="shared" si="10"/>
        <v/>
      </c>
      <c r="H84" s="100" t="str">
        <f t="shared" si="11"/>
        <v/>
      </c>
      <c r="I84" s="101">
        <f t="shared" si="12"/>
        <v>0</v>
      </c>
      <c r="J84" s="100" t="str">
        <f t="shared" si="15"/>
        <v/>
      </c>
      <c r="K84" s="6" t="str">
        <f t="shared" si="13"/>
        <v/>
      </c>
      <c r="L84" s="6" t="str">
        <f t="shared" si="14"/>
        <v/>
      </c>
      <c r="M84" s="6">
        <f t="shared" si="16"/>
        <v>0</v>
      </c>
      <c r="N84" s="7">
        <f t="shared" si="17"/>
        <v>0</v>
      </c>
      <c r="O84" s="4"/>
      <c r="P84" s="3"/>
      <c r="Q84" s="3"/>
      <c r="R84" s="3"/>
      <c r="S84" s="3"/>
      <c r="T84" s="3"/>
      <c r="U84" s="5"/>
      <c r="V84" s="125"/>
      <c r="W84" s="4"/>
      <c r="X84" s="3"/>
      <c r="Y84" s="8"/>
      <c r="Z84" s="8"/>
      <c r="AA84" s="3"/>
      <c r="AB84" s="3"/>
      <c r="AC84" s="3"/>
      <c r="AD84" s="3"/>
      <c r="AE84" s="3"/>
      <c r="AF84" s="8"/>
      <c r="AG84" s="8"/>
      <c r="AH84" s="3"/>
      <c r="AI84" s="3"/>
      <c r="AJ84" s="3"/>
      <c r="AK84" s="3"/>
      <c r="AL84" s="3"/>
      <c r="AM84" s="8"/>
      <c r="AN84" s="8"/>
      <c r="AO84" s="3"/>
      <c r="AP84" s="3"/>
      <c r="AQ84" s="3"/>
      <c r="AR84" s="3"/>
      <c r="AS84" s="3"/>
      <c r="AT84" s="8"/>
      <c r="AU84" s="8"/>
      <c r="AV84" s="3"/>
      <c r="AW84" s="3"/>
      <c r="AX84" s="3"/>
      <c r="AY84" s="3"/>
      <c r="AZ84" s="3"/>
      <c r="BA84" s="12"/>
      <c r="BB84" s="59"/>
      <c r="BC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10"/>
        <v/>
      </c>
      <c r="H85" s="100" t="str">
        <f t="shared" si="11"/>
        <v/>
      </c>
      <c r="I85" s="101">
        <f t="shared" si="12"/>
        <v>0</v>
      </c>
      <c r="J85" s="100" t="str">
        <f t="shared" si="15"/>
        <v/>
      </c>
      <c r="K85" s="6" t="str">
        <f t="shared" si="13"/>
        <v/>
      </c>
      <c r="L85" s="6" t="str">
        <f t="shared" si="14"/>
        <v/>
      </c>
      <c r="M85" s="6">
        <f t="shared" si="16"/>
        <v>0</v>
      </c>
      <c r="N85" s="7">
        <f t="shared" si="17"/>
        <v>0</v>
      </c>
      <c r="O85" s="4"/>
      <c r="P85" s="3"/>
      <c r="Q85" s="3"/>
      <c r="R85" s="3"/>
      <c r="S85" s="3"/>
      <c r="T85" s="3"/>
      <c r="U85" s="5"/>
      <c r="V85" s="125"/>
      <c r="W85" s="4"/>
      <c r="X85" s="3"/>
      <c r="Y85" s="8"/>
      <c r="Z85" s="8"/>
      <c r="AA85" s="3"/>
      <c r="AB85" s="3"/>
      <c r="AC85" s="3"/>
      <c r="AD85" s="3"/>
      <c r="AE85" s="3"/>
      <c r="AF85" s="8"/>
      <c r="AG85" s="8"/>
      <c r="AH85" s="3"/>
      <c r="AI85" s="3"/>
      <c r="AJ85" s="3"/>
      <c r="AK85" s="3"/>
      <c r="AL85" s="3"/>
      <c r="AM85" s="8"/>
      <c r="AN85" s="8"/>
      <c r="AO85" s="3"/>
      <c r="AP85" s="3"/>
      <c r="AQ85" s="3"/>
      <c r="AR85" s="3"/>
      <c r="AS85" s="3"/>
      <c r="AT85" s="8"/>
      <c r="AU85" s="8"/>
      <c r="AV85" s="3"/>
      <c r="AW85" s="3"/>
      <c r="AX85" s="3"/>
      <c r="AY85" s="3"/>
      <c r="AZ85" s="3"/>
      <c r="BA85" s="12"/>
      <c r="BB85" s="59"/>
      <c r="BC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10"/>
        <v/>
      </c>
      <c r="H86" s="100" t="str">
        <f t="shared" si="11"/>
        <v/>
      </c>
      <c r="I86" s="101">
        <f t="shared" si="12"/>
        <v>0</v>
      </c>
      <c r="J86" s="100" t="str">
        <f t="shared" si="15"/>
        <v/>
      </c>
      <c r="K86" s="6" t="str">
        <f t="shared" si="13"/>
        <v/>
      </c>
      <c r="L86" s="6" t="str">
        <f t="shared" si="14"/>
        <v/>
      </c>
      <c r="M86" s="6">
        <f t="shared" si="16"/>
        <v>0</v>
      </c>
      <c r="N86" s="7">
        <f t="shared" si="17"/>
        <v>0</v>
      </c>
      <c r="O86" s="4"/>
      <c r="P86" s="3"/>
      <c r="Q86" s="3"/>
      <c r="R86" s="3"/>
      <c r="S86" s="3"/>
      <c r="T86" s="3"/>
      <c r="U86" s="5"/>
      <c r="V86" s="125"/>
      <c r="W86" s="4"/>
      <c r="X86" s="3"/>
      <c r="Y86" s="8"/>
      <c r="Z86" s="8"/>
      <c r="AA86" s="3"/>
      <c r="AB86" s="3"/>
      <c r="AC86" s="3"/>
      <c r="AD86" s="3"/>
      <c r="AE86" s="3"/>
      <c r="AF86" s="8"/>
      <c r="AG86" s="8"/>
      <c r="AH86" s="3"/>
      <c r="AI86" s="3"/>
      <c r="AJ86" s="3"/>
      <c r="AK86" s="3"/>
      <c r="AL86" s="3"/>
      <c r="AM86" s="8"/>
      <c r="AN86" s="8"/>
      <c r="AO86" s="3"/>
      <c r="AP86" s="3"/>
      <c r="AQ86" s="3"/>
      <c r="AR86" s="3"/>
      <c r="AS86" s="3"/>
      <c r="AT86" s="8"/>
      <c r="AU86" s="8"/>
      <c r="AV86" s="3"/>
      <c r="AW86" s="3"/>
      <c r="AX86" s="3"/>
      <c r="AY86" s="3"/>
      <c r="AZ86" s="3"/>
      <c r="BA86" s="12"/>
      <c r="BB86" s="59"/>
      <c r="BC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10"/>
        <v/>
      </c>
      <c r="H87" s="100" t="str">
        <f t="shared" si="11"/>
        <v/>
      </c>
      <c r="I87" s="101">
        <f t="shared" si="12"/>
        <v>0</v>
      </c>
      <c r="J87" s="100" t="str">
        <f t="shared" si="15"/>
        <v/>
      </c>
      <c r="K87" s="6" t="str">
        <f t="shared" si="13"/>
        <v/>
      </c>
      <c r="L87" s="6" t="str">
        <f t="shared" si="14"/>
        <v/>
      </c>
      <c r="M87" s="6">
        <f t="shared" si="16"/>
        <v>0</v>
      </c>
      <c r="N87" s="7">
        <f t="shared" si="17"/>
        <v>0</v>
      </c>
      <c r="O87" s="4"/>
      <c r="P87" s="3"/>
      <c r="Q87" s="3"/>
      <c r="R87" s="3"/>
      <c r="S87" s="3"/>
      <c r="T87" s="3"/>
      <c r="U87" s="5"/>
      <c r="V87" s="125"/>
      <c r="W87" s="4"/>
      <c r="X87" s="3"/>
      <c r="Y87" s="8"/>
      <c r="Z87" s="8"/>
      <c r="AA87" s="3"/>
      <c r="AB87" s="3"/>
      <c r="AC87" s="3"/>
      <c r="AD87" s="3"/>
      <c r="AE87" s="3"/>
      <c r="AF87" s="8"/>
      <c r="AG87" s="8"/>
      <c r="AH87" s="3"/>
      <c r="AI87" s="3"/>
      <c r="AJ87" s="3"/>
      <c r="AK87" s="3"/>
      <c r="AL87" s="3"/>
      <c r="AM87" s="8"/>
      <c r="AN87" s="8"/>
      <c r="AO87" s="3"/>
      <c r="AP87" s="3"/>
      <c r="AQ87" s="3"/>
      <c r="AR87" s="3"/>
      <c r="AS87" s="3"/>
      <c r="AT87" s="8"/>
      <c r="AU87" s="8"/>
      <c r="AV87" s="3"/>
      <c r="AW87" s="3"/>
      <c r="AX87" s="3"/>
      <c r="AY87" s="3"/>
      <c r="AZ87" s="3"/>
      <c r="BA87" s="12"/>
      <c r="BB87" s="59"/>
      <c r="BC87" s="59"/>
      <c r="GP87" s="54"/>
      <c r="GQ87" s="54"/>
    </row>
    <row r="88" spans="1:199" ht="15" hidden="1" customHeight="1" x14ac:dyDescent="0.25">
      <c r="A88" s="97">
        <v>77</v>
      </c>
      <c r="B88" s="103"/>
      <c r="C88" s="104"/>
      <c r="D88" s="1"/>
      <c r="E88" s="105"/>
      <c r="F88" s="105"/>
      <c r="G88" s="100" t="str">
        <f t="shared" si="10"/>
        <v/>
      </c>
      <c r="H88" s="100" t="str">
        <f t="shared" si="11"/>
        <v/>
      </c>
      <c r="I88" s="101">
        <f t="shared" si="12"/>
        <v>0</v>
      </c>
      <c r="J88" s="100" t="str">
        <f t="shared" si="15"/>
        <v/>
      </c>
      <c r="K88" s="6" t="str">
        <f t="shared" si="13"/>
        <v/>
      </c>
      <c r="L88" s="6" t="str">
        <f t="shared" si="14"/>
        <v/>
      </c>
      <c r="M88" s="6">
        <f t="shared" si="16"/>
        <v>0</v>
      </c>
      <c r="N88" s="7">
        <f t="shared" si="17"/>
        <v>0</v>
      </c>
      <c r="O88" s="4"/>
      <c r="P88" s="3"/>
      <c r="Q88" s="3"/>
      <c r="R88" s="3"/>
      <c r="S88" s="3"/>
      <c r="T88" s="3"/>
      <c r="U88" s="5"/>
      <c r="V88" s="125"/>
      <c r="W88" s="4"/>
      <c r="X88" s="3"/>
      <c r="Y88" s="8"/>
      <c r="Z88" s="8"/>
      <c r="AA88" s="3"/>
      <c r="AB88" s="3"/>
      <c r="AC88" s="3"/>
      <c r="AD88" s="3"/>
      <c r="AE88" s="3"/>
      <c r="AF88" s="8"/>
      <c r="AG88" s="8"/>
      <c r="AH88" s="3"/>
      <c r="AI88" s="3"/>
      <c r="AJ88" s="3"/>
      <c r="AK88" s="3"/>
      <c r="AL88" s="3"/>
      <c r="AM88" s="8"/>
      <c r="AN88" s="8"/>
      <c r="AO88" s="3"/>
      <c r="AP88" s="3"/>
      <c r="AQ88" s="3"/>
      <c r="AR88" s="3"/>
      <c r="AS88" s="3"/>
      <c r="AT88" s="8"/>
      <c r="AU88" s="8"/>
      <c r="AV88" s="3"/>
      <c r="AW88" s="3"/>
      <c r="AX88" s="3"/>
      <c r="AY88" s="3"/>
      <c r="AZ88" s="3"/>
      <c r="BA88" s="12"/>
      <c r="BB88" s="59"/>
      <c r="BC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10"/>
        <v/>
      </c>
      <c r="H89" s="100" t="str">
        <f t="shared" si="11"/>
        <v/>
      </c>
      <c r="I89" s="101">
        <f t="shared" si="12"/>
        <v>0</v>
      </c>
      <c r="J89" s="100" t="str">
        <f t="shared" si="15"/>
        <v/>
      </c>
      <c r="K89" s="6" t="str">
        <f t="shared" si="13"/>
        <v/>
      </c>
      <c r="L89" s="6" t="str">
        <f t="shared" si="14"/>
        <v/>
      </c>
      <c r="M89" s="6">
        <f t="shared" si="16"/>
        <v>0</v>
      </c>
      <c r="N89" s="7">
        <f t="shared" si="17"/>
        <v>0</v>
      </c>
      <c r="O89" s="4"/>
      <c r="P89" s="3"/>
      <c r="Q89" s="3"/>
      <c r="R89" s="3"/>
      <c r="S89" s="3"/>
      <c r="T89" s="3"/>
      <c r="U89" s="5"/>
      <c r="V89" s="125"/>
      <c r="W89" s="4"/>
      <c r="X89" s="3"/>
      <c r="Y89" s="8"/>
      <c r="Z89" s="8"/>
      <c r="AA89" s="3"/>
      <c r="AB89" s="3"/>
      <c r="AC89" s="3"/>
      <c r="AD89" s="3"/>
      <c r="AE89" s="3"/>
      <c r="AF89" s="8"/>
      <c r="AG89" s="8"/>
      <c r="AH89" s="3"/>
      <c r="AI89" s="3"/>
      <c r="AJ89" s="3"/>
      <c r="AK89" s="3"/>
      <c r="AL89" s="3"/>
      <c r="AM89" s="8"/>
      <c r="AN89" s="8"/>
      <c r="AO89" s="3"/>
      <c r="AP89" s="3"/>
      <c r="AQ89" s="3"/>
      <c r="AR89" s="3"/>
      <c r="AS89" s="3"/>
      <c r="AT89" s="8"/>
      <c r="AU89" s="8"/>
      <c r="AV89" s="3"/>
      <c r="AW89" s="3"/>
      <c r="AX89" s="3"/>
      <c r="AY89" s="3"/>
      <c r="AZ89" s="3"/>
      <c r="BA89" s="12"/>
      <c r="BB89" s="59"/>
      <c r="BC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10"/>
        <v/>
      </c>
      <c r="H90" s="100" t="str">
        <f t="shared" si="11"/>
        <v/>
      </c>
      <c r="I90" s="101">
        <f t="shared" si="12"/>
        <v>0</v>
      </c>
      <c r="J90" s="100" t="str">
        <f t="shared" si="15"/>
        <v/>
      </c>
      <c r="K90" s="6" t="str">
        <f t="shared" si="13"/>
        <v/>
      </c>
      <c r="L90" s="6" t="str">
        <f t="shared" si="14"/>
        <v/>
      </c>
      <c r="M90" s="6">
        <f t="shared" si="16"/>
        <v>0</v>
      </c>
      <c r="N90" s="7">
        <f t="shared" si="17"/>
        <v>0</v>
      </c>
      <c r="O90" s="4"/>
      <c r="P90" s="3"/>
      <c r="Q90" s="3"/>
      <c r="R90" s="3"/>
      <c r="S90" s="3"/>
      <c r="T90" s="3"/>
      <c r="U90" s="5"/>
      <c r="V90" s="125"/>
      <c r="W90" s="4"/>
      <c r="X90" s="3"/>
      <c r="Y90" s="8"/>
      <c r="Z90" s="8"/>
      <c r="AA90" s="3"/>
      <c r="AB90" s="3"/>
      <c r="AC90" s="3"/>
      <c r="AD90" s="3"/>
      <c r="AE90" s="3"/>
      <c r="AF90" s="8"/>
      <c r="AG90" s="8"/>
      <c r="AH90" s="3"/>
      <c r="AI90" s="3"/>
      <c r="AJ90" s="3"/>
      <c r="AK90" s="3"/>
      <c r="AL90" s="3"/>
      <c r="AM90" s="8"/>
      <c r="AN90" s="8"/>
      <c r="AO90" s="3"/>
      <c r="AP90" s="3"/>
      <c r="AQ90" s="3"/>
      <c r="AR90" s="3"/>
      <c r="AS90" s="3"/>
      <c r="AT90" s="8"/>
      <c r="AU90" s="8"/>
      <c r="AV90" s="3"/>
      <c r="AW90" s="3"/>
      <c r="AX90" s="3"/>
      <c r="AY90" s="3"/>
      <c r="AZ90" s="3"/>
      <c r="BA90" s="12"/>
      <c r="BB90" s="59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10"/>
        <v/>
      </c>
      <c r="H91" s="100" t="str">
        <f t="shared" si="11"/>
        <v/>
      </c>
      <c r="I91" s="101">
        <f t="shared" si="12"/>
        <v>0</v>
      </c>
      <c r="J91" s="100" t="str">
        <f t="shared" si="15"/>
        <v/>
      </c>
      <c r="K91" s="6" t="str">
        <f t="shared" si="13"/>
        <v/>
      </c>
      <c r="L91" s="6" t="str">
        <f t="shared" si="14"/>
        <v/>
      </c>
      <c r="M91" s="6">
        <f t="shared" si="16"/>
        <v>0</v>
      </c>
      <c r="N91" s="7">
        <f t="shared" si="17"/>
        <v>0</v>
      </c>
      <c r="O91" s="4"/>
      <c r="P91" s="3"/>
      <c r="Q91" s="3"/>
      <c r="R91" s="3"/>
      <c r="S91" s="3"/>
      <c r="T91" s="3"/>
      <c r="U91" s="5"/>
      <c r="V91" s="125"/>
      <c r="W91" s="4"/>
      <c r="X91" s="3"/>
      <c r="Y91" s="8"/>
      <c r="Z91" s="8"/>
      <c r="AA91" s="3"/>
      <c r="AB91" s="3"/>
      <c r="AC91" s="3"/>
      <c r="AD91" s="3"/>
      <c r="AE91" s="3"/>
      <c r="AF91" s="8"/>
      <c r="AG91" s="8"/>
      <c r="AH91" s="3"/>
      <c r="AI91" s="3"/>
      <c r="AJ91" s="3"/>
      <c r="AK91" s="3"/>
      <c r="AL91" s="3"/>
      <c r="AM91" s="8"/>
      <c r="AN91" s="8"/>
      <c r="AO91" s="3"/>
      <c r="AP91" s="3"/>
      <c r="AQ91" s="3"/>
      <c r="AR91" s="3"/>
      <c r="AS91" s="3"/>
      <c r="AT91" s="8"/>
      <c r="AU91" s="8"/>
      <c r="AV91" s="3"/>
      <c r="AW91" s="3"/>
      <c r="AX91" s="3"/>
      <c r="AY91" s="3"/>
      <c r="AZ91" s="3"/>
      <c r="BA91" s="12"/>
      <c r="BB91" s="59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10"/>
        <v/>
      </c>
      <c r="H92" s="100" t="str">
        <f t="shared" si="11"/>
        <v/>
      </c>
      <c r="I92" s="101">
        <f t="shared" si="12"/>
        <v>0</v>
      </c>
      <c r="J92" s="100" t="str">
        <f t="shared" si="15"/>
        <v/>
      </c>
      <c r="K92" s="6" t="str">
        <f t="shared" si="13"/>
        <v/>
      </c>
      <c r="L92" s="6" t="str">
        <f t="shared" si="14"/>
        <v/>
      </c>
      <c r="M92" s="6">
        <f t="shared" si="16"/>
        <v>0</v>
      </c>
      <c r="N92" s="7">
        <f t="shared" si="17"/>
        <v>0</v>
      </c>
      <c r="O92" s="4"/>
      <c r="P92" s="3"/>
      <c r="Q92" s="3"/>
      <c r="R92" s="3"/>
      <c r="S92" s="3"/>
      <c r="T92" s="3"/>
      <c r="U92" s="5"/>
      <c r="V92" s="125"/>
      <c r="W92" s="4"/>
      <c r="X92" s="3"/>
      <c r="Y92" s="8"/>
      <c r="Z92" s="8"/>
      <c r="AA92" s="3"/>
      <c r="AB92" s="3"/>
      <c r="AC92" s="3"/>
      <c r="AD92" s="3"/>
      <c r="AE92" s="3"/>
      <c r="AF92" s="8"/>
      <c r="AG92" s="8"/>
      <c r="AH92" s="3"/>
      <c r="AI92" s="3"/>
      <c r="AJ92" s="3"/>
      <c r="AK92" s="3"/>
      <c r="AL92" s="3"/>
      <c r="AM92" s="8"/>
      <c r="AN92" s="8"/>
      <c r="AO92" s="3"/>
      <c r="AP92" s="3"/>
      <c r="AQ92" s="3"/>
      <c r="AR92" s="3"/>
      <c r="AS92" s="3"/>
      <c r="AT92" s="8"/>
      <c r="AU92" s="8"/>
      <c r="AV92" s="3"/>
      <c r="AW92" s="3"/>
      <c r="AX92" s="3"/>
      <c r="AY92" s="3"/>
      <c r="AZ92" s="3"/>
      <c r="BA92" s="12"/>
      <c r="BB92" s="59"/>
      <c r="BC92" s="59"/>
      <c r="GP92" s="54"/>
      <c r="GQ92" s="54"/>
    </row>
    <row r="93" spans="1:199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10"/>
        <v/>
      </c>
      <c r="H93" s="100" t="str">
        <f t="shared" si="11"/>
        <v/>
      </c>
      <c r="I93" s="101">
        <f t="shared" si="12"/>
        <v>0</v>
      </c>
      <c r="J93" s="100" t="str">
        <f t="shared" si="15"/>
        <v/>
      </c>
      <c r="K93" s="6" t="str">
        <f t="shared" si="13"/>
        <v/>
      </c>
      <c r="L93" s="6" t="str">
        <f t="shared" si="14"/>
        <v/>
      </c>
      <c r="M93" s="6">
        <f t="shared" si="16"/>
        <v>0</v>
      </c>
      <c r="N93" s="7">
        <f t="shared" si="17"/>
        <v>0</v>
      </c>
      <c r="O93" s="4"/>
      <c r="P93" s="3"/>
      <c r="Q93" s="3"/>
      <c r="R93" s="3"/>
      <c r="S93" s="3"/>
      <c r="T93" s="3"/>
      <c r="U93" s="5"/>
      <c r="V93" s="125"/>
      <c r="W93" s="4"/>
      <c r="X93" s="3"/>
      <c r="Y93" s="8"/>
      <c r="Z93" s="8"/>
      <c r="AA93" s="3"/>
      <c r="AB93" s="3"/>
      <c r="AC93" s="3"/>
      <c r="AD93" s="3"/>
      <c r="AE93" s="3"/>
      <c r="AF93" s="8"/>
      <c r="AG93" s="8"/>
      <c r="AH93" s="3"/>
      <c r="AI93" s="3"/>
      <c r="AJ93" s="3"/>
      <c r="AK93" s="3"/>
      <c r="AL93" s="3"/>
      <c r="AM93" s="8"/>
      <c r="AN93" s="8"/>
      <c r="AO93" s="3"/>
      <c r="AP93" s="3"/>
      <c r="AQ93" s="3"/>
      <c r="AR93" s="3"/>
      <c r="AS93" s="3"/>
      <c r="AT93" s="8"/>
      <c r="AU93" s="8"/>
      <c r="AV93" s="3"/>
      <c r="AW93" s="3"/>
      <c r="AX93" s="3"/>
      <c r="AY93" s="3"/>
      <c r="AZ93" s="3"/>
      <c r="BA93" s="12"/>
      <c r="BB93" s="59"/>
      <c r="BC93" s="59"/>
      <c r="GP93" s="54"/>
      <c r="GQ93" s="54"/>
    </row>
    <row r="94" spans="1:199" ht="15" hidden="1" customHeight="1" x14ac:dyDescent="0.25">
      <c r="A94" s="97">
        <v>83</v>
      </c>
      <c r="B94" s="103"/>
      <c r="C94" s="104"/>
      <c r="D94" s="1"/>
      <c r="E94" s="105"/>
      <c r="F94" s="105"/>
      <c r="G94" s="100" t="str">
        <f t="shared" si="10"/>
        <v/>
      </c>
      <c r="H94" s="100" t="str">
        <f t="shared" si="11"/>
        <v/>
      </c>
      <c r="I94" s="101">
        <f t="shared" si="12"/>
        <v>0</v>
      </c>
      <c r="J94" s="100" t="str">
        <f t="shared" si="15"/>
        <v/>
      </c>
      <c r="K94" s="6" t="str">
        <f t="shared" si="13"/>
        <v/>
      </c>
      <c r="L94" s="6" t="str">
        <f t="shared" si="14"/>
        <v/>
      </c>
      <c r="M94" s="6">
        <f t="shared" si="16"/>
        <v>0</v>
      </c>
      <c r="N94" s="7">
        <f t="shared" si="17"/>
        <v>0</v>
      </c>
      <c r="O94" s="4"/>
      <c r="P94" s="3"/>
      <c r="Q94" s="3"/>
      <c r="R94" s="3"/>
      <c r="S94" s="3"/>
      <c r="T94" s="3"/>
      <c r="U94" s="5"/>
      <c r="V94" s="125"/>
      <c r="W94" s="4"/>
      <c r="X94" s="3"/>
      <c r="Y94" s="8"/>
      <c r="Z94" s="8"/>
      <c r="AA94" s="3"/>
      <c r="AB94" s="3"/>
      <c r="AC94" s="3"/>
      <c r="AD94" s="3"/>
      <c r="AE94" s="3"/>
      <c r="AF94" s="8"/>
      <c r="AG94" s="8"/>
      <c r="AH94" s="3"/>
      <c r="AI94" s="3"/>
      <c r="AJ94" s="3"/>
      <c r="AK94" s="3"/>
      <c r="AL94" s="3"/>
      <c r="AM94" s="8"/>
      <c r="AN94" s="8"/>
      <c r="AO94" s="3"/>
      <c r="AP94" s="3"/>
      <c r="AQ94" s="3"/>
      <c r="AR94" s="3"/>
      <c r="AS94" s="3"/>
      <c r="AT94" s="8"/>
      <c r="AU94" s="8"/>
      <c r="AV94" s="3"/>
      <c r="AW94" s="3"/>
      <c r="AX94" s="3"/>
      <c r="AY94" s="3"/>
      <c r="AZ94" s="3"/>
      <c r="BA94" s="12"/>
      <c r="BB94" s="59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10"/>
        <v/>
      </c>
      <c r="H95" s="100" t="str">
        <f t="shared" si="11"/>
        <v/>
      </c>
      <c r="I95" s="101">
        <f t="shared" si="12"/>
        <v>0</v>
      </c>
      <c r="J95" s="100" t="str">
        <f t="shared" si="15"/>
        <v/>
      </c>
      <c r="K95" s="6" t="str">
        <f t="shared" si="13"/>
        <v/>
      </c>
      <c r="L95" s="6" t="str">
        <f t="shared" si="14"/>
        <v/>
      </c>
      <c r="M95" s="6">
        <f t="shared" si="16"/>
        <v>0</v>
      </c>
      <c r="N95" s="7">
        <f t="shared" si="17"/>
        <v>0</v>
      </c>
      <c r="O95" s="4"/>
      <c r="P95" s="3"/>
      <c r="Q95" s="3"/>
      <c r="R95" s="3"/>
      <c r="S95" s="3"/>
      <c r="T95" s="3"/>
      <c r="U95" s="5"/>
      <c r="V95" s="125"/>
      <c r="W95" s="4"/>
      <c r="X95" s="3"/>
      <c r="Y95" s="8"/>
      <c r="Z95" s="8"/>
      <c r="AA95" s="3"/>
      <c r="AB95" s="3"/>
      <c r="AC95" s="3"/>
      <c r="AD95" s="3"/>
      <c r="AE95" s="3"/>
      <c r="AF95" s="8"/>
      <c r="AG95" s="8"/>
      <c r="AH95" s="3"/>
      <c r="AI95" s="3"/>
      <c r="AJ95" s="3"/>
      <c r="AK95" s="3"/>
      <c r="AL95" s="3"/>
      <c r="AM95" s="8"/>
      <c r="AN95" s="8"/>
      <c r="AO95" s="3"/>
      <c r="AP95" s="3"/>
      <c r="AQ95" s="3"/>
      <c r="AR95" s="3"/>
      <c r="AS95" s="3"/>
      <c r="AT95" s="8"/>
      <c r="AU95" s="8"/>
      <c r="AV95" s="3"/>
      <c r="AW95" s="3"/>
      <c r="AX95" s="3"/>
      <c r="AY95" s="3"/>
      <c r="AZ95" s="3"/>
      <c r="BA95" s="12"/>
      <c r="BB95" s="59"/>
      <c r="BC95" s="59"/>
      <c r="GP95" s="54"/>
      <c r="GQ95" s="54"/>
    </row>
    <row r="96" spans="1:199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10"/>
        <v/>
      </c>
      <c r="H96" s="100" t="str">
        <f t="shared" si="11"/>
        <v/>
      </c>
      <c r="I96" s="101">
        <f t="shared" si="12"/>
        <v>0</v>
      </c>
      <c r="J96" s="100" t="str">
        <f t="shared" si="15"/>
        <v/>
      </c>
      <c r="K96" s="6" t="str">
        <f t="shared" si="13"/>
        <v/>
      </c>
      <c r="L96" s="6" t="str">
        <f t="shared" si="14"/>
        <v/>
      </c>
      <c r="M96" s="6">
        <f t="shared" si="16"/>
        <v>0</v>
      </c>
      <c r="N96" s="7">
        <f t="shared" si="17"/>
        <v>0</v>
      </c>
      <c r="O96" s="4"/>
      <c r="P96" s="3"/>
      <c r="Q96" s="3"/>
      <c r="R96" s="3"/>
      <c r="S96" s="3"/>
      <c r="T96" s="3"/>
      <c r="U96" s="5"/>
      <c r="V96" s="125"/>
      <c r="W96" s="4"/>
      <c r="X96" s="3"/>
      <c r="Y96" s="8"/>
      <c r="Z96" s="8"/>
      <c r="AA96" s="3"/>
      <c r="AB96" s="3"/>
      <c r="AC96" s="3"/>
      <c r="AD96" s="3"/>
      <c r="AE96" s="3"/>
      <c r="AF96" s="8"/>
      <c r="AG96" s="8"/>
      <c r="AH96" s="3"/>
      <c r="AI96" s="3"/>
      <c r="AJ96" s="3"/>
      <c r="AK96" s="3"/>
      <c r="AL96" s="3"/>
      <c r="AM96" s="8"/>
      <c r="AN96" s="8"/>
      <c r="AO96" s="3"/>
      <c r="AP96" s="3"/>
      <c r="AQ96" s="3"/>
      <c r="AR96" s="3"/>
      <c r="AS96" s="3"/>
      <c r="AT96" s="8"/>
      <c r="AU96" s="8"/>
      <c r="AV96" s="3"/>
      <c r="AW96" s="3"/>
      <c r="AX96" s="3"/>
      <c r="AY96" s="3"/>
      <c r="AZ96" s="3"/>
      <c r="BA96" s="12"/>
      <c r="BB96" s="59"/>
      <c r="BC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10"/>
        <v/>
      </c>
      <c r="H97" s="100" t="str">
        <f t="shared" si="11"/>
        <v/>
      </c>
      <c r="I97" s="101">
        <f t="shared" si="12"/>
        <v>0</v>
      </c>
      <c r="J97" s="100" t="str">
        <f t="shared" si="15"/>
        <v/>
      </c>
      <c r="K97" s="6" t="str">
        <f t="shared" si="13"/>
        <v/>
      </c>
      <c r="L97" s="6" t="str">
        <f t="shared" si="14"/>
        <v/>
      </c>
      <c r="M97" s="6">
        <f t="shared" si="16"/>
        <v>0</v>
      </c>
      <c r="N97" s="7">
        <f t="shared" si="17"/>
        <v>0</v>
      </c>
      <c r="O97" s="4"/>
      <c r="P97" s="3"/>
      <c r="Q97" s="3"/>
      <c r="R97" s="3"/>
      <c r="S97" s="3"/>
      <c r="T97" s="3"/>
      <c r="U97" s="5"/>
      <c r="V97" s="125"/>
      <c r="W97" s="4"/>
      <c r="X97" s="3"/>
      <c r="Y97" s="8"/>
      <c r="Z97" s="8"/>
      <c r="AA97" s="3"/>
      <c r="AB97" s="3"/>
      <c r="AC97" s="3"/>
      <c r="AD97" s="3"/>
      <c r="AE97" s="3"/>
      <c r="AF97" s="8"/>
      <c r="AG97" s="8"/>
      <c r="AH97" s="3"/>
      <c r="AI97" s="3"/>
      <c r="AJ97" s="3"/>
      <c r="AK97" s="3"/>
      <c r="AL97" s="3"/>
      <c r="AM97" s="8"/>
      <c r="AN97" s="8"/>
      <c r="AO97" s="3"/>
      <c r="AP97" s="3"/>
      <c r="AQ97" s="3"/>
      <c r="AR97" s="3"/>
      <c r="AS97" s="3"/>
      <c r="AT97" s="8"/>
      <c r="AU97" s="8"/>
      <c r="AV97" s="3"/>
      <c r="AW97" s="3"/>
      <c r="AX97" s="3"/>
      <c r="AY97" s="3"/>
      <c r="AZ97" s="3"/>
      <c r="BA97" s="12"/>
      <c r="BB97" s="59"/>
      <c r="BC97" s="59"/>
      <c r="GP97" s="54"/>
      <c r="GQ97" s="54"/>
    </row>
    <row r="98" spans="1:199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10"/>
        <v/>
      </c>
      <c r="H98" s="100" t="str">
        <f t="shared" si="11"/>
        <v/>
      </c>
      <c r="I98" s="101">
        <f t="shared" si="12"/>
        <v>0</v>
      </c>
      <c r="J98" s="100" t="str">
        <f t="shared" si="15"/>
        <v/>
      </c>
      <c r="K98" s="6" t="str">
        <f t="shared" si="13"/>
        <v/>
      </c>
      <c r="L98" s="6" t="str">
        <f t="shared" si="14"/>
        <v/>
      </c>
      <c r="M98" s="6">
        <f t="shared" si="16"/>
        <v>0</v>
      </c>
      <c r="N98" s="7">
        <f t="shared" si="17"/>
        <v>0</v>
      </c>
      <c r="O98" s="4"/>
      <c r="P98" s="3"/>
      <c r="Q98" s="3"/>
      <c r="R98" s="3"/>
      <c r="S98" s="3"/>
      <c r="T98" s="3"/>
      <c r="U98" s="5"/>
      <c r="V98" s="125"/>
      <c r="W98" s="4"/>
      <c r="X98" s="3"/>
      <c r="Y98" s="8"/>
      <c r="Z98" s="8"/>
      <c r="AA98" s="3"/>
      <c r="AB98" s="3"/>
      <c r="AC98" s="3"/>
      <c r="AD98" s="3"/>
      <c r="AE98" s="3"/>
      <c r="AF98" s="8"/>
      <c r="AG98" s="8"/>
      <c r="AH98" s="3"/>
      <c r="AI98" s="3"/>
      <c r="AJ98" s="3"/>
      <c r="AK98" s="3"/>
      <c r="AL98" s="3"/>
      <c r="AM98" s="8"/>
      <c r="AN98" s="8"/>
      <c r="AO98" s="3"/>
      <c r="AP98" s="3"/>
      <c r="AQ98" s="3"/>
      <c r="AR98" s="3"/>
      <c r="AS98" s="3"/>
      <c r="AT98" s="8"/>
      <c r="AU98" s="8"/>
      <c r="AV98" s="3"/>
      <c r="AW98" s="3"/>
      <c r="AX98" s="3"/>
      <c r="AY98" s="3"/>
      <c r="AZ98" s="3"/>
      <c r="BA98" s="12"/>
      <c r="BB98" s="59"/>
      <c r="BC98" s="59"/>
      <c r="GP98" s="54"/>
      <c r="GQ98" s="54"/>
    </row>
    <row r="99" spans="1:199" ht="15" hidden="1" customHeight="1" x14ac:dyDescent="0.25">
      <c r="A99" s="97">
        <v>88</v>
      </c>
      <c r="B99" s="103"/>
      <c r="C99" s="104"/>
      <c r="D99" s="1"/>
      <c r="E99" s="105"/>
      <c r="F99" s="105"/>
      <c r="G99" s="100" t="str">
        <f t="shared" si="10"/>
        <v/>
      </c>
      <c r="H99" s="100" t="str">
        <f t="shared" si="11"/>
        <v/>
      </c>
      <c r="I99" s="101">
        <f t="shared" si="12"/>
        <v>0</v>
      </c>
      <c r="J99" s="100" t="str">
        <f t="shared" si="15"/>
        <v/>
      </c>
      <c r="K99" s="6" t="str">
        <f t="shared" si="13"/>
        <v/>
      </c>
      <c r="L99" s="6" t="str">
        <f t="shared" si="14"/>
        <v/>
      </c>
      <c r="M99" s="6">
        <f t="shared" si="16"/>
        <v>0</v>
      </c>
      <c r="N99" s="7">
        <f t="shared" si="17"/>
        <v>0</v>
      </c>
      <c r="O99" s="4"/>
      <c r="P99" s="3"/>
      <c r="Q99" s="3"/>
      <c r="R99" s="3"/>
      <c r="S99" s="3"/>
      <c r="T99" s="3"/>
      <c r="U99" s="5"/>
      <c r="V99" s="125"/>
      <c r="W99" s="4"/>
      <c r="X99" s="3"/>
      <c r="Y99" s="8"/>
      <c r="Z99" s="8"/>
      <c r="AA99" s="3"/>
      <c r="AB99" s="3"/>
      <c r="AC99" s="3"/>
      <c r="AD99" s="3"/>
      <c r="AE99" s="3"/>
      <c r="AF99" s="8"/>
      <c r="AG99" s="8"/>
      <c r="AH99" s="3"/>
      <c r="AI99" s="3"/>
      <c r="AJ99" s="3"/>
      <c r="AK99" s="3"/>
      <c r="AL99" s="3"/>
      <c r="AM99" s="8"/>
      <c r="AN99" s="8"/>
      <c r="AO99" s="3"/>
      <c r="AP99" s="3"/>
      <c r="AQ99" s="3"/>
      <c r="AR99" s="3"/>
      <c r="AS99" s="3"/>
      <c r="AT99" s="8"/>
      <c r="AU99" s="8"/>
      <c r="AV99" s="3"/>
      <c r="AW99" s="3"/>
      <c r="AX99" s="3"/>
      <c r="AY99" s="3"/>
      <c r="AZ99" s="3"/>
      <c r="BA99" s="12"/>
      <c r="BB99" s="59"/>
      <c r="BC99" s="59"/>
      <c r="GP99" s="54"/>
      <c r="GQ99" s="54"/>
    </row>
    <row r="100" spans="1:199" ht="15" hidden="1" customHeight="1" x14ac:dyDescent="0.25">
      <c r="A100" s="97">
        <v>89</v>
      </c>
      <c r="B100" s="103"/>
      <c r="C100" s="104"/>
      <c r="D100" s="1"/>
      <c r="E100" s="105"/>
      <c r="F100" s="105"/>
      <c r="G100" s="100" t="str">
        <f t="shared" si="10"/>
        <v/>
      </c>
      <c r="H100" s="100" t="str">
        <f t="shared" si="11"/>
        <v/>
      </c>
      <c r="I100" s="101">
        <f t="shared" si="12"/>
        <v>0</v>
      </c>
      <c r="J100" s="100" t="str">
        <f t="shared" si="15"/>
        <v/>
      </c>
      <c r="K100" s="6" t="str">
        <f t="shared" si="13"/>
        <v/>
      </c>
      <c r="L100" s="6" t="str">
        <f t="shared" si="14"/>
        <v/>
      </c>
      <c r="M100" s="6">
        <f t="shared" si="16"/>
        <v>0</v>
      </c>
      <c r="N100" s="7">
        <f t="shared" si="17"/>
        <v>0</v>
      </c>
      <c r="O100" s="4"/>
      <c r="P100" s="3"/>
      <c r="Q100" s="3"/>
      <c r="R100" s="3"/>
      <c r="S100" s="3"/>
      <c r="T100" s="3"/>
      <c r="U100" s="5"/>
      <c r="V100" s="125"/>
      <c r="W100" s="4"/>
      <c r="X100" s="3"/>
      <c r="Y100" s="8"/>
      <c r="Z100" s="8"/>
      <c r="AA100" s="3"/>
      <c r="AB100" s="3"/>
      <c r="AC100" s="3"/>
      <c r="AD100" s="3"/>
      <c r="AE100" s="3"/>
      <c r="AF100" s="8"/>
      <c r="AG100" s="8"/>
      <c r="AH100" s="3"/>
      <c r="AI100" s="3"/>
      <c r="AJ100" s="3"/>
      <c r="AK100" s="3"/>
      <c r="AL100" s="3"/>
      <c r="AM100" s="8"/>
      <c r="AN100" s="8"/>
      <c r="AO100" s="3"/>
      <c r="AP100" s="3"/>
      <c r="AQ100" s="3"/>
      <c r="AR100" s="3"/>
      <c r="AS100" s="3"/>
      <c r="AT100" s="8"/>
      <c r="AU100" s="8"/>
      <c r="AV100" s="3"/>
      <c r="AW100" s="3"/>
      <c r="AX100" s="3"/>
      <c r="AY100" s="3"/>
      <c r="AZ100" s="3"/>
      <c r="BA100" s="12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10"/>
        <v/>
      </c>
      <c r="H101" s="100" t="str">
        <f t="shared" si="11"/>
        <v/>
      </c>
      <c r="I101" s="101">
        <f t="shared" si="12"/>
        <v>0</v>
      </c>
      <c r="J101" s="100" t="str">
        <f t="shared" si="15"/>
        <v/>
      </c>
      <c r="K101" s="6" t="str">
        <f t="shared" si="13"/>
        <v/>
      </c>
      <c r="L101" s="6" t="str">
        <f t="shared" si="14"/>
        <v/>
      </c>
      <c r="M101" s="6">
        <f t="shared" si="16"/>
        <v>0</v>
      </c>
      <c r="N101" s="7">
        <f t="shared" si="17"/>
        <v>0</v>
      </c>
      <c r="O101" s="4"/>
      <c r="P101" s="3"/>
      <c r="Q101" s="3"/>
      <c r="R101" s="3"/>
      <c r="S101" s="3"/>
      <c r="T101" s="3"/>
      <c r="U101" s="5"/>
      <c r="V101" s="125"/>
      <c r="W101" s="4"/>
      <c r="X101" s="3"/>
      <c r="Y101" s="8"/>
      <c r="Z101" s="8"/>
      <c r="AA101" s="3"/>
      <c r="AB101" s="3"/>
      <c r="AC101" s="3"/>
      <c r="AD101" s="3"/>
      <c r="AE101" s="3"/>
      <c r="AF101" s="8"/>
      <c r="AG101" s="8"/>
      <c r="AH101" s="3"/>
      <c r="AI101" s="3"/>
      <c r="AJ101" s="3"/>
      <c r="AK101" s="3"/>
      <c r="AL101" s="3"/>
      <c r="AM101" s="8"/>
      <c r="AN101" s="8"/>
      <c r="AO101" s="3"/>
      <c r="AP101" s="3"/>
      <c r="AQ101" s="3"/>
      <c r="AR101" s="3"/>
      <c r="AS101" s="3"/>
      <c r="AT101" s="8"/>
      <c r="AU101" s="8"/>
      <c r="AV101" s="3"/>
      <c r="AW101" s="3"/>
      <c r="AX101" s="3"/>
      <c r="AY101" s="3"/>
      <c r="AZ101" s="3"/>
      <c r="BA101" s="12"/>
      <c r="BB101" s="59"/>
      <c r="BC101" s="59"/>
      <c r="GP101" s="54"/>
      <c r="GQ101" s="54"/>
    </row>
    <row r="102" spans="1:199" ht="15" hidden="1" customHeight="1" x14ac:dyDescent="0.25">
      <c r="A102" s="102">
        <v>91</v>
      </c>
      <c r="B102" s="103"/>
      <c r="C102" s="104"/>
      <c r="D102" s="1"/>
      <c r="E102" s="105"/>
      <c r="F102" s="105"/>
      <c r="G102" s="100" t="str">
        <f t="shared" si="10"/>
        <v/>
      </c>
      <c r="H102" s="100" t="str">
        <f t="shared" si="11"/>
        <v/>
      </c>
      <c r="I102" s="101">
        <f t="shared" si="12"/>
        <v>0</v>
      </c>
      <c r="J102" s="100" t="str">
        <f t="shared" si="15"/>
        <v/>
      </c>
      <c r="K102" s="6" t="str">
        <f t="shared" si="13"/>
        <v/>
      </c>
      <c r="L102" s="6" t="str">
        <f t="shared" si="14"/>
        <v/>
      </c>
      <c r="M102" s="6">
        <f t="shared" si="16"/>
        <v>0</v>
      </c>
      <c r="N102" s="7">
        <f t="shared" si="17"/>
        <v>0</v>
      </c>
      <c r="O102" s="4"/>
      <c r="P102" s="3"/>
      <c r="Q102" s="3"/>
      <c r="R102" s="3"/>
      <c r="S102" s="3"/>
      <c r="T102" s="3"/>
      <c r="U102" s="5"/>
      <c r="V102" s="125"/>
      <c r="W102" s="4"/>
      <c r="X102" s="3"/>
      <c r="Y102" s="8"/>
      <c r="Z102" s="8"/>
      <c r="AA102" s="3"/>
      <c r="AB102" s="3"/>
      <c r="AC102" s="3"/>
      <c r="AD102" s="3"/>
      <c r="AE102" s="3"/>
      <c r="AF102" s="8"/>
      <c r="AG102" s="8"/>
      <c r="AH102" s="3"/>
      <c r="AI102" s="3"/>
      <c r="AJ102" s="3"/>
      <c r="AK102" s="3"/>
      <c r="AL102" s="3"/>
      <c r="AM102" s="8"/>
      <c r="AN102" s="8"/>
      <c r="AO102" s="3"/>
      <c r="AP102" s="3"/>
      <c r="AQ102" s="3"/>
      <c r="AR102" s="3"/>
      <c r="AS102" s="3"/>
      <c r="AT102" s="8"/>
      <c r="AU102" s="8"/>
      <c r="AV102" s="3"/>
      <c r="AW102" s="3"/>
      <c r="AX102" s="3"/>
      <c r="AY102" s="3"/>
      <c r="AZ102" s="3"/>
      <c r="BA102" s="12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10"/>
        <v/>
      </c>
      <c r="H103" s="100" t="str">
        <f t="shared" si="11"/>
        <v/>
      </c>
      <c r="I103" s="101">
        <f t="shared" si="12"/>
        <v>0</v>
      </c>
      <c r="J103" s="100" t="str">
        <f t="shared" si="15"/>
        <v/>
      </c>
      <c r="K103" s="6" t="str">
        <f t="shared" si="13"/>
        <v/>
      </c>
      <c r="L103" s="6" t="str">
        <f t="shared" si="14"/>
        <v/>
      </c>
      <c r="M103" s="6">
        <f t="shared" si="16"/>
        <v>0</v>
      </c>
      <c r="N103" s="7">
        <f t="shared" si="17"/>
        <v>0</v>
      </c>
      <c r="O103" s="4"/>
      <c r="P103" s="3"/>
      <c r="Q103" s="3"/>
      <c r="R103" s="3"/>
      <c r="S103" s="3"/>
      <c r="T103" s="3"/>
      <c r="U103" s="5"/>
      <c r="V103" s="125"/>
      <c r="W103" s="4"/>
      <c r="X103" s="3"/>
      <c r="Y103" s="8"/>
      <c r="Z103" s="8"/>
      <c r="AA103" s="3"/>
      <c r="AB103" s="3"/>
      <c r="AC103" s="3"/>
      <c r="AD103" s="3"/>
      <c r="AE103" s="3"/>
      <c r="AF103" s="8"/>
      <c r="AG103" s="8"/>
      <c r="AH103" s="3"/>
      <c r="AI103" s="3"/>
      <c r="AJ103" s="3"/>
      <c r="AK103" s="3"/>
      <c r="AL103" s="3"/>
      <c r="AM103" s="8"/>
      <c r="AN103" s="8"/>
      <c r="AO103" s="3"/>
      <c r="AP103" s="3"/>
      <c r="AQ103" s="3"/>
      <c r="AR103" s="3"/>
      <c r="AS103" s="3"/>
      <c r="AT103" s="8"/>
      <c r="AU103" s="8"/>
      <c r="AV103" s="3"/>
      <c r="AW103" s="3"/>
      <c r="AX103" s="3"/>
      <c r="AY103" s="3"/>
      <c r="AZ103" s="3"/>
      <c r="BA103" s="12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10"/>
        <v/>
      </c>
      <c r="H104" s="100" t="str">
        <f t="shared" si="11"/>
        <v/>
      </c>
      <c r="I104" s="101">
        <f t="shared" si="12"/>
        <v>0</v>
      </c>
      <c r="J104" s="100" t="str">
        <f t="shared" si="15"/>
        <v/>
      </c>
      <c r="K104" s="6" t="str">
        <f t="shared" si="13"/>
        <v/>
      </c>
      <c r="L104" s="6" t="str">
        <f t="shared" si="14"/>
        <v/>
      </c>
      <c r="M104" s="6">
        <f t="shared" si="16"/>
        <v>0</v>
      </c>
      <c r="N104" s="7">
        <f t="shared" si="17"/>
        <v>0</v>
      </c>
      <c r="O104" s="4"/>
      <c r="P104" s="3"/>
      <c r="Q104" s="3"/>
      <c r="R104" s="3"/>
      <c r="S104" s="3"/>
      <c r="T104" s="3"/>
      <c r="U104" s="5"/>
      <c r="V104" s="125"/>
      <c r="W104" s="4"/>
      <c r="X104" s="3"/>
      <c r="Y104" s="8"/>
      <c r="Z104" s="8"/>
      <c r="AA104" s="3"/>
      <c r="AB104" s="3"/>
      <c r="AC104" s="3"/>
      <c r="AD104" s="3"/>
      <c r="AE104" s="3"/>
      <c r="AF104" s="8"/>
      <c r="AG104" s="8"/>
      <c r="AH104" s="3"/>
      <c r="AI104" s="3"/>
      <c r="AJ104" s="3"/>
      <c r="AK104" s="3"/>
      <c r="AL104" s="3"/>
      <c r="AM104" s="8"/>
      <c r="AN104" s="8"/>
      <c r="AO104" s="3"/>
      <c r="AP104" s="3"/>
      <c r="AQ104" s="3"/>
      <c r="AR104" s="3"/>
      <c r="AS104" s="3"/>
      <c r="AT104" s="8"/>
      <c r="AU104" s="8"/>
      <c r="AV104" s="3"/>
      <c r="AW104" s="3"/>
      <c r="AX104" s="3"/>
      <c r="AY104" s="3"/>
      <c r="AZ104" s="3"/>
      <c r="BA104" s="12"/>
      <c r="BB104" s="59"/>
      <c r="BC104" s="59"/>
      <c r="GP104" s="54"/>
      <c r="GQ104" s="54"/>
    </row>
    <row r="105" spans="1:199" ht="15" hidden="1" customHeight="1" x14ac:dyDescent="0.25">
      <c r="A105" s="97">
        <v>94</v>
      </c>
      <c r="B105" s="103"/>
      <c r="C105" s="104"/>
      <c r="D105" s="1"/>
      <c r="E105" s="105"/>
      <c r="F105" s="105"/>
      <c r="G105" s="100" t="str">
        <f t="shared" si="10"/>
        <v/>
      </c>
      <c r="H105" s="100" t="str">
        <f t="shared" si="11"/>
        <v/>
      </c>
      <c r="I105" s="101">
        <f t="shared" si="12"/>
        <v>0</v>
      </c>
      <c r="J105" s="100" t="str">
        <f t="shared" si="15"/>
        <v/>
      </c>
      <c r="K105" s="6" t="str">
        <f t="shared" si="13"/>
        <v/>
      </c>
      <c r="L105" s="6" t="str">
        <f t="shared" si="14"/>
        <v/>
      </c>
      <c r="M105" s="6">
        <f t="shared" si="16"/>
        <v>0</v>
      </c>
      <c r="N105" s="7">
        <f t="shared" si="17"/>
        <v>0</v>
      </c>
      <c r="O105" s="4"/>
      <c r="P105" s="3"/>
      <c r="Q105" s="3"/>
      <c r="R105" s="3"/>
      <c r="S105" s="3"/>
      <c r="T105" s="3"/>
      <c r="U105" s="5"/>
      <c r="V105" s="125"/>
      <c r="W105" s="4"/>
      <c r="X105" s="3"/>
      <c r="Y105" s="8"/>
      <c r="Z105" s="8"/>
      <c r="AA105" s="3"/>
      <c r="AB105" s="3"/>
      <c r="AC105" s="3"/>
      <c r="AD105" s="3"/>
      <c r="AE105" s="3"/>
      <c r="AF105" s="8"/>
      <c r="AG105" s="8"/>
      <c r="AH105" s="3"/>
      <c r="AI105" s="3"/>
      <c r="AJ105" s="3"/>
      <c r="AK105" s="3"/>
      <c r="AL105" s="3"/>
      <c r="AM105" s="8"/>
      <c r="AN105" s="8"/>
      <c r="AO105" s="3"/>
      <c r="AP105" s="3"/>
      <c r="AQ105" s="3"/>
      <c r="AR105" s="3"/>
      <c r="AS105" s="3"/>
      <c r="AT105" s="8"/>
      <c r="AU105" s="8"/>
      <c r="AV105" s="3"/>
      <c r="AW105" s="3"/>
      <c r="AX105" s="3"/>
      <c r="AY105" s="3"/>
      <c r="AZ105" s="3"/>
      <c r="BA105" s="12"/>
      <c r="BB105" s="59"/>
      <c r="BC105" s="59"/>
      <c r="GP105" s="54"/>
      <c r="GQ105" s="54"/>
    </row>
    <row r="106" spans="1:199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10"/>
        <v/>
      </c>
      <c r="H106" s="100" t="str">
        <f t="shared" si="11"/>
        <v/>
      </c>
      <c r="I106" s="101">
        <f t="shared" si="12"/>
        <v>0</v>
      </c>
      <c r="J106" s="100" t="str">
        <f t="shared" si="15"/>
        <v/>
      </c>
      <c r="K106" s="6" t="str">
        <f t="shared" si="13"/>
        <v/>
      </c>
      <c r="L106" s="6" t="str">
        <f t="shared" si="14"/>
        <v/>
      </c>
      <c r="M106" s="6">
        <f t="shared" si="16"/>
        <v>0</v>
      </c>
      <c r="N106" s="7">
        <f t="shared" si="17"/>
        <v>0</v>
      </c>
      <c r="O106" s="4"/>
      <c r="P106" s="3"/>
      <c r="Q106" s="3"/>
      <c r="R106" s="3"/>
      <c r="S106" s="3"/>
      <c r="T106" s="3"/>
      <c r="U106" s="5"/>
      <c r="V106" s="125"/>
      <c r="W106" s="4"/>
      <c r="X106" s="3"/>
      <c r="Y106" s="8"/>
      <c r="Z106" s="8"/>
      <c r="AA106" s="3"/>
      <c r="AB106" s="3"/>
      <c r="AC106" s="3"/>
      <c r="AD106" s="3"/>
      <c r="AE106" s="3"/>
      <c r="AF106" s="8"/>
      <c r="AG106" s="8"/>
      <c r="AH106" s="3"/>
      <c r="AI106" s="3"/>
      <c r="AJ106" s="3"/>
      <c r="AK106" s="3"/>
      <c r="AL106" s="3"/>
      <c r="AM106" s="8"/>
      <c r="AN106" s="8"/>
      <c r="AO106" s="3"/>
      <c r="AP106" s="3"/>
      <c r="AQ106" s="3"/>
      <c r="AR106" s="3"/>
      <c r="AS106" s="3"/>
      <c r="AT106" s="8"/>
      <c r="AU106" s="8"/>
      <c r="AV106" s="3"/>
      <c r="AW106" s="3"/>
      <c r="AX106" s="3"/>
      <c r="AY106" s="3"/>
      <c r="AZ106" s="3"/>
      <c r="BA106" s="12"/>
      <c r="BB106" s="59"/>
      <c r="BC106" s="59"/>
      <c r="GP106" s="54"/>
      <c r="GQ106" s="54"/>
    </row>
    <row r="107" spans="1:199" ht="15" hidden="1" customHeight="1" x14ac:dyDescent="0.25">
      <c r="A107" s="102">
        <v>96</v>
      </c>
      <c r="B107" s="103"/>
      <c r="C107" s="104"/>
      <c r="D107" s="1"/>
      <c r="E107" s="105"/>
      <c r="F107" s="105"/>
      <c r="G107" s="100" t="str">
        <f t="shared" si="10"/>
        <v/>
      </c>
      <c r="H107" s="100" t="str">
        <f t="shared" si="11"/>
        <v/>
      </c>
      <c r="I107" s="101">
        <f t="shared" si="12"/>
        <v>0</v>
      </c>
      <c r="J107" s="100" t="str">
        <f t="shared" si="15"/>
        <v/>
      </c>
      <c r="K107" s="6" t="str">
        <f t="shared" si="13"/>
        <v/>
      </c>
      <c r="L107" s="6" t="str">
        <f t="shared" si="14"/>
        <v/>
      </c>
      <c r="M107" s="6">
        <f t="shared" si="16"/>
        <v>0</v>
      </c>
      <c r="N107" s="7">
        <f t="shared" si="17"/>
        <v>0</v>
      </c>
      <c r="O107" s="4"/>
      <c r="P107" s="3"/>
      <c r="Q107" s="3"/>
      <c r="R107" s="3"/>
      <c r="S107" s="3"/>
      <c r="T107" s="3"/>
      <c r="U107" s="5"/>
      <c r="V107" s="125"/>
      <c r="W107" s="4"/>
      <c r="X107" s="3"/>
      <c r="Y107" s="8"/>
      <c r="Z107" s="8"/>
      <c r="AA107" s="3"/>
      <c r="AB107" s="3"/>
      <c r="AC107" s="3"/>
      <c r="AD107" s="3"/>
      <c r="AE107" s="3"/>
      <c r="AF107" s="8"/>
      <c r="AG107" s="8"/>
      <c r="AH107" s="3"/>
      <c r="AI107" s="3"/>
      <c r="AJ107" s="3"/>
      <c r="AK107" s="3"/>
      <c r="AL107" s="3"/>
      <c r="AM107" s="8"/>
      <c r="AN107" s="8"/>
      <c r="AO107" s="3"/>
      <c r="AP107" s="3"/>
      <c r="AQ107" s="3"/>
      <c r="AR107" s="3"/>
      <c r="AS107" s="3"/>
      <c r="AT107" s="8"/>
      <c r="AU107" s="8"/>
      <c r="AV107" s="3"/>
      <c r="AW107" s="3"/>
      <c r="AX107" s="3"/>
      <c r="AY107" s="3"/>
      <c r="AZ107" s="3"/>
      <c r="BA107" s="12"/>
      <c r="BB107" s="59"/>
      <c r="BC107" s="59"/>
      <c r="GP107" s="54"/>
      <c r="GQ107" s="54"/>
    </row>
    <row r="108" spans="1:199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10"/>
        <v/>
      </c>
      <c r="H108" s="100" t="str">
        <f t="shared" si="11"/>
        <v/>
      </c>
      <c r="I108" s="101">
        <f t="shared" si="12"/>
        <v>0</v>
      </c>
      <c r="J108" s="100" t="str">
        <f t="shared" si="15"/>
        <v/>
      </c>
      <c r="K108" s="6" t="str">
        <f t="shared" si="13"/>
        <v/>
      </c>
      <c r="L108" s="6" t="str">
        <f t="shared" si="14"/>
        <v/>
      </c>
      <c r="M108" s="6">
        <f t="shared" si="16"/>
        <v>0</v>
      </c>
      <c r="N108" s="7">
        <f t="shared" ref="N108:N139" si="18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4"/>
      <c r="X108" s="3"/>
      <c r="Y108" s="8"/>
      <c r="Z108" s="8"/>
      <c r="AA108" s="3"/>
      <c r="AB108" s="3"/>
      <c r="AC108" s="3"/>
      <c r="AD108" s="3"/>
      <c r="AE108" s="3"/>
      <c r="AF108" s="8"/>
      <c r="AG108" s="8"/>
      <c r="AH108" s="3"/>
      <c r="AI108" s="3"/>
      <c r="AJ108" s="3"/>
      <c r="AK108" s="3"/>
      <c r="AL108" s="3"/>
      <c r="AM108" s="8"/>
      <c r="AN108" s="8"/>
      <c r="AO108" s="3"/>
      <c r="AP108" s="3"/>
      <c r="AQ108" s="3"/>
      <c r="AR108" s="3"/>
      <c r="AS108" s="3"/>
      <c r="AT108" s="8"/>
      <c r="AU108" s="8"/>
      <c r="AV108" s="3"/>
      <c r="AW108" s="3"/>
      <c r="AX108" s="3"/>
      <c r="AY108" s="3"/>
      <c r="AZ108" s="3"/>
      <c r="BA108" s="12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10"/>
        <v/>
      </c>
      <c r="H109" s="100" t="str">
        <f t="shared" si="11"/>
        <v/>
      </c>
      <c r="I109" s="101">
        <f t="shared" si="12"/>
        <v>0</v>
      </c>
      <c r="J109" s="100" t="str">
        <f t="shared" si="15"/>
        <v/>
      </c>
      <c r="K109" s="6" t="str">
        <f t="shared" si="13"/>
        <v/>
      </c>
      <c r="L109" s="6" t="str">
        <f t="shared" si="14"/>
        <v/>
      </c>
      <c r="M109" s="6">
        <f t="shared" si="16"/>
        <v>0</v>
      </c>
      <c r="N109" s="7">
        <f t="shared" si="18"/>
        <v>0</v>
      </c>
      <c r="O109" s="4"/>
      <c r="P109" s="3"/>
      <c r="Q109" s="3"/>
      <c r="R109" s="3"/>
      <c r="S109" s="3"/>
      <c r="T109" s="3"/>
      <c r="U109" s="5"/>
      <c r="V109" s="125"/>
      <c r="W109" s="4"/>
      <c r="X109" s="3"/>
      <c r="Y109" s="8"/>
      <c r="Z109" s="8"/>
      <c r="AA109" s="3"/>
      <c r="AB109" s="3"/>
      <c r="AC109" s="3"/>
      <c r="AD109" s="3"/>
      <c r="AE109" s="3"/>
      <c r="AF109" s="8"/>
      <c r="AG109" s="8"/>
      <c r="AH109" s="3"/>
      <c r="AI109" s="3"/>
      <c r="AJ109" s="3"/>
      <c r="AK109" s="3"/>
      <c r="AL109" s="3"/>
      <c r="AM109" s="8"/>
      <c r="AN109" s="8"/>
      <c r="AO109" s="3"/>
      <c r="AP109" s="3"/>
      <c r="AQ109" s="3"/>
      <c r="AR109" s="3"/>
      <c r="AS109" s="3"/>
      <c r="AT109" s="8"/>
      <c r="AU109" s="8"/>
      <c r="AV109" s="3"/>
      <c r="AW109" s="3"/>
      <c r="AX109" s="3"/>
      <c r="AY109" s="3"/>
      <c r="AZ109" s="3"/>
      <c r="BA109" s="12"/>
      <c r="BB109" s="59"/>
      <c r="BC109" s="59"/>
      <c r="GP109" s="54"/>
      <c r="GQ109" s="54"/>
    </row>
    <row r="110" spans="1:199" ht="15" hidden="1" customHeight="1" x14ac:dyDescent="0.25">
      <c r="A110" s="97">
        <v>99</v>
      </c>
      <c r="B110" s="103"/>
      <c r="C110" s="104"/>
      <c r="D110" s="1"/>
      <c r="E110" s="105"/>
      <c r="F110" s="105"/>
      <c r="G110" s="100" t="str">
        <f t="shared" si="10"/>
        <v/>
      </c>
      <c r="H110" s="100" t="str">
        <f t="shared" si="11"/>
        <v/>
      </c>
      <c r="I110" s="101">
        <f t="shared" si="12"/>
        <v>0</v>
      </c>
      <c r="J110" s="100" t="str">
        <f t="shared" si="15"/>
        <v/>
      </c>
      <c r="K110" s="6" t="str">
        <f t="shared" si="13"/>
        <v/>
      </c>
      <c r="L110" s="6" t="str">
        <f t="shared" si="14"/>
        <v/>
      </c>
      <c r="M110" s="6">
        <f t="shared" si="16"/>
        <v>0</v>
      </c>
      <c r="N110" s="7">
        <f t="shared" si="18"/>
        <v>0</v>
      </c>
      <c r="O110" s="4"/>
      <c r="P110" s="3"/>
      <c r="Q110" s="3"/>
      <c r="R110" s="3"/>
      <c r="S110" s="3"/>
      <c r="T110" s="3"/>
      <c r="U110" s="5"/>
      <c r="V110" s="125"/>
      <c r="W110" s="4"/>
      <c r="X110" s="3"/>
      <c r="Y110" s="8"/>
      <c r="Z110" s="8"/>
      <c r="AA110" s="3"/>
      <c r="AB110" s="3"/>
      <c r="AC110" s="3"/>
      <c r="AD110" s="3"/>
      <c r="AE110" s="3"/>
      <c r="AF110" s="8"/>
      <c r="AG110" s="8"/>
      <c r="AH110" s="3"/>
      <c r="AI110" s="3"/>
      <c r="AJ110" s="3"/>
      <c r="AK110" s="3"/>
      <c r="AL110" s="3"/>
      <c r="AM110" s="8"/>
      <c r="AN110" s="8"/>
      <c r="AO110" s="3"/>
      <c r="AP110" s="3"/>
      <c r="AQ110" s="3"/>
      <c r="AR110" s="3"/>
      <c r="AS110" s="3"/>
      <c r="AT110" s="8"/>
      <c r="AU110" s="8"/>
      <c r="AV110" s="3"/>
      <c r="AW110" s="3"/>
      <c r="AX110" s="3"/>
      <c r="AY110" s="3"/>
      <c r="AZ110" s="3"/>
      <c r="BA110" s="12"/>
      <c r="BB110" s="59"/>
      <c r="BC110" s="59"/>
      <c r="GP110" s="54"/>
      <c r="GQ110" s="54"/>
    </row>
    <row r="111" spans="1:199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10"/>
        <v/>
      </c>
      <c r="H111" s="100" t="str">
        <f t="shared" si="11"/>
        <v/>
      </c>
      <c r="I111" s="101">
        <f t="shared" si="12"/>
        <v>0</v>
      </c>
      <c r="J111" s="100" t="str">
        <f t="shared" ref="J111" si="19">IF(I111&gt;0,12,"")</f>
        <v/>
      </c>
      <c r="K111" s="6" t="str">
        <f t="shared" si="13"/>
        <v/>
      </c>
      <c r="L111" s="6" t="str">
        <f t="shared" si="14"/>
        <v/>
      </c>
      <c r="M111" s="6">
        <f t="shared" si="16"/>
        <v>0</v>
      </c>
      <c r="N111" s="7">
        <f t="shared" si="18"/>
        <v>0</v>
      </c>
      <c r="O111" s="4"/>
      <c r="P111" s="3"/>
      <c r="Q111" s="3"/>
      <c r="R111" s="3"/>
      <c r="S111" s="3"/>
      <c r="T111" s="3"/>
      <c r="U111" s="5"/>
      <c r="V111" s="125"/>
      <c r="W111" s="4"/>
      <c r="X111" s="3"/>
      <c r="Y111" s="8"/>
      <c r="Z111" s="8"/>
      <c r="AA111" s="3"/>
      <c r="AB111" s="3"/>
      <c r="AC111" s="3"/>
      <c r="AD111" s="3"/>
      <c r="AE111" s="3"/>
      <c r="AF111" s="8"/>
      <c r="AG111" s="8"/>
      <c r="AH111" s="3"/>
      <c r="AI111" s="3"/>
      <c r="AJ111" s="3"/>
      <c r="AK111" s="3"/>
      <c r="AL111" s="3"/>
      <c r="AM111" s="8"/>
      <c r="AN111" s="8"/>
      <c r="AO111" s="3"/>
      <c r="AP111" s="3"/>
      <c r="AQ111" s="3"/>
      <c r="AR111" s="3"/>
      <c r="AS111" s="3"/>
      <c r="AT111" s="8"/>
      <c r="AU111" s="8"/>
      <c r="AV111" s="3"/>
      <c r="AW111" s="3"/>
      <c r="AX111" s="3"/>
      <c r="AY111" s="3"/>
      <c r="AZ111" s="3"/>
      <c r="BA111" s="12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33"/>
      <c r="AX112" s="110"/>
      <c r="AY112" s="110"/>
      <c r="AZ112" s="110"/>
      <c r="BA112" s="110"/>
      <c r="BB112" s="58"/>
      <c r="BC112" s="58"/>
      <c r="GP112" s="54"/>
      <c r="GQ112" s="54"/>
    </row>
    <row r="113" spans="1:199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199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199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4"/>
      <c r="AQ115" s="54"/>
      <c r="AR115" s="59"/>
      <c r="AS115" s="59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GG115" s="54"/>
      <c r="GH115" s="54"/>
      <c r="GI115" s="54"/>
      <c r="GJ115" s="54"/>
      <c r="GK115" s="54"/>
      <c r="GL115" s="54"/>
      <c r="GM115" s="54"/>
      <c r="GN115" s="54"/>
      <c r="GO115" s="54"/>
      <c r="GP115" s="54"/>
      <c r="GQ115" s="54"/>
    </row>
    <row r="116" spans="1:199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4"/>
      <c r="AQ116" s="54"/>
      <c r="AR116" s="59"/>
      <c r="AS116" s="59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GG116" s="54"/>
      <c r="GH116" s="54"/>
      <c r="GI116" s="54"/>
      <c r="GJ116" s="54"/>
      <c r="GK116" s="54"/>
      <c r="GL116" s="54"/>
      <c r="GM116" s="54"/>
      <c r="GN116" s="54"/>
      <c r="GO116" s="54"/>
      <c r="GP116" s="54"/>
      <c r="GQ116" s="54"/>
    </row>
    <row r="117" spans="1:199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4"/>
      <c r="AQ117" s="54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GG117" s="54"/>
      <c r="GH117" s="54"/>
      <c r="GI117" s="54"/>
      <c r="GJ117" s="54"/>
      <c r="GK117" s="54"/>
      <c r="GL117" s="54"/>
      <c r="GM117" s="54"/>
      <c r="GN117" s="54"/>
      <c r="GO117" s="54"/>
      <c r="GP117" s="54"/>
      <c r="GQ117" s="54"/>
    </row>
    <row r="118" spans="1:199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4"/>
      <c r="AQ118" s="54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GG118" s="54"/>
      <c r="GH118" s="54"/>
      <c r="GI118" s="54"/>
      <c r="GJ118" s="54"/>
      <c r="GK118" s="54"/>
      <c r="GL118" s="54"/>
      <c r="GM118" s="54"/>
      <c r="GN118" s="54"/>
      <c r="GO118" s="54"/>
      <c r="GP118" s="54"/>
      <c r="GQ118" s="54"/>
    </row>
    <row r="119" spans="1:199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8"/>
    </row>
    <row r="120" spans="1:199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8"/>
    </row>
    <row r="121" spans="1:199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8"/>
    </row>
    <row r="122" spans="1:199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8"/>
    </row>
    <row r="123" spans="1:199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199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199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199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199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199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sortState ref="A10:FN62">
    <sortCondition ref="B10:B62"/>
    <sortCondition ref="C10:C62"/>
  </sortState>
  <customSheetViews>
    <customSheetView guid="{2A96694B-4FE0-4A37-BFC4-27DDF59EE9E8}" scale="98" fitToPage="1" printArea="1">
      <selection activeCell="D51" sqref="D51"/>
      <rowBreaks count="1" manualBreakCount="1">
        <brk id="77" max="16383" man="1"/>
      </rowBreaks>
      <colBreaks count="1" manualBreakCount="1">
        <brk id="17" max="1048575" man="1"/>
      </colBreaks>
      <pageMargins left="0.70866141732283472" right="0.70866141732283472" top="0.74803149606299213" bottom="0.74803149606299213" header="0.31496062992125984" footer="0.31496062992125984"/>
      <pageSetup paperSize="9" scale="86" fitToHeight="2" orientation="portrait" horizontalDpi="200" verticalDpi="200" r:id="rId1"/>
      <headerFooter>
        <oddHeader>&amp;A</oddHeader>
      </headerFooter>
    </customSheetView>
  </customSheetViews>
  <mergeCells count="11">
    <mergeCell ref="A7:B7"/>
    <mergeCell ref="O10:U10"/>
    <mergeCell ref="B115:J115"/>
    <mergeCell ref="B116:J116"/>
    <mergeCell ref="B117:J117"/>
    <mergeCell ref="B121:J121"/>
    <mergeCell ref="B118:J118"/>
    <mergeCell ref="B120:J120"/>
    <mergeCell ref="B122:J122"/>
    <mergeCell ref="W10:BA10"/>
    <mergeCell ref="B119:J119"/>
  </mergeCells>
  <conditionalFormatting sqref="J12:J111">
    <cfRule type="cellIs" dxfId="47" priority="32" operator="lessThan">
      <formula>2</formula>
    </cfRule>
  </conditionalFormatting>
  <conditionalFormatting sqref="I12:I111">
    <cfRule type="cellIs" dxfId="46" priority="3" operator="lessThan">
      <formula>10</formula>
    </cfRule>
  </conditionalFormatting>
  <conditionalFormatting sqref="J12:J111">
    <cfRule type="cellIs" dxfId="45" priority="52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2"/>
  <rowBreaks count="1" manualBreakCount="1">
    <brk id="51" max="53" man="1"/>
  </rowBreak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5" stopIfTrue="1" operator="lessThanOrEqual" id="{BE360BB7-AC47-493A-8F7D-42D9D0F22B8F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N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0" width="4.88671875" style="120" customWidth="1"/>
    <col min="51" max="51" width="3" style="121" customWidth="1"/>
    <col min="52" max="52" width="33.88671875" style="54" customWidth="1"/>
    <col min="53" max="53" width="11.44140625" style="58"/>
    <col min="54" max="54" width="7.88671875" style="58" customWidth="1"/>
    <col min="55" max="55" width="6.109375" style="58" customWidth="1"/>
    <col min="56" max="56" width="4.88671875" style="58" customWidth="1"/>
    <col min="57" max="57" width="5.88671875" style="58" customWidth="1"/>
    <col min="58" max="58" width="6.109375" style="58" customWidth="1"/>
    <col min="59" max="59" width="5.88671875" style="58" customWidth="1"/>
    <col min="60" max="60" width="5.109375" style="58" customWidth="1"/>
    <col min="61" max="61" width="6.44140625" style="58" customWidth="1"/>
    <col min="62" max="62" width="5.44140625" style="58" customWidth="1"/>
    <col min="63" max="63" width="6.109375" style="58" customWidth="1"/>
    <col min="64" max="196" width="11.44140625" style="58"/>
    <col min="197" max="16384" width="11.44140625" style="54"/>
  </cols>
  <sheetData>
    <row r="1" spans="1:196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15"/>
      <c r="AZ1" s="58"/>
      <c r="BB1" s="59"/>
    </row>
    <row r="2" spans="1:196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17"/>
      <c r="AZ2" s="61"/>
      <c r="BA2" s="61"/>
      <c r="BB2" s="62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</row>
    <row r="3" spans="1:196" s="63" customFormat="1" ht="16.8" thickTop="1" thickBot="1" x14ac:dyDescent="0.35">
      <c r="A3" s="64" t="s">
        <v>34</v>
      </c>
      <c r="B3" s="65"/>
      <c r="C3" s="122">
        <v>46054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17"/>
      <c r="AZ3" s="61"/>
      <c r="BA3" s="61"/>
      <c r="BB3" s="62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</row>
    <row r="4" spans="1:196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17"/>
      <c r="AZ4" s="61"/>
      <c r="BA4" s="61"/>
      <c r="BB4" s="62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</row>
    <row r="5" spans="1:196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17"/>
      <c r="AZ5" s="61"/>
      <c r="BA5" s="61"/>
      <c r="BB5" s="62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</row>
    <row r="6" spans="1:196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17"/>
      <c r="AZ6" s="61"/>
      <c r="BA6" s="61"/>
      <c r="BB6" s="62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</row>
    <row r="7" spans="1:196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17"/>
      <c r="AZ7" s="61"/>
      <c r="BA7" s="61"/>
      <c r="BB7" s="62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</row>
    <row r="8" spans="1:196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17"/>
      <c r="AZ8" s="61"/>
      <c r="BA8" s="61"/>
      <c r="BB8" s="62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</row>
    <row r="9" spans="1:196" s="63" customFormat="1" ht="16.8" thickTop="1" thickBot="1" x14ac:dyDescent="0.35">
      <c r="A9" s="83" t="s">
        <v>78</v>
      </c>
      <c r="B9" s="84"/>
      <c r="C9" s="85" t="str">
        <f>Jahresübersicht!E10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17"/>
      <c r="AZ9" s="61"/>
      <c r="BA9" s="61"/>
      <c r="BB9" s="62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</row>
    <row r="10" spans="1:196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123"/>
      <c r="W10" s="170" t="s">
        <v>71</v>
      </c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2"/>
      <c r="AY10" s="17"/>
      <c r="AZ10" s="61"/>
      <c r="BA10" s="61"/>
      <c r="BB10" s="62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</row>
    <row r="11" spans="1:196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124">
        <v>1</v>
      </c>
      <c r="X11" s="124">
        <v>2</v>
      </c>
      <c r="Y11" s="124">
        <v>3</v>
      </c>
      <c r="Z11" s="124">
        <v>4</v>
      </c>
      <c r="AA11" s="124">
        <v>5</v>
      </c>
      <c r="AB11" s="124">
        <v>6</v>
      </c>
      <c r="AC11" s="124">
        <v>7</v>
      </c>
      <c r="AD11" s="124">
        <v>8</v>
      </c>
      <c r="AE11" s="124">
        <v>9</v>
      </c>
      <c r="AF11" s="124">
        <v>10</v>
      </c>
      <c r="AG11" s="124">
        <v>11</v>
      </c>
      <c r="AH11" s="124">
        <v>12</v>
      </c>
      <c r="AI11" s="124">
        <v>13</v>
      </c>
      <c r="AJ11" s="124">
        <v>14</v>
      </c>
      <c r="AK11" s="124">
        <v>15</v>
      </c>
      <c r="AL11" s="124">
        <v>16</v>
      </c>
      <c r="AM11" s="124">
        <v>17</v>
      </c>
      <c r="AN11" s="124">
        <v>18</v>
      </c>
      <c r="AO11" s="124">
        <v>19</v>
      </c>
      <c r="AP11" s="124">
        <v>20</v>
      </c>
      <c r="AQ11" s="124">
        <v>21</v>
      </c>
      <c r="AR11" s="124">
        <v>22</v>
      </c>
      <c r="AS11" s="124">
        <v>23</v>
      </c>
      <c r="AT11" s="124">
        <v>24</v>
      </c>
      <c r="AU11" s="124">
        <v>25</v>
      </c>
      <c r="AV11" s="124">
        <v>26</v>
      </c>
      <c r="AW11" s="124">
        <v>27</v>
      </c>
      <c r="AX11" s="124">
        <v>28</v>
      </c>
      <c r="AY11" s="59"/>
      <c r="AZ11" s="96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GM11" s="54"/>
      <c r="GN11" s="54"/>
    </row>
    <row r="12" spans="1:196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37" si="2">(IF(O12="hT",4,0))+(IF(P12="hT",4,0))+(IF(Q12="hT",4,0))+(IF(R12="hT",4,0))+(IF(S12="hT",4,0))+T12+(COUNTIF(W12:AX12,"hT"))</f>
        <v>0</v>
      </c>
      <c r="N12" s="7">
        <f t="shared" ref="N12:N37" si="3">(IF(O12="x",4,0))+(IF(P12="x",4,0))+(IF(Q12="x",4,0))+(IF(R12="x",4,0))+(IF(S12="x",4,0))+U12+(COUNTIF(W12:AX12,"x"))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8"/>
      <c r="X12" s="3"/>
      <c r="Y12" s="3"/>
      <c r="Z12" s="3"/>
      <c r="AA12" s="3"/>
      <c r="AB12" s="3"/>
      <c r="AC12" s="8"/>
      <c r="AD12" s="8"/>
      <c r="AE12" s="3"/>
      <c r="AF12" s="3"/>
      <c r="AG12" s="3"/>
      <c r="AH12" s="3"/>
      <c r="AI12" s="3"/>
      <c r="AJ12" s="8"/>
      <c r="AK12" s="8"/>
      <c r="AL12" s="3"/>
      <c r="AM12" s="3"/>
      <c r="AN12" s="3"/>
      <c r="AO12" s="3"/>
      <c r="AP12" s="3"/>
      <c r="AQ12" s="8"/>
      <c r="AR12" s="8"/>
      <c r="AS12" s="3"/>
      <c r="AT12" s="3"/>
      <c r="AU12" s="3"/>
      <c r="AV12" s="3"/>
      <c r="AW12" s="3"/>
      <c r="AX12" s="135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GL12" s="54"/>
      <c r="GM12" s="54"/>
      <c r="GN12" s="54"/>
    </row>
    <row r="13" spans="1:196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8"/>
      <c r="X13" s="3"/>
      <c r="Y13" s="3"/>
      <c r="Z13" s="3"/>
      <c r="AA13" s="3"/>
      <c r="AB13" s="3"/>
      <c r="AC13" s="8"/>
      <c r="AD13" s="8"/>
      <c r="AE13" s="3"/>
      <c r="AF13" s="3"/>
      <c r="AG13" s="3"/>
      <c r="AH13" s="3"/>
      <c r="AI13" s="3"/>
      <c r="AJ13" s="8"/>
      <c r="AK13" s="8"/>
      <c r="AL13" s="3"/>
      <c r="AM13" s="3"/>
      <c r="AN13" s="3"/>
      <c r="AO13" s="3"/>
      <c r="AP13" s="3"/>
      <c r="AQ13" s="8"/>
      <c r="AR13" s="8"/>
      <c r="AS13" s="3"/>
      <c r="AT13" s="3"/>
      <c r="AU13" s="3"/>
      <c r="AV13" s="3"/>
      <c r="AW13" s="3"/>
      <c r="AX13" s="12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GL13" s="54"/>
      <c r="GM13" s="54"/>
      <c r="GN13" s="54"/>
    </row>
    <row r="14" spans="1:196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8"/>
      <c r="X14" s="3"/>
      <c r="Y14" s="3"/>
      <c r="Z14" s="3"/>
      <c r="AA14" s="3"/>
      <c r="AB14" s="3"/>
      <c r="AC14" s="8"/>
      <c r="AD14" s="8"/>
      <c r="AE14" s="3"/>
      <c r="AF14" s="3"/>
      <c r="AG14" s="3"/>
      <c r="AH14" s="3"/>
      <c r="AI14" s="3"/>
      <c r="AJ14" s="8"/>
      <c r="AK14" s="8"/>
      <c r="AL14" s="3"/>
      <c r="AM14" s="3"/>
      <c r="AN14" s="3"/>
      <c r="AO14" s="3"/>
      <c r="AP14" s="3"/>
      <c r="AQ14" s="8"/>
      <c r="AR14" s="8"/>
      <c r="AS14" s="3"/>
      <c r="AT14" s="3"/>
      <c r="AU14" s="3"/>
      <c r="AV14" s="3"/>
      <c r="AW14" s="3"/>
      <c r="AX14" s="12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GL14" s="54"/>
      <c r="GM14" s="54"/>
      <c r="GN14" s="54"/>
    </row>
    <row r="15" spans="1:196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8"/>
      <c r="X15" s="3"/>
      <c r="Y15" s="3"/>
      <c r="Z15" s="3"/>
      <c r="AA15" s="3"/>
      <c r="AB15" s="3"/>
      <c r="AC15" s="8"/>
      <c r="AD15" s="8"/>
      <c r="AE15" s="3"/>
      <c r="AF15" s="3"/>
      <c r="AG15" s="3"/>
      <c r="AH15" s="3"/>
      <c r="AI15" s="3"/>
      <c r="AJ15" s="8"/>
      <c r="AK15" s="8"/>
      <c r="AL15" s="3"/>
      <c r="AM15" s="3"/>
      <c r="AN15" s="3"/>
      <c r="AO15" s="3"/>
      <c r="AP15" s="3"/>
      <c r="AQ15" s="8"/>
      <c r="AR15" s="8"/>
      <c r="AS15" s="3"/>
      <c r="AT15" s="3"/>
      <c r="AU15" s="3"/>
      <c r="AV15" s="3"/>
      <c r="AW15" s="3"/>
      <c r="AX15" s="12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GL15" s="54"/>
      <c r="GM15" s="54"/>
      <c r="GN15" s="54"/>
    </row>
    <row r="16" spans="1:196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8"/>
      <c r="X16" s="3"/>
      <c r="Y16" s="3"/>
      <c r="Z16" s="3"/>
      <c r="AA16" s="3"/>
      <c r="AB16" s="3"/>
      <c r="AC16" s="8"/>
      <c r="AD16" s="8"/>
      <c r="AE16" s="3"/>
      <c r="AF16" s="3"/>
      <c r="AG16" s="3"/>
      <c r="AH16" s="3"/>
      <c r="AI16" s="3"/>
      <c r="AJ16" s="8"/>
      <c r="AK16" s="8"/>
      <c r="AL16" s="3"/>
      <c r="AM16" s="3"/>
      <c r="AN16" s="3"/>
      <c r="AO16" s="3"/>
      <c r="AP16" s="3"/>
      <c r="AQ16" s="8"/>
      <c r="AR16" s="8"/>
      <c r="AS16" s="3"/>
      <c r="AT16" s="3"/>
      <c r="AU16" s="3"/>
      <c r="AV16" s="3"/>
      <c r="AW16" s="3"/>
      <c r="AX16" s="12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GL16" s="54"/>
      <c r="GM16" s="54"/>
      <c r="GN16" s="54"/>
    </row>
    <row r="17" spans="1:196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8"/>
      <c r="X17" s="3"/>
      <c r="Y17" s="3"/>
      <c r="Z17" s="3"/>
      <c r="AA17" s="3"/>
      <c r="AB17" s="3"/>
      <c r="AC17" s="8"/>
      <c r="AD17" s="8"/>
      <c r="AE17" s="3"/>
      <c r="AF17" s="3"/>
      <c r="AG17" s="3"/>
      <c r="AH17" s="3"/>
      <c r="AI17" s="3"/>
      <c r="AJ17" s="8"/>
      <c r="AK17" s="8"/>
      <c r="AL17" s="3"/>
      <c r="AM17" s="3"/>
      <c r="AN17" s="3"/>
      <c r="AO17" s="3"/>
      <c r="AP17" s="3"/>
      <c r="AQ17" s="8"/>
      <c r="AR17" s="8"/>
      <c r="AS17" s="3"/>
      <c r="AT17" s="3"/>
      <c r="AU17" s="3"/>
      <c r="AV17" s="3"/>
      <c r="AW17" s="3"/>
      <c r="AX17" s="12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GL17" s="54"/>
      <c r="GM17" s="54"/>
      <c r="GN17" s="54"/>
    </row>
    <row r="18" spans="1:196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8"/>
      <c r="X18" s="3"/>
      <c r="Y18" s="3"/>
      <c r="Z18" s="3"/>
      <c r="AA18" s="3"/>
      <c r="AB18" s="3"/>
      <c r="AC18" s="8"/>
      <c r="AD18" s="8"/>
      <c r="AE18" s="3"/>
      <c r="AF18" s="3"/>
      <c r="AG18" s="3"/>
      <c r="AH18" s="3"/>
      <c r="AI18" s="3"/>
      <c r="AJ18" s="8"/>
      <c r="AK18" s="8"/>
      <c r="AL18" s="3"/>
      <c r="AM18" s="3"/>
      <c r="AN18" s="3"/>
      <c r="AO18" s="3"/>
      <c r="AP18" s="3"/>
      <c r="AQ18" s="8"/>
      <c r="AR18" s="8"/>
      <c r="AS18" s="3"/>
      <c r="AT18" s="3"/>
      <c r="AU18" s="3"/>
      <c r="AV18" s="3"/>
      <c r="AW18" s="3"/>
      <c r="AX18" s="12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GL18" s="54"/>
      <c r="GM18" s="54"/>
      <c r="GN18" s="54"/>
    </row>
    <row r="19" spans="1:196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0"/>
        <v>0</v>
      </c>
      <c r="J19" s="100" t="str">
        <f t="shared" si="1"/>
        <v/>
      </c>
      <c r="K19" s="6" t="str">
        <f t="shared" si="6"/>
        <v/>
      </c>
      <c r="L19" s="6" t="str">
        <f t="shared" si="6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8"/>
      <c r="X19" s="3"/>
      <c r="Y19" s="3"/>
      <c r="Z19" s="3"/>
      <c r="AA19" s="3"/>
      <c r="AB19" s="3"/>
      <c r="AC19" s="8"/>
      <c r="AD19" s="8"/>
      <c r="AE19" s="3"/>
      <c r="AF19" s="3"/>
      <c r="AG19" s="3"/>
      <c r="AH19" s="3"/>
      <c r="AI19" s="3"/>
      <c r="AJ19" s="8"/>
      <c r="AK19" s="8"/>
      <c r="AL19" s="3"/>
      <c r="AM19" s="3"/>
      <c r="AN19" s="3"/>
      <c r="AO19" s="3"/>
      <c r="AP19" s="3"/>
      <c r="AQ19" s="8"/>
      <c r="AR19" s="8"/>
      <c r="AS19" s="3"/>
      <c r="AT19" s="3"/>
      <c r="AU19" s="3"/>
      <c r="AV19" s="3"/>
      <c r="AW19" s="3"/>
      <c r="AX19" s="12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GL19" s="54"/>
      <c r="GM19" s="54"/>
      <c r="GN19" s="54"/>
    </row>
    <row r="20" spans="1:196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4"/>
        <v/>
      </c>
      <c r="H20" s="100" t="str">
        <f t="shared" si="5"/>
        <v/>
      </c>
      <c r="I20" s="101">
        <f t="shared" si="0"/>
        <v>0</v>
      </c>
      <c r="J20" s="100" t="str">
        <f t="shared" si="1"/>
        <v/>
      </c>
      <c r="K20" s="6" t="str">
        <f t="shared" si="6"/>
        <v/>
      </c>
      <c r="L20" s="6" t="str">
        <f t="shared" si="6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8"/>
      <c r="X20" s="3"/>
      <c r="Y20" s="3"/>
      <c r="Z20" s="3"/>
      <c r="AA20" s="3"/>
      <c r="AB20" s="3"/>
      <c r="AC20" s="8"/>
      <c r="AD20" s="8"/>
      <c r="AE20" s="3"/>
      <c r="AF20" s="3"/>
      <c r="AG20" s="3"/>
      <c r="AH20" s="3"/>
      <c r="AI20" s="3"/>
      <c r="AJ20" s="8"/>
      <c r="AK20" s="8"/>
      <c r="AL20" s="3"/>
      <c r="AM20" s="3"/>
      <c r="AN20" s="3"/>
      <c r="AO20" s="3"/>
      <c r="AP20" s="3"/>
      <c r="AQ20" s="8"/>
      <c r="AR20" s="8"/>
      <c r="AS20" s="3"/>
      <c r="AT20" s="3"/>
      <c r="AU20" s="3"/>
      <c r="AV20" s="3"/>
      <c r="AW20" s="3"/>
      <c r="AX20" s="12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GL20" s="54"/>
      <c r="GM20" s="54"/>
      <c r="GN20" s="54"/>
    </row>
    <row r="21" spans="1:196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4"/>
        <v/>
      </c>
      <c r="H21" s="100" t="str">
        <f t="shared" si="5"/>
        <v/>
      </c>
      <c r="I21" s="101">
        <f t="shared" si="0"/>
        <v>0</v>
      </c>
      <c r="J21" s="100" t="str">
        <f t="shared" si="1"/>
        <v/>
      </c>
      <c r="K21" s="6" t="str">
        <f t="shared" si="6"/>
        <v/>
      </c>
      <c r="L21" s="6" t="str">
        <f t="shared" si="6"/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8"/>
      <c r="X21" s="3"/>
      <c r="Y21" s="3"/>
      <c r="Z21" s="3"/>
      <c r="AA21" s="3"/>
      <c r="AB21" s="3"/>
      <c r="AC21" s="8"/>
      <c r="AD21" s="8"/>
      <c r="AE21" s="3"/>
      <c r="AF21" s="3"/>
      <c r="AG21" s="3"/>
      <c r="AH21" s="3"/>
      <c r="AI21" s="3"/>
      <c r="AJ21" s="8"/>
      <c r="AK21" s="8"/>
      <c r="AL21" s="3"/>
      <c r="AM21" s="3"/>
      <c r="AN21" s="3"/>
      <c r="AO21" s="3"/>
      <c r="AP21" s="3"/>
      <c r="AQ21" s="8"/>
      <c r="AR21" s="8"/>
      <c r="AS21" s="3"/>
      <c r="AT21" s="3"/>
      <c r="AU21" s="3"/>
      <c r="AV21" s="3"/>
      <c r="AW21" s="3"/>
      <c r="AX21" s="12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GL21" s="54"/>
      <c r="GM21" s="54"/>
      <c r="GN21" s="54"/>
    </row>
    <row r="22" spans="1:196" ht="15" hidden="1" customHeight="1" x14ac:dyDescent="0.25">
      <c r="A22" s="97">
        <v>11</v>
      </c>
      <c r="B22" s="103"/>
      <c r="C22" s="104"/>
      <c r="D22" s="1"/>
      <c r="E22" s="105"/>
      <c r="F22" s="105"/>
      <c r="G22" s="100" t="str">
        <f t="shared" si="4"/>
        <v/>
      </c>
      <c r="H22" s="100" t="str">
        <f t="shared" si="5"/>
        <v/>
      </c>
      <c r="I22" s="101">
        <f t="shared" si="0"/>
        <v>0</v>
      </c>
      <c r="J22" s="100" t="str">
        <f t="shared" si="1"/>
        <v/>
      </c>
      <c r="K22" s="6" t="str">
        <f t="shared" si="6"/>
        <v/>
      </c>
      <c r="L22" s="6" t="str">
        <f t="shared" si="6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8"/>
      <c r="X22" s="3"/>
      <c r="Y22" s="3"/>
      <c r="Z22" s="3"/>
      <c r="AA22" s="3"/>
      <c r="AB22" s="3"/>
      <c r="AC22" s="8"/>
      <c r="AD22" s="8"/>
      <c r="AE22" s="3"/>
      <c r="AF22" s="3"/>
      <c r="AG22" s="3"/>
      <c r="AH22" s="3"/>
      <c r="AI22" s="3"/>
      <c r="AJ22" s="8"/>
      <c r="AK22" s="8"/>
      <c r="AL22" s="3"/>
      <c r="AM22" s="3"/>
      <c r="AN22" s="3"/>
      <c r="AO22" s="3"/>
      <c r="AP22" s="3"/>
      <c r="AQ22" s="8"/>
      <c r="AR22" s="8"/>
      <c r="AS22" s="3"/>
      <c r="AT22" s="3"/>
      <c r="AU22" s="3"/>
      <c r="AV22" s="3"/>
      <c r="AW22" s="3"/>
      <c r="AX22" s="12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GL22" s="54"/>
      <c r="GM22" s="54"/>
      <c r="GN22" s="54"/>
    </row>
    <row r="23" spans="1:196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4"/>
        <v/>
      </c>
      <c r="H23" s="100" t="str">
        <f t="shared" si="5"/>
        <v/>
      </c>
      <c r="I23" s="101">
        <f t="shared" si="0"/>
        <v>0</v>
      </c>
      <c r="J23" s="100" t="str">
        <f t="shared" si="1"/>
        <v/>
      </c>
      <c r="K23" s="6" t="str">
        <f t="shared" si="6"/>
        <v/>
      </c>
      <c r="L23" s="6" t="str">
        <f t="shared" si="6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8"/>
      <c r="X23" s="3"/>
      <c r="Y23" s="3"/>
      <c r="Z23" s="3"/>
      <c r="AA23" s="3"/>
      <c r="AB23" s="3"/>
      <c r="AC23" s="8"/>
      <c r="AD23" s="8"/>
      <c r="AE23" s="3"/>
      <c r="AF23" s="3"/>
      <c r="AG23" s="3"/>
      <c r="AH23" s="3"/>
      <c r="AI23" s="3"/>
      <c r="AJ23" s="8"/>
      <c r="AK23" s="8"/>
      <c r="AL23" s="3"/>
      <c r="AM23" s="3"/>
      <c r="AN23" s="3"/>
      <c r="AO23" s="3"/>
      <c r="AP23" s="3"/>
      <c r="AQ23" s="8"/>
      <c r="AR23" s="8"/>
      <c r="AS23" s="3"/>
      <c r="AT23" s="3"/>
      <c r="AU23" s="3"/>
      <c r="AV23" s="3"/>
      <c r="AW23" s="3"/>
      <c r="AX23" s="12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GL23" s="54"/>
      <c r="GM23" s="54"/>
      <c r="GN23" s="54"/>
    </row>
    <row r="24" spans="1:196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4"/>
        <v/>
      </c>
      <c r="H24" s="100" t="str">
        <f t="shared" si="5"/>
        <v/>
      </c>
      <c r="I24" s="101">
        <f t="shared" si="0"/>
        <v>0</v>
      </c>
      <c r="J24" s="100" t="str">
        <f t="shared" si="1"/>
        <v/>
      </c>
      <c r="K24" s="6" t="str">
        <f t="shared" si="6"/>
        <v/>
      </c>
      <c r="L24" s="6" t="str">
        <f t="shared" si="6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8"/>
      <c r="X24" s="3"/>
      <c r="Y24" s="3"/>
      <c r="Z24" s="3"/>
      <c r="AA24" s="3"/>
      <c r="AB24" s="3"/>
      <c r="AC24" s="8"/>
      <c r="AD24" s="8"/>
      <c r="AE24" s="3"/>
      <c r="AF24" s="3"/>
      <c r="AG24" s="3"/>
      <c r="AH24" s="3"/>
      <c r="AI24" s="3"/>
      <c r="AJ24" s="8"/>
      <c r="AK24" s="8"/>
      <c r="AL24" s="3"/>
      <c r="AM24" s="3"/>
      <c r="AN24" s="3"/>
      <c r="AO24" s="3"/>
      <c r="AP24" s="3"/>
      <c r="AQ24" s="8"/>
      <c r="AR24" s="8"/>
      <c r="AS24" s="3"/>
      <c r="AT24" s="3"/>
      <c r="AU24" s="3"/>
      <c r="AV24" s="3"/>
      <c r="AW24" s="3"/>
      <c r="AX24" s="12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GL24" s="54"/>
      <c r="GM24" s="54"/>
      <c r="GN24" s="54"/>
    </row>
    <row r="25" spans="1:196" ht="15" hidden="1" customHeight="1" x14ac:dyDescent="0.25">
      <c r="A25" s="102">
        <v>14</v>
      </c>
      <c r="B25" s="103"/>
      <c r="C25" s="104"/>
      <c r="D25" s="2"/>
      <c r="E25" s="105"/>
      <c r="F25" s="105"/>
      <c r="G25" s="100" t="str">
        <f t="shared" si="4"/>
        <v/>
      </c>
      <c r="H25" s="100" t="str">
        <f t="shared" si="5"/>
        <v/>
      </c>
      <c r="I25" s="101">
        <f t="shared" si="0"/>
        <v>0</v>
      </c>
      <c r="J25" s="100" t="str">
        <f t="shared" si="1"/>
        <v/>
      </c>
      <c r="K25" s="6" t="str">
        <f t="shared" si="6"/>
        <v/>
      </c>
      <c r="L25" s="6" t="str">
        <f t="shared" si="6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8"/>
      <c r="X25" s="3"/>
      <c r="Y25" s="3"/>
      <c r="Z25" s="3"/>
      <c r="AA25" s="3"/>
      <c r="AB25" s="3"/>
      <c r="AC25" s="8"/>
      <c r="AD25" s="8"/>
      <c r="AE25" s="3"/>
      <c r="AF25" s="3"/>
      <c r="AG25" s="3"/>
      <c r="AH25" s="3"/>
      <c r="AI25" s="3"/>
      <c r="AJ25" s="8"/>
      <c r="AK25" s="8"/>
      <c r="AL25" s="3"/>
      <c r="AM25" s="3"/>
      <c r="AN25" s="3"/>
      <c r="AO25" s="3"/>
      <c r="AP25" s="3"/>
      <c r="AQ25" s="8"/>
      <c r="AR25" s="8"/>
      <c r="AS25" s="3"/>
      <c r="AT25" s="3"/>
      <c r="AU25" s="3"/>
      <c r="AV25" s="3"/>
      <c r="AW25" s="3"/>
      <c r="AX25" s="12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GL25" s="54"/>
      <c r="GM25" s="54"/>
      <c r="GN25" s="54"/>
    </row>
    <row r="26" spans="1:196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4"/>
        <v/>
      </c>
      <c r="H26" s="100" t="str">
        <f t="shared" si="5"/>
        <v/>
      </c>
      <c r="I26" s="101">
        <f t="shared" si="0"/>
        <v>0</v>
      </c>
      <c r="J26" s="100" t="str">
        <f t="shared" si="1"/>
        <v/>
      </c>
      <c r="K26" s="6" t="str">
        <f t="shared" si="6"/>
        <v/>
      </c>
      <c r="L26" s="6" t="str">
        <f t="shared" si="6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8"/>
      <c r="X26" s="3"/>
      <c r="Y26" s="3"/>
      <c r="Z26" s="3"/>
      <c r="AA26" s="3"/>
      <c r="AB26" s="3"/>
      <c r="AC26" s="8"/>
      <c r="AD26" s="8"/>
      <c r="AE26" s="3"/>
      <c r="AF26" s="3"/>
      <c r="AG26" s="3"/>
      <c r="AH26" s="3"/>
      <c r="AI26" s="3"/>
      <c r="AJ26" s="8"/>
      <c r="AK26" s="8"/>
      <c r="AL26" s="3"/>
      <c r="AM26" s="3"/>
      <c r="AN26" s="3"/>
      <c r="AO26" s="3"/>
      <c r="AP26" s="3"/>
      <c r="AQ26" s="8"/>
      <c r="AR26" s="8"/>
      <c r="AS26" s="3"/>
      <c r="AT26" s="3"/>
      <c r="AU26" s="3"/>
      <c r="AV26" s="3"/>
      <c r="AW26" s="3"/>
      <c r="AX26" s="12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GL26" s="54"/>
      <c r="GM26" s="54"/>
      <c r="GN26" s="54"/>
    </row>
    <row r="27" spans="1:196" ht="15" hidden="1" customHeight="1" x14ac:dyDescent="0.25">
      <c r="A27" s="97">
        <v>16</v>
      </c>
      <c r="B27" s="103"/>
      <c r="C27" s="104"/>
      <c r="D27" s="1"/>
      <c r="E27" s="105"/>
      <c r="F27" s="105"/>
      <c r="G27" s="100" t="str">
        <f t="shared" si="4"/>
        <v/>
      </c>
      <c r="H27" s="100" t="str">
        <f t="shared" si="5"/>
        <v/>
      </c>
      <c r="I27" s="101">
        <f t="shared" si="0"/>
        <v>0</v>
      </c>
      <c r="J27" s="100" t="str">
        <f t="shared" si="1"/>
        <v/>
      </c>
      <c r="K27" s="6" t="str">
        <f t="shared" si="6"/>
        <v/>
      </c>
      <c r="L27" s="6" t="str">
        <f t="shared" si="6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8"/>
      <c r="X27" s="3"/>
      <c r="Y27" s="3"/>
      <c r="Z27" s="3"/>
      <c r="AA27" s="3"/>
      <c r="AB27" s="3"/>
      <c r="AC27" s="8"/>
      <c r="AD27" s="8"/>
      <c r="AE27" s="3"/>
      <c r="AF27" s="3"/>
      <c r="AG27" s="3"/>
      <c r="AH27" s="3"/>
      <c r="AI27" s="3"/>
      <c r="AJ27" s="8"/>
      <c r="AK27" s="8"/>
      <c r="AL27" s="3"/>
      <c r="AM27" s="3"/>
      <c r="AN27" s="3"/>
      <c r="AO27" s="3"/>
      <c r="AP27" s="3"/>
      <c r="AQ27" s="8"/>
      <c r="AR27" s="8"/>
      <c r="AS27" s="3"/>
      <c r="AT27" s="3"/>
      <c r="AU27" s="3"/>
      <c r="AV27" s="3"/>
      <c r="AW27" s="3"/>
      <c r="AX27" s="12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GL27" s="54"/>
      <c r="GM27" s="54"/>
      <c r="GN27" s="54"/>
    </row>
    <row r="28" spans="1:196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4"/>
        <v/>
      </c>
      <c r="H28" s="100" t="str">
        <f t="shared" si="5"/>
        <v/>
      </c>
      <c r="I28" s="101">
        <f t="shared" si="0"/>
        <v>0</v>
      </c>
      <c r="J28" s="100" t="str">
        <f t="shared" si="1"/>
        <v/>
      </c>
      <c r="K28" s="6" t="str">
        <f t="shared" si="6"/>
        <v/>
      </c>
      <c r="L28" s="6" t="str">
        <f t="shared" si="6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8"/>
      <c r="X28" s="3"/>
      <c r="Y28" s="3"/>
      <c r="Z28" s="3"/>
      <c r="AA28" s="3"/>
      <c r="AB28" s="3"/>
      <c r="AC28" s="8"/>
      <c r="AD28" s="8"/>
      <c r="AE28" s="3"/>
      <c r="AF28" s="3"/>
      <c r="AG28" s="3"/>
      <c r="AH28" s="3"/>
      <c r="AI28" s="3"/>
      <c r="AJ28" s="8"/>
      <c r="AK28" s="8"/>
      <c r="AL28" s="3"/>
      <c r="AM28" s="3"/>
      <c r="AN28" s="3"/>
      <c r="AO28" s="3"/>
      <c r="AP28" s="3"/>
      <c r="AQ28" s="8"/>
      <c r="AR28" s="8"/>
      <c r="AS28" s="3"/>
      <c r="AT28" s="3"/>
      <c r="AU28" s="3"/>
      <c r="AV28" s="3"/>
      <c r="AW28" s="3"/>
      <c r="AX28" s="12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GL28" s="54"/>
      <c r="GM28" s="54"/>
      <c r="GN28" s="54"/>
    </row>
    <row r="29" spans="1:196" ht="15" hidden="1" customHeight="1" x14ac:dyDescent="0.25">
      <c r="A29" s="102">
        <v>18</v>
      </c>
      <c r="B29" s="103"/>
      <c r="C29" s="104"/>
      <c r="D29" s="2"/>
      <c r="E29" s="105"/>
      <c r="F29" s="105"/>
      <c r="G29" s="100" t="str">
        <f t="shared" si="4"/>
        <v/>
      </c>
      <c r="H29" s="100" t="str">
        <f t="shared" si="5"/>
        <v/>
      </c>
      <c r="I29" s="101">
        <f t="shared" si="0"/>
        <v>0</v>
      </c>
      <c r="J29" s="100" t="str">
        <f t="shared" si="1"/>
        <v/>
      </c>
      <c r="K29" s="6" t="str">
        <f t="shared" si="6"/>
        <v/>
      </c>
      <c r="L29" s="6" t="str">
        <f t="shared" si="6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8"/>
      <c r="X29" s="3"/>
      <c r="Y29" s="3"/>
      <c r="Z29" s="3"/>
      <c r="AA29" s="3"/>
      <c r="AB29" s="3"/>
      <c r="AC29" s="8"/>
      <c r="AD29" s="8"/>
      <c r="AE29" s="3"/>
      <c r="AF29" s="3"/>
      <c r="AG29" s="3"/>
      <c r="AH29" s="3"/>
      <c r="AI29" s="3"/>
      <c r="AJ29" s="8"/>
      <c r="AK29" s="8"/>
      <c r="AL29" s="3"/>
      <c r="AM29" s="3"/>
      <c r="AN29" s="3"/>
      <c r="AO29" s="3"/>
      <c r="AP29" s="3"/>
      <c r="AQ29" s="8"/>
      <c r="AR29" s="8"/>
      <c r="AS29" s="3"/>
      <c r="AT29" s="3"/>
      <c r="AU29" s="3"/>
      <c r="AV29" s="3"/>
      <c r="AW29" s="3"/>
      <c r="AX29" s="12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GL29" s="54"/>
      <c r="GM29" s="54"/>
      <c r="GN29" s="54"/>
    </row>
    <row r="30" spans="1:196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4"/>
        <v/>
      </c>
      <c r="H30" s="100" t="str">
        <f t="shared" si="5"/>
        <v/>
      </c>
      <c r="I30" s="101">
        <f t="shared" si="0"/>
        <v>0</v>
      </c>
      <c r="J30" s="100" t="str">
        <f t="shared" si="1"/>
        <v/>
      </c>
      <c r="K30" s="6" t="str">
        <f t="shared" si="6"/>
        <v/>
      </c>
      <c r="L30" s="6" t="str">
        <f t="shared" si="6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8"/>
      <c r="X30" s="3"/>
      <c r="Y30" s="3"/>
      <c r="Z30" s="3"/>
      <c r="AA30" s="3"/>
      <c r="AB30" s="3"/>
      <c r="AC30" s="8"/>
      <c r="AD30" s="8"/>
      <c r="AE30" s="3"/>
      <c r="AF30" s="3"/>
      <c r="AG30" s="3"/>
      <c r="AH30" s="3"/>
      <c r="AI30" s="3"/>
      <c r="AJ30" s="8"/>
      <c r="AK30" s="8"/>
      <c r="AL30" s="3"/>
      <c r="AM30" s="3"/>
      <c r="AN30" s="3"/>
      <c r="AO30" s="3"/>
      <c r="AP30" s="3"/>
      <c r="AQ30" s="8"/>
      <c r="AR30" s="8"/>
      <c r="AS30" s="3"/>
      <c r="AT30" s="3"/>
      <c r="AU30" s="3"/>
      <c r="AV30" s="3"/>
      <c r="AW30" s="3"/>
      <c r="AX30" s="12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GL30" s="54"/>
      <c r="GM30" s="54"/>
      <c r="GN30" s="54"/>
    </row>
    <row r="31" spans="1:196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4"/>
        <v/>
      </c>
      <c r="H31" s="100" t="str">
        <f t="shared" si="5"/>
        <v/>
      </c>
      <c r="I31" s="101">
        <f t="shared" si="0"/>
        <v>0</v>
      </c>
      <c r="J31" s="100" t="str">
        <f t="shared" si="1"/>
        <v/>
      </c>
      <c r="K31" s="6" t="str">
        <f t="shared" si="6"/>
        <v/>
      </c>
      <c r="L31" s="6" t="str">
        <f t="shared" si="6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8"/>
      <c r="X31" s="3"/>
      <c r="Y31" s="3"/>
      <c r="Z31" s="3"/>
      <c r="AA31" s="3"/>
      <c r="AB31" s="3"/>
      <c r="AC31" s="8"/>
      <c r="AD31" s="8"/>
      <c r="AE31" s="3"/>
      <c r="AF31" s="3"/>
      <c r="AG31" s="3"/>
      <c r="AH31" s="3"/>
      <c r="AI31" s="3"/>
      <c r="AJ31" s="8"/>
      <c r="AK31" s="8"/>
      <c r="AL31" s="3"/>
      <c r="AM31" s="3"/>
      <c r="AN31" s="3"/>
      <c r="AO31" s="3"/>
      <c r="AP31" s="3"/>
      <c r="AQ31" s="8"/>
      <c r="AR31" s="8"/>
      <c r="AS31" s="3"/>
      <c r="AT31" s="3"/>
      <c r="AU31" s="3"/>
      <c r="AV31" s="3"/>
      <c r="AW31" s="3"/>
      <c r="AX31" s="12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GL31" s="54"/>
      <c r="GM31" s="54"/>
      <c r="GN31" s="54"/>
    </row>
    <row r="32" spans="1:196" ht="15" hidden="1" customHeight="1" x14ac:dyDescent="0.25">
      <c r="A32" s="97">
        <v>21</v>
      </c>
      <c r="B32" s="103"/>
      <c r="C32" s="104"/>
      <c r="D32" s="1"/>
      <c r="E32" s="105"/>
      <c r="F32" s="105"/>
      <c r="G32" s="100" t="str">
        <f t="shared" si="4"/>
        <v/>
      </c>
      <c r="H32" s="100" t="str">
        <f t="shared" si="5"/>
        <v/>
      </c>
      <c r="I32" s="101">
        <f t="shared" si="0"/>
        <v>0</v>
      </c>
      <c r="J32" s="100" t="str">
        <f t="shared" si="1"/>
        <v/>
      </c>
      <c r="K32" s="6" t="str">
        <f t="shared" si="6"/>
        <v/>
      </c>
      <c r="L32" s="6" t="str">
        <f t="shared" si="6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8"/>
      <c r="X32" s="3"/>
      <c r="Y32" s="3"/>
      <c r="Z32" s="3"/>
      <c r="AA32" s="3"/>
      <c r="AB32" s="3"/>
      <c r="AC32" s="8"/>
      <c r="AD32" s="8"/>
      <c r="AE32" s="3"/>
      <c r="AF32" s="3"/>
      <c r="AG32" s="3"/>
      <c r="AH32" s="3"/>
      <c r="AI32" s="3"/>
      <c r="AJ32" s="8"/>
      <c r="AK32" s="8"/>
      <c r="AL32" s="3"/>
      <c r="AM32" s="3"/>
      <c r="AN32" s="3"/>
      <c r="AO32" s="3"/>
      <c r="AP32" s="3"/>
      <c r="AQ32" s="8"/>
      <c r="AR32" s="8"/>
      <c r="AS32" s="3"/>
      <c r="AT32" s="3"/>
      <c r="AU32" s="3"/>
      <c r="AV32" s="3"/>
      <c r="AW32" s="3"/>
      <c r="AX32" s="12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GL32" s="54"/>
      <c r="GM32" s="54"/>
      <c r="GN32" s="54"/>
    </row>
    <row r="33" spans="1:196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ref="G33:G96" si="7">IF(ISBLANK(E33),"",E33*10)</f>
        <v/>
      </c>
      <c r="H33" s="100" t="str">
        <f t="shared" ref="H33:H96" si="8">IF(ISBLANK(F33),"",F33*20)</f>
        <v/>
      </c>
      <c r="I33" s="101">
        <f t="shared" ref="I33:I96" si="9">SUM(G33,H33)</f>
        <v>0</v>
      </c>
      <c r="J33" s="100" t="str">
        <f t="shared" si="1"/>
        <v/>
      </c>
      <c r="K33" s="6" t="str">
        <f t="shared" ref="K33:K96" si="10">IF(M33=E33,"","X")</f>
        <v/>
      </c>
      <c r="L33" s="6" t="str">
        <f t="shared" ref="L33:L96" si="11">IF(N33=F33,"","X")</f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8"/>
      <c r="X33" s="3"/>
      <c r="Y33" s="3"/>
      <c r="Z33" s="3"/>
      <c r="AA33" s="3"/>
      <c r="AB33" s="3"/>
      <c r="AC33" s="8"/>
      <c r="AD33" s="8"/>
      <c r="AE33" s="3"/>
      <c r="AF33" s="3"/>
      <c r="AG33" s="3"/>
      <c r="AH33" s="3"/>
      <c r="AI33" s="3"/>
      <c r="AJ33" s="8"/>
      <c r="AK33" s="8"/>
      <c r="AL33" s="3"/>
      <c r="AM33" s="3"/>
      <c r="AN33" s="3"/>
      <c r="AO33" s="3"/>
      <c r="AP33" s="3"/>
      <c r="AQ33" s="8"/>
      <c r="AR33" s="8"/>
      <c r="AS33" s="3"/>
      <c r="AT33" s="3"/>
      <c r="AU33" s="3"/>
      <c r="AV33" s="3"/>
      <c r="AW33" s="3"/>
      <c r="AX33" s="12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GL33" s="54"/>
      <c r="GM33" s="54"/>
      <c r="GN33" s="54"/>
    </row>
    <row r="34" spans="1:196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8"/>
      <c r="X34" s="3"/>
      <c r="Y34" s="3"/>
      <c r="Z34" s="3"/>
      <c r="AA34" s="3"/>
      <c r="AB34" s="3"/>
      <c r="AC34" s="8"/>
      <c r="AD34" s="8"/>
      <c r="AE34" s="3"/>
      <c r="AF34" s="3"/>
      <c r="AG34" s="3"/>
      <c r="AH34" s="3"/>
      <c r="AI34" s="3"/>
      <c r="AJ34" s="8"/>
      <c r="AK34" s="8"/>
      <c r="AL34" s="3"/>
      <c r="AM34" s="3"/>
      <c r="AN34" s="3"/>
      <c r="AO34" s="3"/>
      <c r="AP34" s="3"/>
      <c r="AQ34" s="8"/>
      <c r="AR34" s="8"/>
      <c r="AS34" s="3"/>
      <c r="AT34" s="3"/>
      <c r="AU34" s="3"/>
      <c r="AV34" s="3"/>
      <c r="AW34" s="3"/>
      <c r="AX34" s="12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GL34" s="54"/>
      <c r="GM34" s="54"/>
      <c r="GN34" s="54"/>
    </row>
    <row r="35" spans="1:196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8"/>
      <c r="X35" s="3"/>
      <c r="Y35" s="3"/>
      <c r="Z35" s="3"/>
      <c r="AA35" s="3"/>
      <c r="AB35" s="3"/>
      <c r="AC35" s="8"/>
      <c r="AD35" s="8"/>
      <c r="AE35" s="3"/>
      <c r="AF35" s="3"/>
      <c r="AG35" s="3"/>
      <c r="AH35" s="3"/>
      <c r="AI35" s="3"/>
      <c r="AJ35" s="8"/>
      <c r="AK35" s="8"/>
      <c r="AL35" s="3"/>
      <c r="AM35" s="3"/>
      <c r="AN35" s="3"/>
      <c r="AO35" s="3"/>
      <c r="AP35" s="3"/>
      <c r="AQ35" s="8"/>
      <c r="AR35" s="8"/>
      <c r="AS35" s="3"/>
      <c r="AT35" s="3"/>
      <c r="AU35" s="3"/>
      <c r="AV35" s="3"/>
      <c r="AW35" s="3"/>
      <c r="AX35" s="12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GL35" s="54"/>
      <c r="GM35" s="54"/>
      <c r="GN35" s="54"/>
    </row>
    <row r="36" spans="1:196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8"/>
      <c r="X36" s="3"/>
      <c r="Y36" s="3"/>
      <c r="Z36" s="3"/>
      <c r="AA36" s="3"/>
      <c r="AB36" s="3"/>
      <c r="AC36" s="8"/>
      <c r="AD36" s="8"/>
      <c r="AE36" s="3"/>
      <c r="AF36" s="3"/>
      <c r="AG36" s="3"/>
      <c r="AH36" s="3"/>
      <c r="AI36" s="3"/>
      <c r="AJ36" s="8"/>
      <c r="AK36" s="8"/>
      <c r="AL36" s="3"/>
      <c r="AM36" s="3"/>
      <c r="AN36" s="3"/>
      <c r="AO36" s="3"/>
      <c r="AP36" s="3"/>
      <c r="AQ36" s="8"/>
      <c r="AR36" s="8"/>
      <c r="AS36" s="3"/>
      <c r="AT36" s="3"/>
      <c r="AU36" s="3"/>
      <c r="AV36" s="3"/>
      <c r="AW36" s="3"/>
      <c r="AX36" s="12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GL36" s="54"/>
      <c r="GM36" s="54"/>
      <c r="GN36" s="54"/>
    </row>
    <row r="37" spans="1:196" ht="15" hidden="1" customHeight="1" x14ac:dyDescent="0.25">
      <c r="A37" s="97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8"/>
      <c r="X37" s="3"/>
      <c r="Y37" s="3"/>
      <c r="Z37" s="3"/>
      <c r="AA37" s="3"/>
      <c r="AB37" s="3"/>
      <c r="AC37" s="8"/>
      <c r="AD37" s="8"/>
      <c r="AE37" s="3"/>
      <c r="AF37" s="3"/>
      <c r="AG37" s="3"/>
      <c r="AH37" s="3"/>
      <c r="AI37" s="3"/>
      <c r="AJ37" s="8"/>
      <c r="AK37" s="8"/>
      <c r="AL37" s="3"/>
      <c r="AM37" s="3"/>
      <c r="AN37" s="3"/>
      <c r="AO37" s="3"/>
      <c r="AP37" s="3"/>
      <c r="AQ37" s="8"/>
      <c r="AR37" s="8"/>
      <c r="AS37" s="3"/>
      <c r="AT37" s="3"/>
      <c r="AU37" s="3"/>
      <c r="AV37" s="3"/>
      <c r="AW37" s="3"/>
      <c r="AX37" s="12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GL37" s="54"/>
      <c r="GM37" s="54"/>
      <c r="GN37" s="54"/>
    </row>
    <row r="38" spans="1:196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ref="M38:M100" si="12">(IF(O38="hT",4,0))+(IF(P38="hT",4,0))+(IF(Q38="hT",4,0))+(IF(R38="hT",4,0))+(IF(S38="hT",4,0))+T38+(COUNTIF(W38:AX38,"hT"))</f>
        <v>0</v>
      </c>
      <c r="N38" s="7">
        <f t="shared" ref="N38:N100" si="13">(IF(O38="x",4,0))+(IF(P38="x",4,0))+(IF(Q38="x",4,0))+(IF(R38="x",4,0))+(IF(S38="x",4,0))+U38+(COUNTIF(W38:AX38,"x"))</f>
        <v>0</v>
      </c>
      <c r="O38" s="4"/>
      <c r="P38" s="3"/>
      <c r="Q38" s="3"/>
      <c r="R38" s="3"/>
      <c r="S38" s="3"/>
      <c r="T38" s="3"/>
      <c r="U38" s="5"/>
      <c r="V38" s="125"/>
      <c r="W38" s="8"/>
      <c r="X38" s="3"/>
      <c r="Y38" s="3"/>
      <c r="Z38" s="3"/>
      <c r="AA38" s="3"/>
      <c r="AB38" s="3"/>
      <c r="AC38" s="8"/>
      <c r="AD38" s="8"/>
      <c r="AE38" s="3"/>
      <c r="AF38" s="3"/>
      <c r="AG38" s="3"/>
      <c r="AH38" s="3"/>
      <c r="AI38" s="3"/>
      <c r="AJ38" s="8"/>
      <c r="AK38" s="8"/>
      <c r="AL38" s="3"/>
      <c r="AM38" s="3"/>
      <c r="AN38" s="3"/>
      <c r="AO38" s="3"/>
      <c r="AP38" s="3"/>
      <c r="AQ38" s="8"/>
      <c r="AR38" s="8"/>
      <c r="AS38" s="3"/>
      <c r="AT38" s="3"/>
      <c r="AU38" s="3"/>
      <c r="AV38" s="3"/>
      <c r="AW38" s="3"/>
      <c r="AX38" s="12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GL38" s="54"/>
      <c r="GM38" s="54"/>
      <c r="GN38" s="54"/>
    </row>
    <row r="39" spans="1:196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12"/>
        <v>0</v>
      </c>
      <c r="N39" s="7">
        <f t="shared" si="13"/>
        <v>0</v>
      </c>
      <c r="O39" s="4"/>
      <c r="P39" s="3"/>
      <c r="Q39" s="3"/>
      <c r="R39" s="3"/>
      <c r="S39" s="3"/>
      <c r="T39" s="3"/>
      <c r="U39" s="5"/>
      <c r="V39" s="125"/>
      <c r="W39" s="8"/>
      <c r="X39" s="3"/>
      <c r="Y39" s="3"/>
      <c r="Z39" s="3"/>
      <c r="AA39" s="3"/>
      <c r="AB39" s="3"/>
      <c r="AC39" s="8"/>
      <c r="AD39" s="8"/>
      <c r="AE39" s="3"/>
      <c r="AF39" s="3"/>
      <c r="AG39" s="3"/>
      <c r="AH39" s="3"/>
      <c r="AI39" s="3"/>
      <c r="AJ39" s="8"/>
      <c r="AK39" s="8"/>
      <c r="AL39" s="3"/>
      <c r="AM39" s="3"/>
      <c r="AN39" s="3"/>
      <c r="AO39" s="3"/>
      <c r="AP39" s="3"/>
      <c r="AQ39" s="8"/>
      <c r="AR39" s="8"/>
      <c r="AS39" s="3"/>
      <c r="AT39" s="3"/>
      <c r="AU39" s="3"/>
      <c r="AV39" s="3"/>
      <c r="AW39" s="3"/>
      <c r="AX39" s="12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GL39" s="54"/>
      <c r="GM39" s="54"/>
      <c r="GN39" s="54"/>
    </row>
    <row r="40" spans="1:196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12"/>
        <v>0</v>
      </c>
      <c r="N40" s="7">
        <f t="shared" si="13"/>
        <v>0</v>
      </c>
      <c r="O40" s="4"/>
      <c r="P40" s="3"/>
      <c r="Q40" s="3"/>
      <c r="R40" s="3"/>
      <c r="S40" s="3"/>
      <c r="T40" s="3"/>
      <c r="U40" s="5"/>
      <c r="V40" s="125"/>
      <c r="W40" s="8"/>
      <c r="X40" s="3"/>
      <c r="Y40" s="3"/>
      <c r="Z40" s="3"/>
      <c r="AA40" s="3"/>
      <c r="AB40" s="3"/>
      <c r="AC40" s="8"/>
      <c r="AD40" s="8"/>
      <c r="AE40" s="3"/>
      <c r="AF40" s="3"/>
      <c r="AG40" s="3"/>
      <c r="AH40" s="3"/>
      <c r="AI40" s="3"/>
      <c r="AJ40" s="8"/>
      <c r="AK40" s="8"/>
      <c r="AL40" s="3"/>
      <c r="AM40" s="3"/>
      <c r="AN40" s="3"/>
      <c r="AO40" s="3"/>
      <c r="AP40" s="3"/>
      <c r="AQ40" s="8"/>
      <c r="AR40" s="8"/>
      <c r="AS40" s="3"/>
      <c r="AT40" s="3"/>
      <c r="AU40" s="3"/>
      <c r="AV40" s="3"/>
      <c r="AW40" s="3"/>
      <c r="AX40" s="12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GL40" s="54"/>
      <c r="GM40" s="54"/>
      <c r="GN40" s="54"/>
    </row>
    <row r="41" spans="1:196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12"/>
        <v>0</v>
      </c>
      <c r="N41" s="7">
        <f t="shared" si="13"/>
        <v>0</v>
      </c>
      <c r="O41" s="4"/>
      <c r="P41" s="3"/>
      <c r="Q41" s="3"/>
      <c r="R41" s="3"/>
      <c r="S41" s="3"/>
      <c r="T41" s="3"/>
      <c r="U41" s="5"/>
      <c r="V41" s="125"/>
      <c r="W41" s="8"/>
      <c r="X41" s="3"/>
      <c r="Y41" s="3"/>
      <c r="Z41" s="3"/>
      <c r="AA41" s="3"/>
      <c r="AB41" s="3"/>
      <c r="AC41" s="8"/>
      <c r="AD41" s="8"/>
      <c r="AE41" s="3"/>
      <c r="AF41" s="3"/>
      <c r="AG41" s="3"/>
      <c r="AH41" s="3"/>
      <c r="AI41" s="3"/>
      <c r="AJ41" s="8"/>
      <c r="AK41" s="8"/>
      <c r="AL41" s="3"/>
      <c r="AM41" s="3"/>
      <c r="AN41" s="3"/>
      <c r="AO41" s="3"/>
      <c r="AP41" s="3"/>
      <c r="AQ41" s="8"/>
      <c r="AR41" s="8"/>
      <c r="AS41" s="3"/>
      <c r="AT41" s="3"/>
      <c r="AU41" s="3"/>
      <c r="AV41" s="3"/>
      <c r="AW41" s="3"/>
      <c r="AX41" s="12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GL41" s="54"/>
      <c r="GM41" s="54"/>
      <c r="GN41" s="54"/>
    </row>
    <row r="42" spans="1:196" ht="15" hidden="1" customHeight="1" x14ac:dyDescent="0.25">
      <c r="A42" s="97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12"/>
        <v>0</v>
      </c>
      <c r="N42" s="7">
        <f t="shared" si="13"/>
        <v>0</v>
      </c>
      <c r="O42" s="4"/>
      <c r="P42" s="3"/>
      <c r="Q42" s="3"/>
      <c r="R42" s="3"/>
      <c r="S42" s="3"/>
      <c r="T42" s="3"/>
      <c r="U42" s="5"/>
      <c r="V42" s="125"/>
      <c r="W42" s="8"/>
      <c r="X42" s="3"/>
      <c r="Y42" s="3"/>
      <c r="Z42" s="3"/>
      <c r="AA42" s="3"/>
      <c r="AB42" s="3"/>
      <c r="AC42" s="8"/>
      <c r="AD42" s="8"/>
      <c r="AE42" s="3"/>
      <c r="AF42" s="3"/>
      <c r="AG42" s="3"/>
      <c r="AH42" s="3"/>
      <c r="AI42" s="3"/>
      <c r="AJ42" s="8"/>
      <c r="AK42" s="8"/>
      <c r="AL42" s="3"/>
      <c r="AM42" s="3"/>
      <c r="AN42" s="3"/>
      <c r="AO42" s="3"/>
      <c r="AP42" s="3"/>
      <c r="AQ42" s="8"/>
      <c r="AR42" s="8"/>
      <c r="AS42" s="3"/>
      <c r="AT42" s="3"/>
      <c r="AU42" s="3"/>
      <c r="AV42" s="3"/>
      <c r="AW42" s="3"/>
      <c r="AX42" s="12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GL42" s="54"/>
      <c r="GM42" s="54"/>
      <c r="GN42" s="54"/>
    </row>
    <row r="43" spans="1:196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12"/>
        <v>0</v>
      </c>
      <c r="N43" s="7">
        <f t="shared" si="13"/>
        <v>0</v>
      </c>
      <c r="O43" s="4"/>
      <c r="P43" s="3"/>
      <c r="Q43" s="3"/>
      <c r="R43" s="3"/>
      <c r="S43" s="3"/>
      <c r="T43" s="3"/>
      <c r="U43" s="5"/>
      <c r="V43" s="125"/>
      <c r="W43" s="8"/>
      <c r="X43" s="3"/>
      <c r="Y43" s="3"/>
      <c r="Z43" s="3"/>
      <c r="AA43" s="3"/>
      <c r="AB43" s="3"/>
      <c r="AC43" s="8"/>
      <c r="AD43" s="8"/>
      <c r="AE43" s="3"/>
      <c r="AF43" s="3"/>
      <c r="AG43" s="3"/>
      <c r="AH43" s="3"/>
      <c r="AI43" s="3"/>
      <c r="AJ43" s="8"/>
      <c r="AK43" s="8"/>
      <c r="AL43" s="3"/>
      <c r="AM43" s="3"/>
      <c r="AN43" s="3"/>
      <c r="AO43" s="3"/>
      <c r="AP43" s="3"/>
      <c r="AQ43" s="8"/>
      <c r="AR43" s="8"/>
      <c r="AS43" s="3"/>
      <c r="AT43" s="3"/>
      <c r="AU43" s="3"/>
      <c r="AV43" s="3"/>
      <c r="AW43" s="3"/>
      <c r="AX43" s="12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GL43" s="54"/>
      <c r="GM43" s="54"/>
      <c r="GN43" s="54"/>
    </row>
    <row r="44" spans="1:196" ht="15" hidden="1" customHeight="1" x14ac:dyDescent="0.25">
      <c r="A44" s="102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si="12"/>
        <v>0</v>
      </c>
      <c r="N44" s="7">
        <f t="shared" si="13"/>
        <v>0</v>
      </c>
      <c r="O44" s="4"/>
      <c r="P44" s="3"/>
      <c r="Q44" s="3"/>
      <c r="R44" s="3"/>
      <c r="S44" s="3"/>
      <c r="T44" s="3"/>
      <c r="U44" s="5"/>
      <c r="V44" s="125"/>
      <c r="W44" s="8"/>
      <c r="X44" s="3"/>
      <c r="Y44" s="3"/>
      <c r="Z44" s="3"/>
      <c r="AA44" s="3"/>
      <c r="AB44" s="3"/>
      <c r="AC44" s="8"/>
      <c r="AD44" s="8"/>
      <c r="AE44" s="3"/>
      <c r="AF44" s="3"/>
      <c r="AG44" s="3"/>
      <c r="AH44" s="3"/>
      <c r="AI44" s="3"/>
      <c r="AJ44" s="8"/>
      <c r="AK44" s="8"/>
      <c r="AL44" s="3"/>
      <c r="AM44" s="3"/>
      <c r="AN44" s="3"/>
      <c r="AO44" s="3"/>
      <c r="AP44" s="3"/>
      <c r="AQ44" s="8"/>
      <c r="AR44" s="8"/>
      <c r="AS44" s="3"/>
      <c r="AT44" s="3"/>
      <c r="AU44" s="3"/>
      <c r="AV44" s="3"/>
      <c r="AW44" s="3"/>
      <c r="AX44" s="12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GL44" s="54"/>
      <c r="GM44" s="54"/>
      <c r="GN44" s="54"/>
    </row>
    <row r="45" spans="1:196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8"/>
      <c r="X45" s="3"/>
      <c r="Y45" s="3"/>
      <c r="Z45" s="3"/>
      <c r="AA45" s="3"/>
      <c r="AB45" s="3"/>
      <c r="AC45" s="8"/>
      <c r="AD45" s="8"/>
      <c r="AE45" s="3"/>
      <c r="AF45" s="3"/>
      <c r="AG45" s="3"/>
      <c r="AH45" s="3"/>
      <c r="AI45" s="3"/>
      <c r="AJ45" s="8"/>
      <c r="AK45" s="8"/>
      <c r="AL45" s="3"/>
      <c r="AM45" s="3"/>
      <c r="AN45" s="3"/>
      <c r="AO45" s="3"/>
      <c r="AP45" s="3"/>
      <c r="AQ45" s="8"/>
      <c r="AR45" s="8"/>
      <c r="AS45" s="3"/>
      <c r="AT45" s="3"/>
      <c r="AU45" s="3"/>
      <c r="AV45" s="3"/>
      <c r="AW45" s="3"/>
      <c r="AX45" s="12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GL45" s="54"/>
      <c r="GM45" s="54"/>
      <c r="GN45" s="54"/>
    </row>
    <row r="46" spans="1:196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8"/>
      <c r="X46" s="3"/>
      <c r="Y46" s="3"/>
      <c r="Z46" s="3"/>
      <c r="AA46" s="3"/>
      <c r="AB46" s="3"/>
      <c r="AC46" s="8"/>
      <c r="AD46" s="8"/>
      <c r="AE46" s="3"/>
      <c r="AF46" s="3"/>
      <c r="AG46" s="3"/>
      <c r="AH46" s="3"/>
      <c r="AI46" s="3"/>
      <c r="AJ46" s="8"/>
      <c r="AK46" s="8"/>
      <c r="AL46" s="3"/>
      <c r="AM46" s="3"/>
      <c r="AN46" s="3"/>
      <c r="AO46" s="3"/>
      <c r="AP46" s="3"/>
      <c r="AQ46" s="8"/>
      <c r="AR46" s="8"/>
      <c r="AS46" s="3"/>
      <c r="AT46" s="3"/>
      <c r="AU46" s="3"/>
      <c r="AV46" s="3"/>
      <c r="AW46" s="3"/>
      <c r="AX46" s="12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GL46" s="54"/>
      <c r="GM46" s="54"/>
      <c r="GN46" s="54"/>
    </row>
    <row r="47" spans="1:196" ht="15" hidden="1" customHeight="1" x14ac:dyDescent="0.25">
      <c r="A47" s="97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8"/>
      <c r="X47" s="3"/>
      <c r="Y47" s="3"/>
      <c r="Z47" s="3"/>
      <c r="AA47" s="3"/>
      <c r="AB47" s="3"/>
      <c r="AC47" s="8"/>
      <c r="AD47" s="8"/>
      <c r="AE47" s="3"/>
      <c r="AF47" s="3"/>
      <c r="AG47" s="3"/>
      <c r="AH47" s="3"/>
      <c r="AI47" s="3"/>
      <c r="AJ47" s="8"/>
      <c r="AK47" s="8"/>
      <c r="AL47" s="3"/>
      <c r="AM47" s="3"/>
      <c r="AN47" s="3"/>
      <c r="AO47" s="3"/>
      <c r="AP47" s="3"/>
      <c r="AQ47" s="8"/>
      <c r="AR47" s="8"/>
      <c r="AS47" s="3"/>
      <c r="AT47" s="3"/>
      <c r="AU47" s="3"/>
      <c r="AV47" s="3"/>
      <c r="AW47" s="3"/>
      <c r="AX47" s="12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GL47" s="54"/>
      <c r="GM47" s="54"/>
      <c r="GN47" s="54"/>
    </row>
    <row r="48" spans="1:196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8"/>
      <c r="X48" s="3"/>
      <c r="Y48" s="3"/>
      <c r="Z48" s="3"/>
      <c r="AA48" s="3"/>
      <c r="AB48" s="3"/>
      <c r="AC48" s="8"/>
      <c r="AD48" s="8"/>
      <c r="AE48" s="3"/>
      <c r="AF48" s="3"/>
      <c r="AG48" s="3"/>
      <c r="AH48" s="3"/>
      <c r="AI48" s="3"/>
      <c r="AJ48" s="8"/>
      <c r="AK48" s="8"/>
      <c r="AL48" s="3"/>
      <c r="AM48" s="3"/>
      <c r="AN48" s="3"/>
      <c r="AO48" s="3"/>
      <c r="AP48" s="3"/>
      <c r="AQ48" s="8"/>
      <c r="AR48" s="8"/>
      <c r="AS48" s="3"/>
      <c r="AT48" s="3"/>
      <c r="AU48" s="3"/>
      <c r="AV48" s="3"/>
      <c r="AW48" s="3"/>
      <c r="AX48" s="12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GL48" s="54"/>
      <c r="GM48" s="54"/>
      <c r="GN48" s="54"/>
    </row>
    <row r="49" spans="1:196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8"/>
      <c r="X49" s="3"/>
      <c r="Y49" s="3"/>
      <c r="Z49" s="3"/>
      <c r="AA49" s="3"/>
      <c r="AB49" s="3"/>
      <c r="AC49" s="8"/>
      <c r="AD49" s="8"/>
      <c r="AE49" s="3"/>
      <c r="AF49" s="3"/>
      <c r="AG49" s="3"/>
      <c r="AH49" s="3"/>
      <c r="AI49" s="3"/>
      <c r="AJ49" s="8"/>
      <c r="AK49" s="8"/>
      <c r="AL49" s="3"/>
      <c r="AM49" s="3"/>
      <c r="AN49" s="3"/>
      <c r="AO49" s="3"/>
      <c r="AP49" s="3"/>
      <c r="AQ49" s="8"/>
      <c r="AR49" s="8"/>
      <c r="AS49" s="3"/>
      <c r="AT49" s="3"/>
      <c r="AU49" s="3"/>
      <c r="AV49" s="3"/>
      <c r="AW49" s="3"/>
      <c r="AX49" s="12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GL49" s="54"/>
      <c r="GM49" s="54"/>
      <c r="GN49" s="54"/>
    </row>
    <row r="50" spans="1:196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8"/>
      <c r="X50" s="3"/>
      <c r="Y50" s="3"/>
      <c r="Z50" s="3"/>
      <c r="AA50" s="3"/>
      <c r="AB50" s="3"/>
      <c r="AC50" s="8"/>
      <c r="AD50" s="8"/>
      <c r="AE50" s="3"/>
      <c r="AF50" s="3"/>
      <c r="AG50" s="3"/>
      <c r="AH50" s="3"/>
      <c r="AI50" s="3"/>
      <c r="AJ50" s="8"/>
      <c r="AK50" s="8"/>
      <c r="AL50" s="3"/>
      <c r="AM50" s="3"/>
      <c r="AN50" s="3"/>
      <c r="AO50" s="3"/>
      <c r="AP50" s="3"/>
      <c r="AQ50" s="8"/>
      <c r="AR50" s="8"/>
      <c r="AS50" s="3"/>
      <c r="AT50" s="3"/>
      <c r="AU50" s="3"/>
      <c r="AV50" s="3"/>
      <c r="AW50" s="3"/>
      <c r="AX50" s="12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GL50" s="54"/>
      <c r="GM50" s="54"/>
      <c r="GN50" s="54"/>
    </row>
    <row r="51" spans="1:196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8"/>
      <c r="X51" s="3"/>
      <c r="Y51" s="3"/>
      <c r="Z51" s="3"/>
      <c r="AA51" s="3"/>
      <c r="AB51" s="3"/>
      <c r="AC51" s="8"/>
      <c r="AD51" s="8"/>
      <c r="AE51" s="3"/>
      <c r="AF51" s="3"/>
      <c r="AG51" s="3"/>
      <c r="AH51" s="3"/>
      <c r="AI51" s="3"/>
      <c r="AJ51" s="8"/>
      <c r="AK51" s="8"/>
      <c r="AL51" s="3"/>
      <c r="AM51" s="3"/>
      <c r="AN51" s="3"/>
      <c r="AO51" s="3"/>
      <c r="AP51" s="3"/>
      <c r="AQ51" s="8"/>
      <c r="AR51" s="8"/>
      <c r="AS51" s="3"/>
      <c r="AT51" s="3"/>
      <c r="AU51" s="3"/>
      <c r="AV51" s="3"/>
      <c r="AW51" s="3"/>
      <c r="AX51" s="12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GL51" s="54"/>
      <c r="GM51" s="54"/>
      <c r="GN51" s="54"/>
    </row>
    <row r="52" spans="1:196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8"/>
      <c r="X52" s="3"/>
      <c r="Y52" s="3"/>
      <c r="Z52" s="3"/>
      <c r="AA52" s="3"/>
      <c r="AB52" s="3"/>
      <c r="AC52" s="8"/>
      <c r="AD52" s="8"/>
      <c r="AE52" s="3"/>
      <c r="AF52" s="3"/>
      <c r="AG52" s="3"/>
      <c r="AH52" s="3"/>
      <c r="AI52" s="3"/>
      <c r="AJ52" s="8"/>
      <c r="AK52" s="8"/>
      <c r="AL52" s="3"/>
      <c r="AM52" s="3"/>
      <c r="AN52" s="3"/>
      <c r="AO52" s="3"/>
      <c r="AP52" s="3"/>
      <c r="AQ52" s="8"/>
      <c r="AR52" s="8"/>
      <c r="AS52" s="3"/>
      <c r="AT52" s="3"/>
      <c r="AU52" s="3"/>
      <c r="AV52" s="3"/>
      <c r="AW52" s="3"/>
      <c r="AX52" s="12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GL52" s="54"/>
      <c r="GM52" s="54"/>
      <c r="GN52" s="54"/>
    </row>
    <row r="53" spans="1:196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8"/>
      <c r="X53" s="3"/>
      <c r="Y53" s="3"/>
      <c r="Z53" s="3"/>
      <c r="AA53" s="3"/>
      <c r="AB53" s="3"/>
      <c r="AC53" s="8"/>
      <c r="AD53" s="8"/>
      <c r="AE53" s="3"/>
      <c r="AF53" s="3"/>
      <c r="AG53" s="3"/>
      <c r="AH53" s="3"/>
      <c r="AI53" s="3"/>
      <c r="AJ53" s="8"/>
      <c r="AK53" s="8"/>
      <c r="AL53" s="3"/>
      <c r="AM53" s="3"/>
      <c r="AN53" s="3"/>
      <c r="AO53" s="3"/>
      <c r="AP53" s="3"/>
      <c r="AQ53" s="8"/>
      <c r="AR53" s="8"/>
      <c r="AS53" s="3"/>
      <c r="AT53" s="3"/>
      <c r="AU53" s="3"/>
      <c r="AV53" s="3"/>
      <c r="AW53" s="3"/>
      <c r="AX53" s="12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GL53" s="54"/>
      <c r="GM53" s="54"/>
      <c r="GN53" s="54"/>
    </row>
    <row r="54" spans="1:196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8"/>
      <c r="X54" s="3"/>
      <c r="Y54" s="3"/>
      <c r="Z54" s="3"/>
      <c r="AA54" s="3"/>
      <c r="AB54" s="3"/>
      <c r="AC54" s="8"/>
      <c r="AD54" s="8"/>
      <c r="AE54" s="3"/>
      <c r="AF54" s="3"/>
      <c r="AG54" s="3"/>
      <c r="AH54" s="3"/>
      <c r="AI54" s="3"/>
      <c r="AJ54" s="8"/>
      <c r="AK54" s="8"/>
      <c r="AL54" s="3"/>
      <c r="AM54" s="3"/>
      <c r="AN54" s="3"/>
      <c r="AO54" s="3"/>
      <c r="AP54" s="3"/>
      <c r="AQ54" s="8"/>
      <c r="AR54" s="8"/>
      <c r="AS54" s="3"/>
      <c r="AT54" s="3"/>
      <c r="AU54" s="3"/>
      <c r="AV54" s="3"/>
      <c r="AW54" s="3"/>
      <c r="AX54" s="12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GL54" s="54"/>
      <c r="GM54" s="54"/>
      <c r="GN54" s="54"/>
    </row>
    <row r="55" spans="1:196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8"/>
      <c r="X55" s="3"/>
      <c r="Y55" s="3"/>
      <c r="Z55" s="3"/>
      <c r="AA55" s="3"/>
      <c r="AB55" s="3"/>
      <c r="AC55" s="8"/>
      <c r="AD55" s="8"/>
      <c r="AE55" s="3"/>
      <c r="AF55" s="3"/>
      <c r="AG55" s="3"/>
      <c r="AH55" s="3"/>
      <c r="AI55" s="3"/>
      <c r="AJ55" s="8"/>
      <c r="AK55" s="8"/>
      <c r="AL55" s="3"/>
      <c r="AM55" s="3"/>
      <c r="AN55" s="3"/>
      <c r="AO55" s="3"/>
      <c r="AP55" s="3"/>
      <c r="AQ55" s="8"/>
      <c r="AR55" s="8"/>
      <c r="AS55" s="3"/>
      <c r="AT55" s="3"/>
      <c r="AU55" s="3"/>
      <c r="AV55" s="3"/>
      <c r="AW55" s="3"/>
      <c r="AX55" s="12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GL55" s="54"/>
      <c r="GM55" s="54"/>
      <c r="GN55" s="54"/>
    </row>
    <row r="56" spans="1:196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8"/>
      <c r="X56" s="3"/>
      <c r="Y56" s="3"/>
      <c r="Z56" s="3"/>
      <c r="AA56" s="3"/>
      <c r="AB56" s="3"/>
      <c r="AC56" s="8"/>
      <c r="AD56" s="8"/>
      <c r="AE56" s="3"/>
      <c r="AF56" s="3"/>
      <c r="AG56" s="3"/>
      <c r="AH56" s="3"/>
      <c r="AI56" s="3"/>
      <c r="AJ56" s="8"/>
      <c r="AK56" s="8"/>
      <c r="AL56" s="3"/>
      <c r="AM56" s="3"/>
      <c r="AN56" s="3"/>
      <c r="AO56" s="3"/>
      <c r="AP56" s="3"/>
      <c r="AQ56" s="8"/>
      <c r="AR56" s="8"/>
      <c r="AS56" s="3"/>
      <c r="AT56" s="3"/>
      <c r="AU56" s="3"/>
      <c r="AV56" s="3"/>
      <c r="AW56" s="3"/>
      <c r="AX56" s="12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GL56" s="54"/>
      <c r="GM56" s="54"/>
      <c r="GN56" s="54"/>
    </row>
    <row r="57" spans="1:196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8"/>
      <c r="X57" s="3"/>
      <c r="Y57" s="3"/>
      <c r="Z57" s="3"/>
      <c r="AA57" s="3"/>
      <c r="AB57" s="3"/>
      <c r="AC57" s="8"/>
      <c r="AD57" s="8"/>
      <c r="AE57" s="3"/>
      <c r="AF57" s="3"/>
      <c r="AG57" s="3"/>
      <c r="AH57" s="3"/>
      <c r="AI57" s="3"/>
      <c r="AJ57" s="8"/>
      <c r="AK57" s="8"/>
      <c r="AL57" s="3"/>
      <c r="AM57" s="3"/>
      <c r="AN57" s="3"/>
      <c r="AO57" s="3"/>
      <c r="AP57" s="3"/>
      <c r="AQ57" s="8"/>
      <c r="AR57" s="8"/>
      <c r="AS57" s="3"/>
      <c r="AT57" s="3"/>
      <c r="AU57" s="3"/>
      <c r="AV57" s="3"/>
      <c r="AW57" s="3"/>
      <c r="AX57" s="12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GL57" s="54"/>
      <c r="GM57" s="54"/>
      <c r="GN57" s="54"/>
    </row>
    <row r="58" spans="1:196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8"/>
      <c r="X58" s="3"/>
      <c r="Y58" s="3"/>
      <c r="Z58" s="3"/>
      <c r="AA58" s="3"/>
      <c r="AB58" s="3"/>
      <c r="AC58" s="8"/>
      <c r="AD58" s="8"/>
      <c r="AE58" s="3"/>
      <c r="AF58" s="3"/>
      <c r="AG58" s="3"/>
      <c r="AH58" s="3"/>
      <c r="AI58" s="3"/>
      <c r="AJ58" s="8"/>
      <c r="AK58" s="8"/>
      <c r="AL58" s="3"/>
      <c r="AM58" s="3"/>
      <c r="AN58" s="3"/>
      <c r="AO58" s="3"/>
      <c r="AP58" s="3"/>
      <c r="AQ58" s="8"/>
      <c r="AR58" s="8"/>
      <c r="AS58" s="3"/>
      <c r="AT58" s="3"/>
      <c r="AU58" s="3"/>
      <c r="AV58" s="3"/>
      <c r="AW58" s="3"/>
      <c r="AX58" s="12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GL58" s="54"/>
      <c r="GM58" s="54"/>
      <c r="GN58" s="54"/>
    </row>
    <row r="59" spans="1:196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8"/>
      <c r="X59" s="3"/>
      <c r="Y59" s="3"/>
      <c r="Z59" s="3"/>
      <c r="AA59" s="3"/>
      <c r="AB59" s="3"/>
      <c r="AC59" s="8"/>
      <c r="AD59" s="8"/>
      <c r="AE59" s="3"/>
      <c r="AF59" s="3"/>
      <c r="AG59" s="3"/>
      <c r="AH59" s="3"/>
      <c r="AI59" s="3"/>
      <c r="AJ59" s="8"/>
      <c r="AK59" s="8"/>
      <c r="AL59" s="3"/>
      <c r="AM59" s="3"/>
      <c r="AN59" s="3"/>
      <c r="AO59" s="3"/>
      <c r="AP59" s="3"/>
      <c r="AQ59" s="8"/>
      <c r="AR59" s="8"/>
      <c r="AS59" s="3"/>
      <c r="AT59" s="3"/>
      <c r="AU59" s="3"/>
      <c r="AV59" s="3"/>
      <c r="AW59" s="3"/>
      <c r="AX59" s="12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GL59" s="54"/>
      <c r="GM59" s="54"/>
      <c r="GN59" s="54"/>
    </row>
    <row r="60" spans="1:196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8"/>
      <c r="X60" s="3"/>
      <c r="Y60" s="3"/>
      <c r="Z60" s="3"/>
      <c r="AA60" s="3"/>
      <c r="AB60" s="3"/>
      <c r="AC60" s="8"/>
      <c r="AD60" s="8"/>
      <c r="AE60" s="3"/>
      <c r="AF60" s="3"/>
      <c r="AG60" s="3"/>
      <c r="AH60" s="3"/>
      <c r="AI60" s="3"/>
      <c r="AJ60" s="8"/>
      <c r="AK60" s="8"/>
      <c r="AL60" s="3"/>
      <c r="AM60" s="3"/>
      <c r="AN60" s="3"/>
      <c r="AO60" s="3"/>
      <c r="AP60" s="3"/>
      <c r="AQ60" s="8"/>
      <c r="AR60" s="8"/>
      <c r="AS60" s="3"/>
      <c r="AT60" s="3"/>
      <c r="AU60" s="3"/>
      <c r="AV60" s="3"/>
      <c r="AW60" s="3"/>
      <c r="AX60" s="12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GL60" s="54"/>
      <c r="GM60" s="54"/>
      <c r="GN60" s="54"/>
    </row>
    <row r="61" spans="1:196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8"/>
      <c r="X61" s="3"/>
      <c r="Y61" s="3"/>
      <c r="Z61" s="3"/>
      <c r="AA61" s="3"/>
      <c r="AB61" s="3"/>
      <c r="AC61" s="8"/>
      <c r="AD61" s="8"/>
      <c r="AE61" s="3"/>
      <c r="AF61" s="3"/>
      <c r="AG61" s="3"/>
      <c r="AH61" s="3"/>
      <c r="AI61" s="3"/>
      <c r="AJ61" s="8"/>
      <c r="AK61" s="8"/>
      <c r="AL61" s="3"/>
      <c r="AM61" s="3"/>
      <c r="AN61" s="3"/>
      <c r="AO61" s="3"/>
      <c r="AP61" s="3"/>
      <c r="AQ61" s="8"/>
      <c r="AR61" s="8"/>
      <c r="AS61" s="3"/>
      <c r="AT61" s="3"/>
      <c r="AU61" s="3"/>
      <c r="AV61" s="3"/>
      <c r="AW61" s="3"/>
      <c r="AX61" s="12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GL61" s="54"/>
      <c r="GM61" s="54"/>
      <c r="GN61" s="54"/>
    </row>
    <row r="62" spans="1:196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8"/>
      <c r="X62" s="3"/>
      <c r="Y62" s="3"/>
      <c r="Z62" s="3"/>
      <c r="AA62" s="3"/>
      <c r="AB62" s="3"/>
      <c r="AC62" s="8"/>
      <c r="AD62" s="8"/>
      <c r="AE62" s="3"/>
      <c r="AF62" s="3"/>
      <c r="AG62" s="3"/>
      <c r="AH62" s="3"/>
      <c r="AI62" s="3"/>
      <c r="AJ62" s="8"/>
      <c r="AK62" s="8"/>
      <c r="AL62" s="3"/>
      <c r="AM62" s="3"/>
      <c r="AN62" s="3"/>
      <c r="AO62" s="3"/>
      <c r="AP62" s="3"/>
      <c r="AQ62" s="8"/>
      <c r="AR62" s="8"/>
      <c r="AS62" s="3"/>
      <c r="AT62" s="3"/>
      <c r="AU62" s="3"/>
      <c r="AV62" s="3"/>
      <c r="AW62" s="3"/>
      <c r="AX62" s="12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GL62" s="54"/>
      <c r="GM62" s="54"/>
      <c r="GN62" s="54"/>
    </row>
    <row r="63" spans="1:196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8"/>
      <c r="X63" s="3"/>
      <c r="Y63" s="3"/>
      <c r="Z63" s="3"/>
      <c r="AA63" s="3"/>
      <c r="AB63" s="3"/>
      <c r="AC63" s="8"/>
      <c r="AD63" s="8"/>
      <c r="AE63" s="3"/>
      <c r="AF63" s="3"/>
      <c r="AG63" s="3"/>
      <c r="AH63" s="3"/>
      <c r="AI63" s="3"/>
      <c r="AJ63" s="8"/>
      <c r="AK63" s="8"/>
      <c r="AL63" s="3"/>
      <c r="AM63" s="3"/>
      <c r="AN63" s="3"/>
      <c r="AO63" s="3"/>
      <c r="AP63" s="3"/>
      <c r="AQ63" s="8"/>
      <c r="AR63" s="8"/>
      <c r="AS63" s="3"/>
      <c r="AT63" s="3"/>
      <c r="AU63" s="3"/>
      <c r="AV63" s="3"/>
      <c r="AW63" s="3"/>
      <c r="AX63" s="12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GL63" s="54"/>
      <c r="GM63" s="54"/>
      <c r="GN63" s="54"/>
    </row>
    <row r="64" spans="1:196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8"/>
      <c r="X64" s="3"/>
      <c r="Y64" s="3"/>
      <c r="Z64" s="3"/>
      <c r="AA64" s="3"/>
      <c r="AB64" s="3"/>
      <c r="AC64" s="8"/>
      <c r="AD64" s="8"/>
      <c r="AE64" s="3"/>
      <c r="AF64" s="3"/>
      <c r="AG64" s="3"/>
      <c r="AH64" s="3"/>
      <c r="AI64" s="3"/>
      <c r="AJ64" s="8"/>
      <c r="AK64" s="8"/>
      <c r="AL64" s="3"/>
      <c r="AM64" s="3"/>
      <c r="AN64" s="3"/>
      <c r="AO64" s="3"/>
      <c r="AP64" s="3"/>
      <c r="AQ64" s="8"/>
      <c r="AR64" s="8"/>
      <c r="AS64" s="3"/>
      <c r="AT64" s="3"/>
      <c r="AU64" s="3"/>
      <c r="AV64" s="3"/>
      <c r="AW64" s="3"/>
      <c r="AX64" s="12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GL64" s="54"/>
      <c r="GM64" s="54"/>
      <c r="GN64" s="54"/>
    </row>
    <row r="65" spans="1:196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8"/>
      <c r="X65" s="3"/>
      <c r="Y65" s="3"/>
      <c r="Z65" s="3"/>
      <c r="AA65" s="3"/>
      <c r="AB65" s="3"/>
      <c r="AC65" s="8"/>
      <c r="AD65" s="8"/>
      <c r="AE65" s="3"/>
      <c r="AF65" s="3"/>
      <c r="AG65" s="3"/>
      <c r="AH65" s="3"/>
      <c r="AI65" s="3"/>
      <c r="AJ65" s="8"/>
      <c r="AK65" s="8"/>
      <c r="AL65" s="3"/>
      <c r="AM65" s="3"/>
      <c r="AN65" s="3"/>
      <c r="AO65" s="3"/>
      <c r="AP65" s="3"/>
      <c r="AQ65" s="8"/>
      <c r="AR65" s="8"/>
      <c r="AS65" s="3"/>
      <c r="AT65" s="3"/>
      <c r="AU65" s="3"/>
      <c r="AV65" s="3"/>
      <c r="AW65" s="3"/>
      <c r="AX65" s="12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GL65" s="54"/>
      <c r="GM65" s="54"/>
      <c r="GN65" s="54"/>
    </row>
    <row r="66" spans="1:196" ht="15" hidden="1" customHeight="1" x14ac:dyDescent="0.25">
      <c r="A66" s="102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8"/>
      <c r="X66" s="3"/>
      <c r="Y66" s="3"/>
      <c r="Z66" s="3"/>
      <c r="AA66" s="3"/>
      <c r="AB66" s="3"/>
      <c r="AC66" s="8"/>
      <c r="AD66" s="8"/>
      <c r="AE66" s="3"/>
      <c r="AF66" s="3"/>
      <c r="AG66" s="3"/>
      <c r="AH66" s="3"/>
      <c r="AI66" s="3"/>
      <c r="AJ66" s="8"/>
      <c r="AK66" s="8"/>
      <c r="AL66" s="3"/>
      <c r="AM66" s="3"/>
      <c r="AN66" s="3"/>
      <c r="AO66" s="3"/>
      <c r="AP66" s="3"/>
      <c r="AQ66" s="8"/>
      <c r="AR66" s="8"/>
      <c r="AS66" s="3"/>
      <c r="AT66" s="3"/>
      <c r="AU66" s="3"/>
      <c r="AV66" s="3"/>
      <c r="AW66" s="3"/>
      <c r="AX66" s="12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GL66" s="54"/>
      <c r="GM66" s="54"/>
      <c r="GN66" s="54"/>
    </row>
    <row r="67" spans="1:196" ht="15" hidden="1" customHeight="1" x14ac:dyDescent="0.25">
      <c r="A67" s="97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8"/>
      <c r="X67" s="3"/>
      <c r="Y67" s="3"/>
      <c r="Z67" s="3"/>
      <c r="AA67" s="3"/>
      <c r="AB67" s="3"/>
      <c r="AC67" s="8"/>
      <c r="AD67" s="8"/>
      <c r="AE67" s="3"/>
      <c r="AF67" s="3"/>
      <c r="AG67" s="3"/>
      <c r="AH67" s="3"/>
      <c r="AI67" s="3"/>
      <c r="AJ67" s="8"/>
      <c r="AK67" s="8"/>
      <c r="AL67" s="3"/>
      <c r="AM67" s="3"/>
      <c r="AN67" s="3"/>
      <c r="AO67" s="3"/>
      <c r="AP67" s="3"/>
      <c r="AQ67" s="8"/>
      <c r="AR67" s="8"/>
      <c r="AS67" s="3"/>
      <c r="AT67" s="3"/>
      <c r="AU67" s="3"/>
      <c r="AV67" s="3"/>
      <c r="AW67" s="3"/>
      <c r="AX67" s="12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GL67" s="54"/>
      <c r="GM67" s="54"/>
      <c r="GN67" s="54"/>
    </row>
    <row r="68" spans="1:196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8"/>
      <c r="X68" s="3"/>
      <c r="Y68" s="3"/>
      <c r="Z68" s="3"/>
      <c r="AA68" s="3"/>
      <c r="AB68" s="3"/>
      <c r="AC68" s="8"/>
      <c r="AD68" s="8"/>
      <c r="AE68" s="3"/>
      <c r="AF68" s="3"/>
      <c r="AG68" s="3"/>
      <c r="AH68" s="3"/>
      <c r="AI68" s="3"/>
      <c r="AJ68" s="8"/>
      <c r="AK68" s="8"/>
      <c r="AL68" s="3"/>
      <c r="AM68" s="3"/>
      <c r="AN68" s="3"/>
      <c r="AO68" s="3"/>
      <c r="AP68" s="3"/>
      <c r="AQ68" s="8"/>
      <c r="AR68" s="8"/>
      <c r="AS68" s="3"/>
      <c r="AT68" s="3"/>
      <c r="AU68" s="3"/>
      <c r="AV68" s="3"/>
      <c r="AW68" s="3"/>
      <c r="AX68" s="12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GL68" s="54"/>
      <c r="GM68" s="54"/>
      <c r="GN68" s="54"/>
    </row>
    <row r="69" spans="1:196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8"/>
      <c r="X69" s="3"/>
      <c r="Y69" s="3"/>
      <c r="Z69" s="3"/>
      <c r="AA69" s="3"/>
      <c r="AB69" s="3"/>
      <c r="AC69" s="8"/>
      <c r="AD69" s="8"/>
      <c r="AE69" s="3"/>
      <c r="AF69" s="3"/>
      <c r="AG69" s="3"/>
      <c r="AH69" s="3"/>
      <c r="AI69" s="3"/>
      <c r="AJ69" s="8"/>
      <c r="AK69" s="8"/>
      <c r="AL69" s="3"/>
      <c r="AM69" s="3"/>
      <c r="AN69" s="3"/>
      <c r="AO69" s="3"/>
      <c r="AP69" s="3"/>
      <c r="AQ69" s="8"/>
      <c r="AR69" s="8"/>
      <c r="AS69" s="3"/>
      <c r="AT69" s="3"/>
      <c r="AU69" s="3"/>
      <c r="AV69" s="3"/>
      <c r="AW69" s="3"/>
      <c r="AX69" s="12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GL69" s="54"/>
      <c r="GM69" s="54"/>
      <c r="GN69" s="54"/>
    </row>
    <row r="70" spans="1:196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8"/>
      <c r="X70" s="3"/>
      <c r="Y70" s="3"/>
      <c r="Z70" s="3"/>
      <c r="AA70" s="3"/>
      <c r="AB70" s="3"/>
      <c r="AC70" s="8"/>
      <c r="AD70" s="8"/>
      <c r="AE70" s="3"/>
      <c r="AF70" s="3"/>
      <c r="AG70" s="3"/>
      <c r="AH70" s="3"/>
      <c r="AI70" s="3"/>
      <c r="AJ70" s="8"/>
      <c r="AK70" s="8"/>
      <c r="AL70" s="3"/>
      <c r="AM70" s="3"/>
      <c r="AN70" s="3"/>
      <c r="AO70" s="3"/>
      <c r="AP70" s="3"/>
      <c r="AQ70" s="8"/>
      <c r="AR70" s="8"/>
      <c r="AS70" s="3"/>
      <c r="AT70" s="3"/>
      <c r="AU70" s="3"/>
      <c r="AV70" s="3"/>
      <c r="AW70" s="3"/>
      <c r="AX70" s="12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GL70" s="54"/>
      <c r="GM70" s="54"/>
      <c r="GN70" s="54"/>
    </row>
    <row r="71" spans="1:196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8"/>
      <c r="X71" s="3"/>
      <c r="Y71" s="3"/>
      <c r="Z71" s="3"/>
      <c r="AA71" s="3"/>
      <c r="AB71" s="3"/>
      <c r="AC71" s="8"/>
      <c r="AD71" s="8"/>
      <c r="AE71" s="3"/>
      <c r="AF71" s="3"/>
      <c r="AG71" s="3"/>
      <c r="AH71" s="3"/>
      <c r="AI71" s="3"/>
      <c r="AJ71" s="8"/>
      <c r="AK71" s="8"/>
      <c r="AL71" s="3"/>
      <c r="AM71" s="3"/>
      <c r="AN71" s="3"/>
      <c r="AO71" s="3"/>
      <c r="AP71" s="3"/>
      <c r="AQ71" s="8"/>
      <c r="AR71" s="8"/>
      <c r="AS71" s="3"/>
      <c r="AT71" s="3"/>
      <c r="AU71" s="3"/>
      <c r="AV71" s="3"/>
      <c r="AW71" s="3"/>
      <c r="AX71" s="12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GL71" s="54"/>
      <c r="GM71" s="54"/>
      <c r="GN71" s="54"/>
    </row>
    <row r="72" spans="1:196" ht="15" hidden="1" customHeight="1" x14ac:dyDescent="0.25">
      <c r="A72" s="97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8"/>
      <c r="X72" s="3"/>
      <c r="Y72" s="3"/>
      <c r="Z72" s="3"/>
      <c r="AA72" s="3"/>
      <c r="AB72" s="3"/>
      <c r="AC72" s="8"/>
      <c r="AD72" s="8"/>
      <c r="AE72" s="3"/>
      <c r="AF72" s="3"/>
      <c r="AG72" s="3"/>
      <c r="AH72" s="3"/>
      <c r="AI72" s="3"/>
      <c r="AJ72" s="8"/>
      <c r="AK72" s="8"/>
      <c r="AL72" s="3"/>
      <c r="AM72" s="3"/>
      <c r="AN72" s="3"/>
      <c r="AO72" s="3"/>
      <c r="AP72" s="3"/>
      <c r="AQ72" s="8"/>
      <c r="AR72" s="8"/>
      <c r="AS72" s="3"/>
      <c r="AT72" s="3"/>
      <c r="AU72" s="3"/>
      <c r="AV72" s="3"/>
      <c r="AW72" s="3"/>
      <c r="AX72" s="12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GL72" s="54"/>
      <c r="GM72" s="54"/>
      <c r="GN72" s="54"/>
    </row>
    <row r="73" spans="1:196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8"/>
      <c r="X73" s="3"/>
      <c r="Y73" s="3"/>
      <c r="Z73" s="3"/>
      <c r="AA73" s="3"/>
      <c r="AB73" s="3"/>
      <c r="AC73" s="8"/>
      <c r="AD73" s="8"/>
      <c r="AE73" s="3"/>
      <c r="AF73" s="3"/>
      <c r="AG73" s="3"/>
      <c r="AH73" s="3"/>
      <c r="AI73" s="3"/>
      <c r="AJ73" s="8"/>
      <c r="AK73" s="8"/>
      <c r="AL73" s="3"/>
      <c r="AM73" s="3"/>
      <c r="AN73" s="3"/>
      <c r="AO73" s="3"/>
      <c r="AP73" s="3"/>
      <c r="AQ73" s="8"/>
      <c r="AR73" s="8"/>
      <c r="AS73" s="3"/>
      <c r="AT73" s="3"/>
      <c r="AU73" s="3"/>
      <c r="AV73" s="3"/>
      <c r="AW73" s="3"/>
      <c r="AX73" s="12"/>
      <c r="AY73" s="59"/>
      <c r="AZ73" s="58"/>
      <c r="GL73" s="54"/>
      <c r="GM73" s="54"/>
      <c r="GN73" s="54"/>
    </row>
    <row r="74" spans="1:196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8"/>
      <c r="X74" s="3"/>
      <c r="Y74" s="3"/>
      <c r="Z74" s="3"/>
      <c r="AA74" s="3"/>
      <c r="AB74" s="3"/>
      <c r="AC74" s="8"/>
      <c r="AD74" s="8"/>
      <c r="AE74" s="3"/>
      <c r="AF74" s="3"/>
      <c r="AG74" s="3"/>
      <c r="AH74" s="3"/>
      <c r="AI74" s="3"/>
      <c r="AJ74" s="8"/>
      <c r="AK74" s="8"/>
      <c r="AL74" s="3"/>
      <c r="AM74" s="3"/>
      <c r="AN74" s="3"/>
      <c r="AO74" s="3"/>
      <c r="AP74" s="3"/>
      <c r="AQ74" s="8"/>
      <c r="AR74" s="8"/>
      <c r="AS74" s="3"/>
      <c r="AT74" s="3"/>
      <c r="AU74" s="3"/>
      <c r="AV74" s="3"/>
      <c r="AW74" s="3"/>
      <c r="AX74" s="12"/>
      <c r="AY74" s="59"/>
      <c r="AZ74" s="58"/>
      <c r="GL74" s="54"/>
      <c r="GM74" s="54"/>
      <c r="GN74" s="54"/>
    </row>
    <row r="75" spans="1:196" ht="15" hidden="1" customHeight="1" x14ac:dyDescent="0.25">
      <c r="A75" s="102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8"/>
      <c r="X75" s="3"/>
      <c r="Y75" s="3"/>
      <c r="Z75" s="3"/>
      <c r="AA75" s="3"/>
      <c r="AB75" s="3"/>
      <c r="AC75" s="8"/>
      <c r="AD75" s="8"/>
      <c r="AE75" s="3"/>
      <c r="AF75" s="3"/>
      <c r="AG75" s="3"/>
      <c r="AH75" s="3"/>
      <c r="AI75" s="3"/>
      <c r="AJ75" s="8"/>
      <c r="AK75" s="8"/>
      <c r="AL75" s="3"/>
      <c r="AM75" s="3"/>
      <c r="AN75" s="3"/>
      <c r="AO75" s="3"/>
      <c r="AP75" s="3"/>
      <c r="AQ75" s="8"/>
      <c r="AR75" s="8"/>
      <c r="AS75" s="3"/>
      <c r="AT75" s="3"/>
      <c r="AU75" s="3"/>
      <c r="AV75" s="3"/>
      <c r="AW75" s="3"/>
      <c r="AX75" s="12"/>
      <c r="AY75" s="59"/>
      <c r="AZ75" s="58"/>
      <c r="GL75" s="54"/>
      <c r="GM75" s="54"/>
      <c r="GN75" s="54"/>
    </row>
    <row r="76" spans="1:196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si="12"/>
        <v>0</v>
      </c>
      <c r="N76" s="7">
        <f t="shared" si="13"/>
        <v>0</v>
      </c>
      <c r="O76" s="4"/>
      <c r="P76" s="3"/>
      <c r="Q76" s="3"/>
      <c r="R76" s="3"/>
      <c r="S76" s="3"/>
      <c r="T76" s="3"/>
      <c r="U76" s="5"/>
      <c r="V76" s="125"/>
      <c r="W76" s="8"/>
      <c r="X76" s="3"/>
      <c r="Y76" s="3"/>
      <c r="Z76" s="3"/>
      <c r="AA76" s="3"/>
      <c r="AB76" s="3"/>
      <c r="AC76" s="8"/>
      <c r="AD76" s="8"/>
      <c r="AE76" s="3"/>
      <c r="AF76" s="3"/>
      <c r="AG76" s="3"/>
      <c r="AH76" s="3"/>
      <c r="AI76" s="3"/>
      <c r="AJ76" s="8"/>
      <c r="AK76" s="8"/>
      <c r="AL76" s="3"/>
      <c r="AM76" s="3"/>
      <c r="AN76" s="3"/>
      <c r="AO76" s="3"/>
      <c r="AP76" s="3"/>
      <c r="AQ76" s="8"/>
      <c r="AR76" s="8"/>
      <c r="AS76" s="3"/>
      <c r="AT76" s="3"/>
      <c r="AU76" s="3"/>
      <c r="AV76" s="3"/>
      <c r="AW76" s="3"/>
      <c r="AX76" s="12"/>
      <c r="AY76" s="59"/>
      <c r="AZ76" s="58"/>
      <c r="GL76" s="54"/>
      <c r="GM76" s="54"/>
      <c r="GN76" s="54"/>
    </row>
    <row r="77" spans="1:196" ht="15" hidden="1" customHeight="1" x14ac:dyDescent="0.25">
      <c r="A77" s="97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2"/>
        <v>0</v>
      </c>
      <c r="N77" s="7">
        <f t="shared" si="13"/>
        <v>0</v>
      </c>
      <c r="O77" s="4"/>
      <c r="P77" s="3"/>
      <c r="Q77" s="3"/>
      <c r="R77" s="3"/>
      <c r="S77" s="3"/>
      <c r="T77" s="3"/>
      <c r="U77" s="5"/>
      <c r="V77" s="125"/>
      <c r="W77" s="8"/>
      <c r="X77" s="3"/>
      <c r="Y77" s="3"/>
      <c r="Z77" s="3"/>
      <c r="AA77" s="3"/>
      <c r="AB77" s="3"/>
      <c r="AC77" s="8"/>
      <c r="AD77" s="8"/>
      <c r="AE77" s="3"/>
      <c r="AF77" s="3"/>
      <c r="AG77" s="3"/>
      <c r="AH77" s="3"/>
      <c r="AI77" s="3"/>
      <c r="AJ77" s="8"/>
      <c r="AK77" s="8"/>
      <c r="AL77" s="3"/>
      <c r="AM77" s="3"/>
      <c r="AN77" s="3"/>
      <c r="AO77" s="3"/>
      <c r="AP77" s="3"/>
      <c r="AQ77" s="8"/>
      <c r="AR77" s="8"/>
      <c r="AS77" s="3"/>
      <c r="AT77" s="3"/>
      <c r="AU77" s="3"/>
      <c r="AV77" s="3"/>
      <c r="AW77" s="3"/>
      <c r="AX77" s="12"/>
      <c r="AY77" s="59"/>
      <c r="AZ77" s="58"/>
      <c r="GL77" s="54"/>
      <c r="GM77" s="54"/>
      <c r="GN77" s="54"/>
    </row>
    <row r="78" spans="1:196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2"/>
        <v>0</v>
      </c>
      <c r="N78" s="7">
        <f t="shared" si="13"/>
        <v>0</v>
      </c>
      <c r="O78" s="4"/>
      <c r="P78" s="3"/>
      <c r="Q78" s="3"/>
      <c r="R78" s="3"/>
      <c r="S78" s="3"/>
      <c r="T78" s="3"/>
      <c r="U78" s="5"/>
      <c r="V78" s="125"/>
      <c r="W78" s="8"/>
      <c r="X78" s="3"/>
      <c r="Y78" s="3"/>
      <c r="Z78" s="3"/>
      <c r="AA78" s="3"/>
      <c r="AB78" s="3"/>
      <c r="AC78" s="8"/>
      <c r="AD78" s="8"/>
      <c r="AE78" s="3"/>
      <c r="AF78" s="3"/>
      <c r="AG78" s="3"/>
      <c r="AH78" s="3"/>
      <c r="AI78" s="3"/>
      <c r="AJ78" s="8"/>
      <c r="AK78" s="8"/>
      <c r="AL78" s="3"/>
      <c r="AM78" s="3"/>
      <c r="AN78" s="3"/>
      <c r="AO78" s="3"/>
      <c r="AP78" s="3"/>
      <c r="AQ78" s="8"/>
      <c r="AR78" s="8"/>
      <c r="AS78" s="3"/>
      <c r="AT78" s="3"/>
      <c r="AU78" s="3"/>
      <c r="AV78" s="3"/>
      <c r="AW78" s="3"/>
      <c r="AX78" s="12"/>
      <c r="AY78" s="59"/>
      <c r="AZ78" s="58"/>
      <c r="GL78" s="54"/>
      <c r="GM78" s="54"/>
      <c r="GN78" s="54"/>
    </row>
    <row r="79" spans="1:196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4"/>
        <v/>
      </c>
      <c r="K79" s="6" t="str">
        <f t="shared" si="10"/>
        <v/>
      </c>
      <c r="L79" s="6" t="str">
        <f t="shared" si="11"/>
        <v/>
      </c>
      <c r="M79" s="6">
        <f t="shared" si="12"/>
        <v>0</v>
      </c>
      <c r="N79" s="7">
        <f t="shared" si="13"/>
        <v>0</v>
      </c>
      <c r="O79" s="4"/>
      <c r="P79" s="3"/>
      <c r="Q79" s="3"/>
      <c r="R79" s="3"/>
      <c r="S79" s="3"/>
      <c r="T79" s="3"/>
      <c r="U79" s="5"/>
      <c r="V79" s="125"/>
      <c r="W79" s="8"/>
      <c r="X79" s="3"/>
      <c r="Y79" s="3"/>
      <c r="Z79" s="3"/>
      <c r="AA79" s="3"/>
      <c r="AB79" s="3"/>
      <c r="AC79" s="8"/>
      <c r="AD79" s="8"/>
      <c r="AE79" s="3"/>
      <c r="AF79" s="3"/>
      <c r="AG79" s="3"/>
      <c r="AH79" s="3"/>
      <c r="AI79" s="3"/>
      <c r="AJ79" s="8"/>
      <c r="AK79" s="8"/>
      <c r="AL79" s="3"/>
      <c r="AM79" s="3"/>
      <c r="AN79" s="3"/>
      <c r="AO79" s="3"/>
      <c r="AP79" s="3"/>
      <c r="AQ79" s="8"/>
      <c r="AR79" s="8"/>
      <c r="AS79" s="3"/>
      <c r="AT79" s="3"/>
      <c r="AU79" s="3"/>
      <c r="AV79" s="3"/>
      <c r="AW79" s="3"/>
      <c r="AX79" s="12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GL79" s="54"/>
      <c r="GM79" s="54"/>
      <c r="GN79" s="54"/>
    </row>
    <row r="80" spans="1:196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7"/>
        <v/>
      </c>
      <c r="H80" s="100" t="str">
        <f t="shared" si="8"/>
        <v/>
      </c>
      <c r="I80" s="101">
        <f t="shared" si="9"/>
        <v>0</v>
      </c>
      <c r="J80" s="100" t="str">
        <f t="shared" si="14"/>
        <v/>
      </c>
      <c r="K80" s="6" t="str">
        <f t="shared" si="10"/>
        <v/>
      </c>
      <c r="L80" s="6" t="str">
        <f t="shared" si="11"/>
        <v/>
      </c>
      <c r="M80" s="6">
        <f t="shared" si="12"/>
        <v>0</v>
      </c>
      <c r="N80" s="7">
        <f t="shared" si="13"/>
        <v>0</v>
      </c>
      <c r="O80" s="4"/>
      <c r="P80" s="3"/>
      <c r="Q80" s="3"/>
      <c r="R80" s="3"/>
      <c r="S80" s="3"/>
      <c r="T80" s="3"/>
      <c r="U80" s="5"/>
      <c r="V80" s="125"/>
      <c r="W80" s="8"/>
      <c r="X80" s="3"/>
      <c r="Y80" s="3"/>
      <c r="Z80" s="3"/>
      <c r="AA80" s="3"/>
      <c r="AB80" s="3"/>
      <c r="AC80" s="8"/>
      <c r="AD80" s="8"/>
      <c r="AE80" s="3"/>
      <c r="AF80" s="3"/>
      <c r="AG80" s="3"/>
      <c r="AH80" s="3"/>
      <c r="AI80" s="3"/>
      <c r="AJ80" s="8"/>
      <c r="AK80" s="8"/>
      <c r="AL80" s="3"/>
      <c r="AM80" s="3"/>
      <c r="AN80" s="3"/>
      <c r="AO80" s="3"/>
      <c r="AP80" s="3"/>
      <c r="AQ80" s="8"/>
      <c r="AR80" s="8"/>
      <c r="AS80" s="3"/>
      <c r="AT80" s="3"/>
      <c r="AU80" s="3"/>
      <c r="AV80" s="3"/>
      <c r="AW80" s="3"/>
      <c r="AX80" s="12"/>
      <c r="AY80" s="59"/>
      <c r="AZ80" s="58"/>
      <c r="GL80" s="54"/>
      <c r="GM80" s="54"/>
      <c r="GN80" s="54"/>
    </row>
    <row r="81" spans="1:196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7"/>
        <v/>
      </c>
      <c r="H81" s="100" t="str">
        <f t="shared" si="8"/>
        <v/>
      </c>
      <c r="I81" s="101">
        <f t="shared" si="9"/>
        <v>0</v>
      </c>
      <c r="J81" s="100" t="str">
        <f t="shared" si="14"/>
        <v/>
      </c>
      <c r="K81" s="6" t="str">
        <f t="shared" si="10"/>
        <v/>
      </c>
      <c r="L81" s="6" t="str">
        <f t="shared" si="11"/>
        <v/>
      </c>
      <c r="M81" s="6">
        <f t="shared" si="12"/>
        <v>0</v>
      </c>
      <c r="N81" s="7">
        <f t="shared" si="13"/>
        <v>0</v>
      </c>
      <c r="O81" s="4"/>
      <c r="P81" s="3"/>
      <c r="Q81" s="3"/>
      <c r="R81" s="3"/>
      <c r="S81" s="3"/>
      <c r="T81" s="3"/>
      <c r="U81" s="5"/>
      <c r="V81" s="125"/>
      <c r="W81" s="8"/>
      <c r="X81" s="3"/>
      <c r="Y81" s="3"/>
      <c r="Z81" s="3"/>
      <c r="AA81" s="3"/>
      <c r="AB81" s="3"/>
      <c r="AC81" s="8"/>
      <c r="AD81" s="8"/>
      <c r="AE81" s="3"/>
      <c r="AF81" s="3"/>
      <c r="AG81" s="3"/>
      <c r="AH81" s="3"/>
      <c r="AI81" s="3"/>
      <c r="AJ81" s="8"/>
      <c r="AK81" s="8"/>
      <c r="AL81" s="3"/>
      <c r="AM81" s="3"/>
      <c r="AN81" s="3"/>
      <c r="AO81" s="3"/>
      <c r="AP81" s="3"/>
      <c r="AQ81" s="8"/>
      <c r="AR81" s="8"/>
      <c r="AS81" s="3"/>
      <c r="AT81" s="3"/>
      <c r="AU81" s="3"/>
      <c r="AV81" s="3"/>
      <c r="AW81" s="3"/>
      <c r="AX81" s="12"/>
      <c r="AY81" s="59"/>
      <c r="AZ81" s="58"/>
      <c r="GL81" s="54"/>
      <c r="GM81" s="54"/>
      <c r="GN81" s="54"/>
    </row>
    <row r="82" spans="1:196" ht="15" hidden="1" customHeight="1" x14ac:dyDescent="0.25">
      <c r="A82" s="97">
        <v>71</v>
      </c>
      <c r="B82" s="103"/>
      <c r="C82" s="104"/>
      <c r="D82" s="1"/>
      <c r="E82" s="105"/>
      <c r="F82" s="105"/>
      <c r="G82" s="100" t="str">
        <f t="shared" si="7"/>
        <v/>
      </c>
      <c r="H82" s="100" t="str">
        <f t="shared" si="8"/>
        <v/>
      </c>
      <c r="I82" s="101">
        <f t="shared" si="9"/>
        <v>0</v>
      </c>
      <c r="J82" s="100" t="str">
        <f t="shared" si="14"/>
        <v/>
      </c>
      <c r="K82" s="6" t="str">
        <f t="shared" si="10"/>
        <v/>
      </c>
      <c r="L82" s="6" t="str">
        <f t="shared" si="11"/>
        <v/>
      </c>
      <c r="M82" s="6">
        <f t="shared" si="12"/>
        <v>0</v>
      </c>
      <c r="N82" s="7">
        <f t="shared" si="13"/>
        <v>0</v>
      </c>
      <c r="O82" s="4"/>
      <c r="P82" s="3"/>
      <c r="Q82" s="3"/>
      <c r="R82" s="3"/>
      <c r="S82" s="3"/>
      <c r="T82" s="3"/>
      <c r="U82" s="5"/>
      <c r="V82" s="125"/>
      <c r="W82" s="8"/>
      <c r="X82" s="3"/>
      <c r="Y82" s="3"/>
      <c r="Z82" s="3"/>
      <c r="AA82" s="3"/>
      <c r="AB82" s="3"/>
      <c r="AC82" s="8"/>
      <c r="AD82" s="8"/>
      <c r="AE82" s="3"/>
      <c r="AF82" s="3"/>
      <c r="AG82" s="3"/>
      <c r="AH82" s="3"/>
      <c r="AI82" s="3"/>
      <c r="AJ82" s="8"/>
      <c r="AK82" s="8"/>
      <c r="AL82" s="3"/>
      <c r="AM82" s="3"/>
      <c r="AN82" s="3"/>
      <c r="AO82" s="3"/>
      <c r="AP82" s="3"/>
      <c r="AQ82" s="8"/>
      <c r="AR82" s="8"/>
      <c r="AS82" s="3"/>
      <c r="AT82" s="3"/>
      <c r="AU82" s="3"/>
      <c r="AV82" s="3"/>
      <c r="AW82" s="3"/>
      <c r="AX82" s="12"/>
      <c r="AY82" s="59"/>
      <c r="AZ82" s="58"/>
      <c r="GL82" s="54"/>
      <c r="GM82" s="54"/>
      <c r="GN82" s="54"/>
    </row>
    <row r="83" spans="1:196" ht="15" hidden="1" customHeight="1" x14ac:dyDescent="0.25">
      <c r="A83" s="102">
        <v>72</v>
      </c>
      <c r="B83" s="103"/>
      <c r="C83" s="104"/>
      <c r="D83" s="2"/>
      <c r="E83" s="105"/>
      <c r="F83" s="105"/>
      <c r="G83" s="100" t="str">
        <f t="shared" si="7"/>
        <v/>
      </c>
      <c r="H83" s="100" t="str">
        <f t="shared" si="8"/>
        <v/>
      </c>
      <c r="I83" s="101">
        <f t="shared" si="9"/>
        <v>0</v>
      </c>
      <c r="J83" s="100" t="str">
        <f t="shared" si="14"/>
        <v/>
      </c>
      <c r="K83" s="6" t="str">
        <f t="shared" si="10"/>
        <v/>
      </c>
      <c r="L83" s="6" t="str">
        <f t="shared" si="11"/>
        <v/>
      </c>
      <c r="M83" s="6">
        <f t="shared" si="12"/>
        <v>0</v>
      </c>
      <c r="N83" s="7">
        <f t="shared" si="13"/>
        <v>0</v>
      </c>
      <c r="O83" s="4"/>
      <c r="P83" s="3"/>
      <c r="Q83" s="3"/>
      <c r="R83" s="3"/>
      <c r="S83" s="3"/>
      <c r="T83" s="3"/>
      <c r="U83" s="5"/>
      <c r="V83" s="125"/>
      <c r="W83" s="8"/>
      <c r="X83" s="3"/>
      <c r="Y83" s="3"/>
      <c r="Z83" s="3"/>
      <c r="AA83" s="3"/>
      <c r="AB83" s="3"/>
      <c r="AC83" s="8"/>
      <c r="AD83" s="8"/>
      <c r="AE83" s="3"/>
      <c r="AF83" s="3"/>
      <c r="AG83" s="3"/>
      <c r="AH83" s="3"/>
      <c r="AI83" s="3"/>
      <c r="AJ83" s="8"/>
      <c r="AK83" s="8"/>
      <c r="AL83" s="3"/>
      <c r="AM83" s="3"/>
      <c r="AN83" s="3"/>
      <c r="AO83" s="3"/>
      <c r="AP83" s="3"/>
      <c r="AQ83" s="8"/>
      <c r="AR83" s="8"/>
      <c r="AS83" s="3"/>
      <c r="AT83" s="3"/>
      <c r="AU83" s="3"/>
      <c r="AV83" s="3"/>
      <c r="AW83" s="3"/>
      <c r="AX83" s="12"/>
      <c r="AY83" s="59"/>
      <c r="AZ83" s="58"/>
      <c r="GL83" s="54"/>
      <c r="GM83" s="54"/>
      <c r="GN83" s="54"/>
    </row>
    <row r="84" spans="1:196" ht="15" hidden="1" customHeight="1" x14ac:dyDescent="0.25">
      <c r="A84" s="102">
        <v>73</v>
      </c>
      <c r="B84" s="103"/>
      <c r="C84" s="104"/>
      <c r="D84" s="1"/>
      <c r="E84" s="105"/>
      <c r="F84" s="105"/>
      <c r="G84" s="100" t="str">
        <f t="shared" si="7"/>
        <v/>
      </c>
      <c r="H84" s="100" t="str">
        <f t="shared" si="8"/>
        <v/>
      </c>
      <c r="I84" s="101">
        <f t="shared" si="9"/>
        <v>0</v>
      </c>
      <c r="J84" s="100" t="str">
        <f t="shared" si="14"/>
        <v/>
      </c>
      <c r="K84" s="6" t="str">
        <f t="shared" si="10"/>
        <v/>
      </c>
      <c r="L84" s="6" t="str">
        <f t="shared" si="11"/>
        <v/>
      </c>
      <c r="M84" s="6">
        <f t="shared" si="12"/>
        <v>0</v>
      </c>
      <c r="N84" s="7">
        <f t="shared" si="13"/>
        <v>0</v>
      </c>
      <c r="O84" s="4"/>
      <c r="P84" s="3"/>
      <c r="Q84" s="3"/>
      <c r="R84" s="3"/>
      <c r="S84" s="3"/>
      <c r="T84" s="3"/>
      <c r="U84" s="5"/>
      <c r="V84" s="125"/>
      <c r="W84" s="8"/>
      <c r="X84" s="3"/>
      <c r="Y84" s="3"/>
      <c r="Z84" s="3"/>
      <c r="AA84" s="3"/>
      <c r="AB84" s="3"/>
      <c r="AC84" s="8"/>
      <c r="AD84" s="8"/>
      <c r="AE84" s="3"/>
      <c r="AF84" s="3"/>
      <c r="AG84" s="3"/>
      <c r="AH84" s="3"/>
      <c r="AI84" s="3"/>
      <c r="AJ84" s="8"/>
      <c r="AK84" s="8"/>
      <c r="AL84" s="3"/>
      <c r="AM84" s="3"/>
      <c r="AN84" s="3"/>
      <c r="AO84" s="3"/>
      <c r="AP84" s="3"/>
      <c r="AQ84" s="8"/>
      <c r="AR84" s="8"/>
      <c r="AS84" s="3"/>
      <c r="AT84" s="3"/>
      <c r="AU84" s="3"/>
      <c r="AV84" s="3"/>
      <c r="AW84" s="3"/>
      <c r="AX84" s="12"/>
      <c r="AY84" s="59"/>
      <c r="AZ84" s="58"/>
      <c r="GL84" s="54"/>
      <c r="GM84" s="54"/>
      <c r="GN84" s="54"/>
    </row>
    <row r="85" spans="1:196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7"/>
        <v/>
      </c>
      <c r="H85" s="100" t="str">
        <f t="shared" si="8"/>
        <v/>
      </c>
      <c r="I85" s="101">
        <f t="shared" si="9"/>
        <v>0</v>
      </c>
      <c r="J85" s="100" t="str">
        <f t="shared" si="14"/>
        <v/>
      </c>
      <c r="K85" s="6" t="str">
        <f t="shared" si="10"/>
        <v/>
      </c>
      <c r="L85" s="6" t="str">
        <f t="shared" si="11"/>
        <v/>
      </c>
      <c r="M85" s="6">
        <f t="shared" si="12"/>
        <v>0</v>
      </c>
      <c r="N85" s="7">
        <f t="shared" si="13"/>
        <v>0</v>
      </c>
      <c r="O85" s="4"/>
      <c r="P85" s="3"/>
      <c r="Q85" s="3"/>
      <c r="R85" s="3"/>
      <c r="S85" s="3"/>
      <c r="T85" s="3"/>
      <c r="U85" s="5"/>
      <c r="V85" s="125"/>
      <c r="W85" s="8"/>
      <c r="X85" s="3"/>
      <c r="Y85" s="3"/>
      <c r="Z85" s="3"/>
      <c r="AA85" s="3"/>
      <c r="AB85" s="3"/>
      <c r="AC85" s="8"/>
      <c r="AD85" s="8"/>
      <c r="AE85" s="3"/>
      <c r="AF85" s="3"/>
      <c r="AG85" s="3"/>
      <c r="AH85" s="3"/>
      <c r="AI85" s="3"/>
      <c r="AJ85" s="8"/>
      <c r="AK85" s="8"/>
      <c r="AL85" s="3"/>
      <c r="AM85" s="3"/>
      <c r="AN85" s="3"/>
      <c r="AO85" s="3"/>
      <c r="AP85" s="3"/>
      <c r="AQ85" s="8"/>
      <c r="AR85" s="8"/>
      <c r="AS85" s="3"/>
      <c r="AT85" s="3"/>
      <c r="AU85" s="3"/>
      <c r="AV85" s="3"/>
      <c r="AW85" s="3"/>
      <c r="AX85" s="12"/>
      <c r="AY85" s="59"/>
      <c r="AZ85" s="58"/>
      <c r="GL85" s="54"/>
      <c r="GM85" s="54"/>
      <c r="GN85" s="54"/>
    </row>
    <row r="86" spans="1:196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7"/>
        <v/>
      </c>
      <c r="H86" s="100" t="str">
        <f t="shared" si="8"/>
        <v/>
      </c>
      <c r="I86" s="101">
        <f t="shared" si="9"/>
        <v>0</v>
      </c>
      <c r="J86" s="100" t="str">
        <f t="shared" si="14"/>
        <v/>
      </c>
      <c r="K86" s="6" t="str">
        <f t="shared" si="10"/>
        <v/>
      </c>
      <c r="L86" s="6" t="str">
        <f t="shared" si="11"/>
        <v/>
      </c>
      <c r="M86" s="6">
        <f t="shared" si="12"/>
        <v>0</v>
      </c>
      <c r="N86" s="7">
        <f t="shared" si="13"/>
        <v>0</v>
      </c>
      <c r="O86" s="4"/>
      <c r="P86" s="3"/>
      <c r="Q86" s="3"/>
      <c r="R86" s="3"/>
      <c r="S86" s="3"/>
      <c r="T86" s="3"/>
      <c r="U86" s="5"/>
      <c r="V86" s="125"/>
      <c r="W86" s="8"/>
      <c r="X86" s="3"/>
      <c r="Y86" s="3"/>
      <c r="Z86" s="3"/>
      <c r="AA86" s="3"/>
      <c r="AB86" s="3"/>
      <c r="AC86" s="8"/>
      <c r="AD86" s="8"/>
      <c r="AE86" s="3"/>
      <c r="AF86" s="3"/>
      <c r="AG86" s="3"/>
      <c r="AH86" s="3"/>
      <c r="AI86" s="3"/>
      <c r="AJ86" s="8"/>
      <c r="AK86" s="8"/>
      <c r="AL86" s="3"/>
      <c r="AM86" s="3"/>
      <c r="AN86" s="3"/>
      <c r="AO86" s="3"/>
      <c r="AP86" s="3"/>
      <c r="AQ86" s="8"/>
      <c r="AR86" s="8"/>
      <c r="AS86" s="3"/>
      <c r="AT86" s="3"/>
      <c r="AU86" s="3"/>
      <c r="AV86" s="3"/>
      <c r="AW86" s="3"/>
      <c r="AX86" s="12"/>
      <c r="AY86" s="59"/>
      <c r="AZ86" s="58"/>
      <c r="GL86" s="54"/>
      <c r="GM86" s="54"/>
      <c r="GN86" s="54"/>
    </row>
    <row r="87" spans="1:196" ht="15" hidden="1" customHeight="1" x14ac:dyDescent="0.25">
      <c r="A87" s="97">
        <v>76</v>
      </c>
      <c r="B87" s="103"/>
      <c r="C87" s="104"/>
      <c r="D87" s="1"/>
      <c r="E87" s="105"/>
      <c r="F87" s="105"/>
      <c r="G87" s="100" t="str">
        <f t="shared" si="7"/>
        <v/>
      </c>
      <c r="H87" s="100" t="str">
        <f t="shared" si="8"/>
        <v/>
      </c>
      <c r="I87" s="101">
        <f t="shared" si="9"/>
        <v>0</v>
      </c>
      <c r="J87" s="100" t="str">
        <f t="shared" si="14"/>
        <v/>
      </c>
      <c r="K87" s="6" t="str">
        <f t="shared" si="10"/>
        <v/>
      </c>
      <c r="L87" s="6" t="str">
        <f t="shared" si="11"/>
        <v/>
      </c>
      <c r="M87" s="6">
        <f t="shared" si="12"/>
        <v>0</v>
      </c>
      <c r="N87" s="7">
        <f t="shared" si="13"/>
        <v>0</v>
      </c>
      <c r="O87" s="4"/>
      <c r="P87" s="3"/>
      <c r="Q87" s="3"/>
      <c r="R87" s="3"/>
      <c r="S87" s="3"/>
      <c r="T87" s="3"/>
      <c r="U87" s="5"/>
      <c r="V87" s="125"/>
      <c r="W87" s="8"/>
      <c r="X87" s="3"/>
      <c r="Y87" s="3"/>
      <c r="Z87" s="3"/>
      <c r="AA87" s="3"/>
      <c r="AB87" s="3"/>
      <c r="AC87" s="8"/>
      <c r="AD87" s="8"/>
      <c r="AE87" s="3"/>
      <c r="AF87" s="3"/>
      <c r="AG87" s="3"/>
      <c r="AH87" s="3"/>
      <c r="AI87" s="3"/>
      <c r="AJ87" s="8"/>
      <c r="AK87" s="8"/>
      <c r="AL87" s="3"/>
      <c r="AM87" s="3"/>
      <c r="AN87" s="3"/>
      <c r="AO87" s="3"/>
      <c r="AP87" s="3"/>
      <c r="AQ87" s="8"/>
      <c r="AR87" s="8"/>
      <c r="AS87" s="3"/>
      <c r="AT87" s="3"/>
      <c r="AU87" s="3"/>
      <c r="AV87" s="3"/>
      <c r="AW87" s="3"/>
      <c r="AX87" s="12"/>
      <c r="AY87" s="59"/>
      <c r="AZ87" s="58"/>
      <c r="GL87" s="54"/>
      <c r="GM87" s="54"/>
      <c r="GN87" s="54"/>
    </row>
    <row r="88" spans="1:196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7"/>
        <v/>
      </c>
      <c r="H88" s="100" t="str">
        <f t="shared" si="8"/>
        <v/>
      </c>
      <c r="I88" s="101">
        <f t="shared" si="9"/>
        <v>0</v>
      </c>
      <c r="J88" s="100" t="str">
        <f t="shared" si="14"/>
        <v/>
      </c>
      <c r="K88" s="6" t="str">
        <f t="shared" si="10"/>
        <v/>
      </c>
      <c r="L88" s="6" t="str">
        <f t="shared" si="11"/>
        <v/>
      </c>
      <c r="M88" s="6">
        <f t="shared" si="12"/>
        <v>0</v>
      </c>
      <c r="N88" s="7">
        <f t="shared" si="13"/>
        <v>0</v>
      </c>
      <c r="O88" s="4"/>
      <c r="P88" s="3"/>
      <c r="Q88" s="3"/>
      <c r="R88" s="3"/>
      <c r="S88" s="3"/>
      <c r="T88" s="3"/>
      <c r="U88" s="5"/>
      <c r="V88" s="125"/>
      <c r="W88" s="8"/>
      <c r="X88" s="3"/>
      <c r="Y88" s="3"/>
      <c r="Z88" s="3"/>
      <c r="AA88" s="3"/>
      <c r="AB88" s="3"/>
      <c r="AC88" s="8"/>
      <c r="AD88" s="8"/>
      <c r="AE88" s="3"/>
      <c r="AF88" s="3"/>
      <c r="AG88" s="3"/>
      <c r="AH88" s="3"/>
      <c r="AI88" s="3"/>
      <c r="AJ88" s="8"/>
      <c r="AK88" s="8"/>
      <c r="AL88" s="3"/>
      <c r="AM88" s="3"/>
      <c r="AN88" s="3"/>
      <c r="AO88" s="3"/>
      <c r="AP88" s="3"/>
      <c r="AQ88" s="8"/>
      <c r="AR88" s="8"/>
      <c r="AS88" s="3"/>
      <c r="AT88" s="3"/>
      <c r="AU88" s="3"/>
      <c r="AV88" s="3"/>
      <c r="AW88" s="3"/>
      <c r="AX88" s="12"/>
      <c r="AY88" s="59"/>
      <c r="AZ88" s="58"/>
      <c r="GL88" s="54"/>
      <c r="GM88" s="54"/>
      <c r="GN88" s="54"/>
    </row>
    <row r="89" spans="1:196" ht="15" hidden="1" customHeight="1" x14ac:dyDescent="0.25">
      <c r="A89" s="102">
        <v>78</v>
      </c>
      <c r="B89" s="103"/>
      <c r="C89" s="104"/>
      <c r="D89" s="1"/>
      <c r="E89" s="105"/>
      <c r="F89" s="105"/>
      <c r="G89" s="100" t="str">
        <f t="shared" si="7"/>
        <v/>
      </c>
      <c r="H89" s="100" t="str">
        <f t="shared" si="8"/>
        <v/>
      </c>
      <c r="I89" s="101">
        <f t="shared" si="9"/>
        <v>0</v>
      </c>
      <c r="J89" s="100" t="str">
        <f t="shared" si="14"/>
        <v/>
      </c>
      <c r="K89" s="6" t="str">
        <f t="shared" si="10"/>
        <v/>
      </c>
      <c r="L89" s="6" t="str">
        <f t="shared" si="11"/>
        <v/>
      </c>
      <c r="M89" s="6">
        <f t="shared" si="12"/>
        <v>0</v>
      </c>
      <c r="N89" s="7">
        <f t="shared" si="13"/>
        <v>0</v>
      </c>
      <c r="O89" s="4"/>
      <c r="P89" s="3"/>
      <c r="Q89" s="3"/>
      <c r="R89" s="3"/>
      <c r="S89" s="3"/>
      <c r="T89" s="3"/>
      <c r="U89" s="5"/>
      <c r="V89" s="125"/>
      <c r="W89" s="8"/>
      <c r="X89" s="3"/>
      <c r="Y89" s="3"/>
      <c r="Z89" s="3"/>
      <c r="AA89" s="3"/>
      <c r="AB89" s="3"/>
      <c r="AC89" s="8"/>
      <c r="AD89" s="8"/>
      <c r="AE89" s="3"/>
      <c r="AF89" s="3"/>
      <c r="AG89" s="3"/>
      <c r="AH89" s="3"/>
      <c r="AI89" s="3"/>
      <c r="AJ89" s="8"/>
      <c r="AK89" s="8"/>
      <c r="AL89" s="3"/>
      <c r="AM89" s="3"/>
      <c r="AN89" s="3"/>
      <c r="AO89" s="3"/>
      <c r="AP89" s="3"/>
      <c r="AQ89" s="8"/>
      <c r="AR89" s="8"/>
      <c r="AS89" s="3"/>
      <c r="AT89" s="3"/>
      <c r="AU89" s="3"/>
      <c r="AV89" s="3"/>
      <c r="AW89" s="3"/>
      <c r="AX89" s="12"/>
      <c r="AY89" s="59"/>
      <c r="AZ89" s="58"/>
      <c r="GL89" s="54"/>
      <c r="GM89" s="54"/>
      <c r="GN89" s="54"/>
    </row>
    <row r="90" spans="1:196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7"/>
        <v/>
      </c>
      <c r="H90" s="100" t="str">
        <f t="shared" si="8"/>
        <v/>
      </c>
      <c r="I90" s="101">
        <f t="shared" si="9"/>
        <v>0</v>
      </c>
      <c r="J90" s="100" t="str">
        <f t="shared" si="14"/>
        <v/>
      </c>
      <c r="K90" s="6" t="str">
        <f t="shared" si="10"/>
        <v/>
      </c>
      <c r="L90" s="6" t="str">
        <f t="shared" si="11"/>
        <v/>
      </c>
      <c r="M90" s="6">
        <f t="shared" si="12"/>
        <v>0</v>
      </c>
      <c r="N90" s="7">
        <f t="shared" si="13"/>
        <v>0</v>
      </c>
      <c r="O90" s="4"/>
      <c r="P90" s="3"/>
      <c r="Q90" s="3"/>
      <c r="R90" s="3"/>
      <c r="S90" s="3"/>
      <c r="T90" s="3"/>
      <c r="U90" s="5"/>
      <c r="V90" s="125"/>
      <c r="W90" s="8"/>
      <c r="X90" s="3"/>
      <c r="Y90" s="3"/>
      <c r="Z90" s="3"/>
      <c r="AA90" s="3"/>
      <c r="AB90" s="3"/>
      <c r="AC90" s="8"/>
      <c r="AD90" s="8"/>
      <c r="AE90" s="3"/>
      <c r="AF90" s="3"/>
      <c r="AG90" s="3"/>
      <c r="AH90" s="3"/>
      <c r="AI90" s="3"/>
      <c r="AJ90" s="8"/>
      <c r="AK90" s="8"/>
      <c r="AL90" s="3"/>
      <c r="AM90" s="3"/>
      <c r="AN90" s="3"/>
      <c r="AO90" s="3"/>
      <c r="AP90" s="3"/>
      <c r="AQ90" s="8"/>
      <c r="AR90" s="8"/>
      <c r="AS90" s="3"/>
      <c r="AT90" s="3"/>
      <c r="AU90" s="3"/>
      <c r="AV90" s="3"/>
      <c r="AW90" s="3"/>
      <c r="AX90" s="12"/>
      <c r="AY90" s="59"/>
      <c r="AZ90" s="58"/>
      <c r="GL90" s="54"/>
      <c r="GM90" s="54"/>
      <c r="GN90" s="54"/>
    </row>
    <row r="91" spans="1:196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7"/>
        <v/>
      </c>
      <c r="H91" s="100" t="str">
        <f t="shared" si="8"/>
        <v/>
      </c>
      <c r="I91" s="101">
        <f t="shared" si="9"/>
        <v>0</v>
      </c>
      <c r="J91" s="100" t="str">
        <f t="shared" si="14"/>
        <v/>
      </c>
      <c r="K91" s="6" t="str">
        <f t="shared" si="10"/>
        <v/>
      </c>
      <c r="L91" s="6" t="str">
        <f t="shared" si="11"/>
        <v/>
      </c>
      <c r="M91" s="6">
        <f t="shared" si="12"/>
        <v>0</v>
      </c>
      <c r="N91" s="7">
        <f t="shared" si="13"/>
        <v>0</v>
      </c>
      <c r="O91" s="4"/>
      <c r="P91" s="3"/>
      <c r="Q91" s="3"/>
      <c r="R91" s="3"/>
      <c r="S91" s="3"/>
      <c r="T91" s="3"/>
      <c r="U91" s="5"/>
      <c r="V91" s="125"/>
      <c r="W91" s="8"/>
      <c r="X91" s="3"/>
      <c r="Y91" s="3"/>
      <c r="Z91" s="3"/>
      <c r="AA91" s="3"/>
      <c r="AB91" s="3"/>
      <c r="AC91" s="8"/>
      <c r="AD91" s="8"/>
      <c r="AE91" s="3"/>
      <c r="AF91" s="3"/>
      <c r="AG91" s="3"/>
      <c r="AH91" s="3"/>
      <c r="AI91" s="3"/>
      <c r="AJ91" s="8"/>
      <c r="AK91" s="8"/>
      <c r="AL91" s="3"/>
      <c r="AM91" s="3"/>
      <c r="AN91" s="3"/>
      <c r="AO91" s="3"/>
      <c r="AP91" s="3"/>
      <c r="AQ91" s="8"/>
      <c r="AR91" s="8"/>
      <c r="AS91" s="3"/>
      <c r="AT91" s="3"/>
      <c r="AU91" s="3"/>
      <c r="AV91" s="3"/>
      <c r="AW91" s="3"/>
      <c r="AX91" s="12"/>
      <c r="AY91" s="59"/>
      <c r="AZ91" s="58"/>
      <c r="GL91" s="54"/>
      <c r="GM91" s="54"/>
      <c r="GN91" s="54"/>
    </row>
    <row r="92" spans="1:196" ht="15" hidden="1" customHeight="1" x14ac:dyDescent="0.25">
      <c r="A92" s="97">
        <v>81</v>
      </c>
      <c r="B92" s="103"/>
      <c r="C92" s="104"/>
      <c r="D92" s="2"/>
      <c r="E92" s="105"/>
      <c r="F92" s="105"/>
      <c r="G92" s="100" t="str">
        <f t="shared" si="7"/>
        <v/>
      </c>
      <c r="H92" s="100" t="str">
        <f t="shared" si="8"/>
        <v/>
      </c>
      <c r="I92" s="101">
        <f t="shared" si="9"/>
        <v>0</v>
      </c>
      <c r="J92" s="100" t="str">
        <f t="shared" si="14"/>
        <v/>
      </c>
      <c r="K92" s="6" t="str">
        <f t="shared" si="10"/>
        <v/>
      </c>
      <c r="L92" s="6" t="str">
        <f t="shared" si="11"/>
        <v/>
      </c>
      <c r="M92" s="6">
        <f t="shared" si="12"/>
        <v>0</v>
      </c>
      <c r="N92" s="7">
        <f t="shared" si="13"/>
        <v>0</v>
      </c>
      <c r="O92" s="4"/>
      <c r="P92" s="3"/>
      <c r="Q92" s="3"/>
      <c r="R92" s="3"/>
      <c r="S92" s="3"/>
      <c r="T92" s="3"/>
      <c r="U92" s="5"/>
      <c r="V92" s="125"/>
      <c r="W92" s="8"/>
      <c r="X92" s="3"/>
      <c r="Y92" s="3"/>
      <c r="Z92" s="3"/>
      <c r="AA92" s="3"/>
      <c r="AB92" s="3"/>
      <c r="AC92" s="8"/>
      <c r="AD92" s="8"/>
      <c r="AE92" s="3"/>
      <c r="AF92" s="3"/>
      <c r="AG92" s="3"/>
      <c r="AH92" s="3"/>
      <c r="AI92" s="3"/>
      <c r="AJ92" s="8"/>
      <c r="AK92" s="8"/>
      <c r="AL92" s="3"/>
      <c r="AM92" s="3"/>
      <c r="AN92" s="3"/>
      <c r="AO92" s="3"/>
      <c r="AP92" s="3"/>
      <c r="AQ92" s="8"/>
      <c r="AR92" s="8"/>
      <c r="AS92" s="3"/>
      <c r="AT92" s="3"/>
      <c r="AU92" s="3"/>
      <c r="AV92" s="3"/>
      <c r="AW92" s="3"/>
      <c r="AX92" s="12"/>
      <c r="AY92" s="59"/>
      <c r="AZ92" s="58"/>
      <c r="GL92" s="54"/>
      <c r="GM92" s="54"/>
      <c r="GN92" s="54"/>
    </row>
    <row r="93" spans="1:196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7"/>
        <v/>
      </c>
      <c r="H93" s="100" t="str">
        <f t="shared" si="8"/>
        <v/>
      </c>
      <c r="I93" s="101">
        <f t="shared" si="9"/>
        <v>0</v>
      </c>
      <c r="J93" s="100" t="str">
        <f t="shared" si="14"/>
        <v/>
      </c>
      <c r="K93" s="6" t="str">
        <f t="shared" si="10"/>
        <v/>
      </c>
      <c r="L93" s="6" t="str">
        <f t="shared" si="11"/>
        <v/>
      </c>
      <c r="M93" s="6">
        <f t="shared" si="12"/>
        <v>0</v>
      </c>
      <c r="N93" s="7">
        <f t="shared" si="13"/>
        <v>0</v>
      </c>
      <c r="O93" s="4"/>
      <c r="P93" s="3"/>
      <c r="Q93" s="3"/>
      <c r="R93" s="3"/>
      <c r="S93" s="3"/>
      <c r="T93" s="3"/>
      <c r="U93" s="5"/>
      <c r="V93" s="125"/>
      <c r="W93" s="8"/>
      <c r="X93" s="3"/>
      <c r="Y93" s="3"/>
      <c r="Z93" s="3"/>
      <c r="AA93" s="3"/>
      <c r="AB93" s="3"/>
      <c r="AC93" s="8"/>
      <c r="AD93" s="8"/>
      <c r="AE93" s="3"/>
      <c r="AF93" s="3"/>
      <c r="AG93" s="3"/>
      <c r="AH93" s="3"/>
      <c r="AI93" s="3"/>
      <c r="AJ93" s="8"/>
      <c r="AK93" s="8"/>
      <c r="AL93" s="3"/>
      <c r="AM93" s="3"/>
      <c r="AN93" s="3"/>
      <c r="AO93" s="3"/>
      <c r="AP93" s="3"/>
      <c r="AQ93" s="8"/>
      <c r="AR93" s="8"/>
      <c r="AS93" s="3"/>
      <c r="AT93" s="3"/>
      <c r="AU93" s="3"/>
      <c r="AV93" s="3"/>
      <c r="AW93" s="3"/>
      <c r="AX93" s="12"/>
      <c r="AY93" s="59"/>
      <c r="AZ93" s="58"/>
      <c r="GL93" s="54"/>
      <c r="GM93" s="54"/>
      <c r="GN93" s="54"/>
    </row>
    <row r="94" spans="1:196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7"/>
        <v/>
      </c>
      <c r="H94" s="100" t="str">
        <f t="shared" si="8"/>
        <v/>
      </c>
      <c r="I94" s="101">
        <f t="shared" si="9"/>
        <v>0</v>
      </c>
      <c r="J94" s="100" t="str">
        <f t="shared" si="14"/>
        <v/>
      </c>
      <c r="K94" s="6" t="str">
        <f t="shared" si="10"/>
        <v/>
      </c>
      <c r="L94" s="6" t="str">
        <f t="shared" si="11"/>
        <v/>
      </c>
      <c r="M94" s="6">
        <f t="shared" si="12"/>
        <v>0</v>
      </c>
      <c r="N94" s="7">
        <f t="shared" si="13"/>
        <v>0</v>
      </c>
      <c r="O94" s="4"/>
      <c r="P94" s="3"/>
      <c r="Q94" s="3"/>
      <c r="R94" s="3"/>
      <c r="S94" s="3"/>
      <c r="T94" s="3"/>
      <c r="U94" s="5"/>
      <c r="V94" s="125"/>
      <c r="W94" s="8"/>
      <c r="X94" s="3"/>
      <c r="Y94" s="3"/>
      <c r="Z94" s="3"/>
      <c r="AA94" s="3"/>
      <c r="AB94" s="3"/>
      <c r="AC94" s="8"/>
      <c r="AD94" s="8"/>
      <c r="AE94" s="3"/>
      <c r="AF94" s="3"/>
      <c r="AG94" s="3"/>
      <c r="AH94" s="3"/>
      <c r="AI94" s="3"/>
      <c r="AJ94" s="8"/>
      <c r="AK94" s="8"/>
      <c r="AL94" s="3"/>
      <c r="AM94" s="3"/>
      <c r="AN94" s="3"/>
      <c r="AO94" s="3"/>
      <c r="AP94" s="3"/>
      <c r="AQ94" s="8"/>
      <c r="AR94" s="8"/>
      <c r="AS94" s="3"/>
      <c r="AT94" s="3"/>
      <c r="AU94" s="3"/>
      <c r="AV94" s="3"/>
      <c r="AW94" s="3"/>
      <c r="AX94" s="12"/>
      <c r="AY94" s="59"/>
      <c r="AZ94" s="58"/>
      <c r="GL94" s="54"/>
      <c r="GM94" s="54"/>
      <c r="GN94" s="54"/>
    </row>
    <row r="95" spans="1:196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7"/>
        <v/>
      </c>
      <c r="H95" s="100" t="str">
        <f t="shared" si="8"/>
        <v/>
      </c>
      <c r="I95" s="101">
        <f t="shared" si="9"/>
        <v>0</v>
      </c>
      <c r="J95" s="100" t="str">
        <f t="shared" si="14"/>
        <v/>
      </c>
      <c r="K95" s="6" t="str">
        <f t="shared" si="10"/>
        <v/>
      </c>
      <c r="L95" s="6" t="str">
        <f t="shared" si="11"/>
        <v/>
      </c>
      <c r="M95" s="6">
        <f t="shared" si="12"/>
        <v>0</v>
      </c>
      <c r="N95" s="7">
        <f t="shared" si="13"/>
        <v>0</v>
      </c>
      <c r="O95" s="4"/>
      <c r="P95" s="3"/>
      <c r="Q95" s="3"/>
      <c r="R95" s="3"/>
      <c r="S95" s="3"/>
      <c r="T95" s="3"/>
      <c r="U95" s="5"/>
      <c r="V95" s="125"/>
      <c r="W95" s="8"/>
      <c r="X95" s="3"/>
      <c r="Y95" s="3"/>
      <c r="Z95" s="3"/>
      <c r="AA95" s="3"/>
      <c r="AB95" s="3"/>
      <c r="AC95" s="8"/>
      <c r="AD95" s="8"/>
      <c r="AE95" s="3"/>
      <c r="AF95" s="3"/>
      <c r="AG95" s="3"/>
      <c r="AH95" s="3"/>
      <c r="AI95" s="3"/>
      <c r="AJ95" s="8"/>
      <c r="AK95" s="8"/>
      <c r="AL95" s="3"/>
      <c r="AM95" s="3"/>
      <c r="AN95" s="3"/>
      <c r="AO95" s="3"/>
      <c r="AP95" s="3"/>
      <c r="AQ95" s="8"/>
      <c r="AR95" s="8"/>
      <c r="AS95" s="3"/>
      <c r="AT95" s="3"/>
      <c r="AU95" s="3"/>
      <c r="AV95" s="3"/>
      <c r="AW95" s="3"/>
      <c r="AX95" s="12"/>
      <c r="AY95" s="59"/>
      <c r="AZ95" s="58"/>
      <c r="GL95" s="54"/>
      <c r="GM95" s="54"/>
      <c r="GN95" s="54"/>
    </row>
    <row r="96" spans="1:196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7"/>
        <v/>
      </c>
      <c r="H96" s="100" t="str">
        <f t="shared" si="8"/>
        <v/>
      </c>
      <c r="I96" s="101">
        <f t="shared" si="9"/>
        <v>0</v>
      </c>
      <c r="J96" s="100" t="str">
        <f t="shared" si="14"/>
        <v/>
      </c>
      <c r="K96" s="6" t="str">
        <f t="shared" si="10"/>
        <v/>
      </c>
      <c r="L96" s="6" t="str">
        <f t="shared" si="11"/>
        <v/>
      </c>
      <c r="M96" s="6">
        <f t="shared" si="12"/>
        <v>0</v>
      </c>
      <c r="N96" s="7">
        <f t="shared" si="13"/>
        <v>0</v>
      </c>
      <c r="O96" s="4"/>
      <c r="P96" s="3"/>
      <c r="Q96" s="3"/>
      <c r="R96" s="3"/>
      <c r="S96" s="3"/>
      <c r="T96" s="3"/>
      <c r="U96" s="5"/>
      <c r="V96" s="125"/>
      <c r="W96" s="8"/>
      <c r="X96" s="3"/>
      <c r="Y96" s="3"/>
      <c r="Z96" s="3"/>
      <c r="AA96" s="3"/>
      <c r="AB96" s="3"/>
      <c r="AC96" s="8"/>
      <c r="AD96" s="8"/>
      <c r="AE96" s="3"/>
      <c r="AF96" s="3"/>
      <c r="AG96" s="3"/>
      <c r="AH96" s="3"/>
      <c r="AI96" s="3"/>
      <c r="AJ96" s="8"/>
      <c r="AK96" s="8"/>
      <c r="AL96" s="3"/>
      <c r="AM96" s="3"/>
      <c r="AN96" s="3"/>
      <c r="AO96" s="3"/>
      <c r="AP96" s="3"/>
      <c r="AQ96" s="8"/>
      <c r="AR96" s="8"/>
      <c r="AS96" s="3"/>
      <c r="AT96" s="3"/>
      <c r="AU96" s="3"/>
      <c r="AV96" s="3"/>
      <c r="AW96" s="3"/>
      <c r="AX96" s="12"/>
      <c r="AY96" s="59"/>
      <c r="AZ96" s="58"/>
      <c r="GL96" s="54"/>
      <c r="GM96" s="54"/>
      <c r="GN96" s="54"/>
    </row>
    <row r="97" spans="1:196" ht="15" hidden="1" customHeight="1" x14ac:dyDescent="0.25">
      <c r="A97" s="97">
        <v>86</v>
      </c>
      <c r="B97" s="103"/>
      <c r="C97" s="104"/>
      <c r="D97" s="1"/>
      <c r="E97" s="105"/>
      <c r="F97" s="105"/>
      <c r="G97" s="100" t="str">
        <f t="shared" ref="G97" si="15">IF(ISBLANK(E97),"",E97*10)</f>
        <v/>
      </c>
      <c r="H97" s="100" t="str">
        <f t="shared" ref="H97" si="16">IF(ISBLANK(F97),"",F97*20)</f>
        <v/>
      </c>
      <c r="I97" s="101">
        <f t="shared" ref="I97" si="17">SUM(G97,H97)</f>
        <v>0</v>
      </c>
      <c r="J97" s="100" t="str">
        <f t="shared" si="14"/>
        <v/>
      </c>
      <c r="K97" s="6" t="str">
        <f t="shared" ref="K97" si="18">IF(M97=E97,"","X")</f>
        <v/>
      </c>
      <c r="L97" s="6" t="str">
        <f t="shared" ref="L97" si="19">IF(N97=F97,"","X")</f>
        <v/>
      </c>
      <c r="M97" s="6">
        <f t="shared" si="12"/>
        <v>0</v>
      </c>
      <c r="N97" s="7">
        <f t="shared" si="13"/>
        <v>0</v>
      </c>
      <c r="O97" s="4"/>
      <c r="P97" s="3"/>
      <c r="Q97" s="3"/>
      <c r="R97" s="3"/>
      <c r="S97" s="3"/>
      <c r="T97" s="3"/>
      <c r="U97" s="5"/>
      <c r="V97" s="125"/>
      <c r="W97" s="8"/>
      <c r="X97" s="3"/>
      <c r="Y97" s="3"/>
      <c r="Z97" s="3"/>
      <c r="AA97" s="3"/>
      <c r="AB97" s="3"/>
      <c r="AC97" s="8"/>
      <c r="AD97" s="8"/>
      <c r="AE97" s="3"/>
      <c r="AF97" s="3"/>
      <c r="AG97" s="3"/>
      <c r="AH97" s="3"/>
      <c r="AI97" s="3"/>
      <c r="AJ97" s="8"/>
      <c r="AK97" s="8"/>
      <c r="AL97" s="3"/>
      <c r="AM97" s="3"/>
      <c r="AN97" s="3"/>
      <c r="AO97" s="3"/>
      <c r="AP97" s="3"/>
      <c r="AQ97" s="8"/>
      <c r="AR97" s="8"/>
      <c r="AS97" s="3"/>
      <c r="AT97" s="3"/>
      <c r="AU97" s="3"/>
      <c r="AV97" s="3"/>
      <c r="AW97" s="3"/>
      <c r="AX97" s="12"/>
      <c r="AY97" s="59"/>
      <c r="AZ97" s="58"/>
      <c r="GL97" s="54"/>
      <c r="GM97" s="54"/>
      <c r="GN97" s="54"/>
    </row>
    <row r="98" spans="1:196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2"/>
        <v>0</v>
      </c>
      <c r="N98" s="7">
        <f t="shared" si="13"/>
        <v>0</v>
      </c>
      <c r="O98" s="4"/>
      <c r="P98" s="3"/>
      <c r="Q98" s="3"/>
      <c r="R98" s="3"/>
      <c r="S98" s="3"/>
      <c r="T98" s="3"/>
      <c r="U98" s="5"/>
      <c r="V98" s="125"/>
      <c r="W98" s="8"/>
      <c r="X98" s="3"/>
      <c r="Y98" s="3"/>
      <c r="Z98" s="3"/>
      <c r="AA98" s="3"/>
      <c r="AB98" s="3"/>
      <c r="AC98" s="8"/>
      <c r="AD98" s="8"/>
      <c r="AE98" s="3"/>
      <c r="AF98" s="3"/>
      <c r="AG98" s="3"/>
      <c r="AH98" s="3"/>
      <c r="AI98" s="3"/>
      <c r="AJ98" s="8"/>
      <c r="AK98" s="8"/>
      <c r="AL98" s="3"/>
      <c r="AM98" s="3"/>
      <c r="AN98" s="3"/>
      <c r="AO98" s="3"/>
      <c r="AP98" s="3"/>
      <c r="AQ98" s="8"/>
      <c r="AR98" s="8"/>
      <c r="AS98" s="3"/>
      <c r="AT98" s="3"/>
      <c r="AU98" s="3"/>
      <c r="AV98" s="3"/>
      <c r="AW98" s="3"/>
      <c r="AX98" s="12"/>
      <c r="AY98" s="59"/>
      <c r="AZ98" s="58"/>
      <c r="GL98" s="54"/>
      <c r="GM98" s="54"/>
      <c r="GN98" s="54"/>
    </row>
    <row r="99" spans="1:196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2"/>
        <v>0</v>
      </c>
      <c r="N99" s="7">
        <f t="shared" si="13"/>
        <v>0</v>
      </c>
      <c r="O99" s="4"/>
      <c r="P99" s="3"/>
      <c r="Q99" s="3"/>
      <c r="R99" s="3"/>
      <c r="S99" s="3"/>
      <c r="T99" s="3"/>
      <c r="U99" s="5"/>
      <c r="V99" s="125"/>
      <c r="W99" s="8"/>
      <c r="X99" s="3"/>
      <c r="Y99" s="3"/>
      <c r="Z99" s="3"/>
      <c r="AA99" s="3"/>
      <c r="AB99" s="3"/>
      <c r="AC99" s="8"/>
      <c r="AD99" s="8"/>
      <c r="AE99" s="3"/>
      <c r="AF99" s="3"/>
      <c r="AG99" s="3"/>
      <c r="AH99" s="3"/>
      <c r="AI99" s="3"/>
      <c r="AJ99" s="8"/>
      <c r="AK99" s="8"/>
      <c r="AL99" s="3"/>
      <c r="AM99" s="3"/>
      <c r="AN99" s="3"/>
      <c r="AO99" s="3"/>
      <c r="AP99" s="3"/>
      <c r="AQ99" s="8"/>
      <c r="AR99" s="8"/>
      <c r="AS99" s="3"/>
      <c r="AT99" s="3"/>
      <c r="AU99" s="3"/>
      <c r="AV99" s="3"/>
      <c r="AW99" s="3"/>
      <c r="AX99" s="12"/>
      <c r="AY99" s="59"/>
      <c r="AZ99" s="58"/>
      <c r="GL99" s="54"/>
      <c r="GM99" s="54"/>
      <c r="GN99" s="54"/>
    </row>
    <row r="100" spans="1:196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2"/>
        <v>0</v>
      </c>
      <c r="N100" s="7">
        <f t="shared" si="13"/>
        <v>0</v>
      </c>
      <c r="O100" s="4"/>
      <c r="P100" s="3"/>
      <c r="Q100" s="3"/>
      <c r="R100" s="3"/>
      <c r="S100" s="3"/>
      <c r="T100" s="3"/>
      <c r="U100" s="5"/>
      <c r="V100" s="125"/>
      <c r="W100" s="8"/>
      <c r="X100" s="3"/>
      <c r="Y100" s="3"/>
      <c r="Z100" s="3"/>
      <c r="AA100" s="3"/>
      <c r="AB100" s="3"/>
      <c r="AC100" s="8"/>
      <c r="AD100" s="8"/>
      <c r="AE100" s="3"/>
      <c r="AF100" s="3"/>
      <c r="AG100" s="3"/>
      <c r="AH100" s="3"/>
      <c r="AI100" s="3"/>
      <c r="AJ100" s="8"/>
      <c r="AK100" s="8"/>
      <c r="AL100" s="3"/>
      <c r="AM100" s="3"/>
      <c r="AN100" s="3"/>
      <c r="AO100" s="3"/>
      <c r="AP100" s="3"/>
      <c r="AQ100" s="8"/>
      <c r="AR100" s="8"/>
      <c r="AS100" s="3"/>
      <c r="AT100" s="3"/>
      <c r="AU100" s="3"/>
      <c r="AV100" s="3"/>
      <c r="AW100" s="3"/>
      <c r="AX100" s="12"/>
      <c r="AY100" s="59"/>
      <c r="AZ100" s="58"/>
      <c r="GL100" s="54"/>
      <c r="GM100" s="54"/>
      <c r="GN100" s="54"/>
    </row>
    <row r="101" spans="1:196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ref="M101:M111" si="20">(IF(O101="hT",4,0))+(IF(P101="hT",4,0))+(IF(Q101="hT",4,0))+(IF(R101="hT",4,0))+(IF(S101="hT",4,0))+T101+(COUNTIF(W101:AX101,"hT"))</f>
        <v>0</v>
      </c>
      <c r="N101" s="7">
        <f t="shared" ref="N101:N111" si="21">(IF(O101="x",4,0))+(IF(P101="x",4,0))+(IF(Q101="x",4,0))+(IF(R101="x",4,0))+(IF(S101="x",4,0))+U101+(COUNTIF(W101:AX101,"x"))</f>
        <v>0</v>
      </c>
      <c r="O101" s="4"/>
      <c r="P101" s="3"/>
      <c r="Q101" s="3"/>
      <c r="R101" s="3"/>
      <c r="S101" s="3"/>
      <c r="T101" s="3"/>
      <c r="U101" s="5"/>
      <c r="V101" s="125"/>
      <c r="W101" s="8"/>
      <c r="X101" s="3"/>
      <c r="Y101" s="3"/>
      <c r="Z101" s="3"/>
      <c r="AA101" s="3"/>
      <c r="AB101" s="3"/>
      <c r="AC101" s="8"/>
      <c r="AD101" s="8"/>
      <c r="AE101" s="3"/>
      <c r="AF101" s="3"/>
      <c r="AG101" s="3"/>
      <c r="AH101" s="3"/>
      <c r="AI101" s="3"/>
      <c r="AJ101" s="8"/>
      <c r="AK101" s="8"/>
      <c r="AL101" s="3"/>
      <c r="AM101" s="3"/>
      <c r="AN101" s="3"/>
      <c r="AO101" s="3"/>
      <c r="AP101" s="3"/>
      <c r="AQ101" s="8"/>
      <c r="AR101" s="8"/>
      <c r="AS101" s="3"/>
      <c r="AT101" s="3"/>
      <c r="AU101" s="3"/>
      <c r="AV101" s="3"/>
      <c r="AW101" s="3"/>
      <c r="AX101" s="12"/>
      <c r="AY101" s="59"/>
      <c r="AZ101" s="58"/>
      <c r="GL101" s="54"/>
      <c r="GM101" s="54"/>
      <c r="GN101" s="54"/>
    </row>
    <row r="102" spans="1:196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20"/>
        <v>0</v>
      </c>
      <c r="N102" s="7">
        <f t="shared" si="21"/>
        <v>0</v>
      </c>
      <c r="O102" s="4"/>
      <c r="P102" s="3"/>
      <c r="Q102" s="3"/>
      <c r="R102" s="3"/>
      <c r="S102" s="3"/>
      <c r="T102" s="3"/>
      <c r="U102" s="5"/>
      <c r="V102" s="125"/>
      <c r="W102" s="8"/>
      <c r="X102" s="3"/>
      <c r="Y102" s="3"/>
      <c r="Z102" s="3"/>
      <c r="AA102" s="3"/>
      <c r="AB102" s="3"/>
      <c r="AC102" s="8"/>
      <c r="AD102" s="8"/>
      <c r="AE102" s="3"/>
      <c r="AF102" s="3"/>
      <c r="AG102" s="3"/>
      <c r="AH102" s="3"/>
      <c r="AI102" s="3"/>
      <c r="AJ102" s="8"/>
      <c r="AK102" s="8"/>
      <c r="AL102" s="3"/>
      <c r="AM102" s="3"/>
      <c r="AN102" s="3"/>
      <c r="AO102" s="3"/>
      <c r="AP102" s="3"/>
      <c r="AQ102" s="8"/>
      <c r="AR102" s="8"/>
      <c r="AS102" s="3"/>
      <c r="AT102" s="3"/>
      <c r="AU102" s="3"/>
      <c r="AV102" s="3"/>
      <c r="AW102" s="3"/>
      <c r="AX102" s="12"/>
      <c r="AY102" s="59"/>
      <c r="AZ102" s="58"/>
      <c r="GL102" s="54"/>
      <c r="GM102" s="54"/>
      <c r="GN102" s="54"/>
    </row>
    <row r="103" spans="1:196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20"/>
        <v>0</v>
      </c>
      <c r="N103" s="7">
        <f t="shared" si="21"/>
        <v>0</v>
      </c>
      <c r="O103" s="4"/>
      <c r="P103" s="3"/>
      <c r="Q103" s="3"/>
      <c r="R103" s="3"/>
      <c r="S103" s="3"/>
      <c r="T103" s="3"/>
      <c r="U103" s="5"/>
      <c r="V103" s="125"/>
      <c r="W103" s="8"/>
      <c r="X103" s="3"/>
      <c r="Y103" s="3"/>
      <c r="Z103" s="3"/>
      <c r="AA103" s="3"/>
      <c r="AB103" s="3"/>
      <c r="AC103" s="8"/>
      <c r="AD103" s="8"/>
      <c r="AE103" s="3"/>
      <c r="AF103" s="3"/>
      <c r="AG103" s="3"/>
      <c r="AH103" s="3"/>
      <c r="AI103" s="3"/>
      <c r="AJ103" s="8"/>
      <c r="AK103" s="8"/>
      <c r="AL103" s="3"/>
      <c r="AM103" s="3"/>
      <c r="AN103" s="3"/>
      <c r="AO103" s="3"/>
      <c r="AP103" s="3"/>
      <c r="AQ103" s="8"/>
      <c r="AR103" s="8"/>
      <c r="AS103" s="3"/>
      <c r="AT103" s="3"/>
      <c r="AU103" s="3"/>
      <c r="AV103" s="3"/>
      <c r="AW103" s="3"/>
      <c r="AX103" s="12"/>
      <c r="AY103" s="59"/>
      <c r="AZ103" s="58"/>
      <c r="GL103" s="54"/>
      <c r="GM103" s="54"/>
      <c r="GN103" s="54"/>
    </row>
    <row r="104" spans="1:196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20"/>
        <v>0</v>
      </c>
      <c r="N104" s="7">
        <f t="shared" si="21"/>
        <v>0</v>
      </c>
      <c r="O104" s="4"/>
      <c r="P104" s="3"/>
      <c r="Q104" s="3"/>
      <c r="R104" s="3"/>
      <c r="S104" s="3"/>
      <c r="T104" s="3"/>
      <c r="U104" s="5"/>
      <c r="V104" s="125"/>
      <c r="W104" s="8"/>
      <c r="X104" s="3"/>
      <c r="Y104" s="3"/>
      <c r="Z104" s="3"/>
      <c r="AA104" s="3"/>
      <c r="AB104" s="3"/>
      <c r="AC104" s="8"/>
      <c r="AD104" s="8"/>
      <c r="AE104" s="3"/>
      <c r="AF104" s="3"/>
      <c r="AG104" s="3"/>
      <c r="AH104" s="3"/>
      <c r="AI104" s="3"/>
      <c r="AJ104" s="8"/>
      <c r="AK104" s="8"/>
      <c r="AL104" s="3"/>
      <c r="AM104" s="3"/>
      <c r="AN104" s="3"/>
      <c r="AO104" s="3"/>
      <c r="AP104" s="3"/>
      <c r="AQ104" s="8"/>
      <c r="AR104" s="8"/>
      <c r="AS104" s="3"/>
      <c r="AT104" s="3"/>
      <c r="AU104" s="3"/>
      <c r="AV104" s="3"/>
      <c r="AW104" s="3"/>
      <c r="AX104" s="12"/>
      <c r="AY104" s="59"/>
      <c r="AZ104" s="58"/>
      <c r="GL104" s="54"/>
      <c r="GM104" s="54"/>
      <c r="GN104" s="54"/>
    </row>
    <row r="105" spans="1:196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20"/>
        <v>0</v>
      </c>
      <c r="N105" s="7">
        <f t="shared" si="21"/>
        <v>0</v>
      </c>
      <c r="O105" s="4"/>
      <c r="P105" s="3"/>
      <c r="Q105" s="3"/>
      <c r="R105" s="3"/>
      <c r="S105" s="3"/>
      <c r="T105" s="3"/>
      <c r="U105" s="5"/>
      <c r="V105" s="125"/>
      <c r="W105" s="8"/>
      <c r="X105" s="3"/>
      <c r="Y105" s="3"/>
      <c r="Z105" s="3"/>
      <c r="AA105" s="3"/>
      <c r="AB105" s="3"/>
      <c r="AC105" s="8"/>
      <c r="AD105" s="8"/>
      <c r="AE105" s="3"/>
      <c r="AF105" s="3"/>
      <c r="AG105" s="3"/>
      <c r="AH105" s="3"/>
      <c r="AI105" s="3"/>
      <c r="AJ105" s="8"/>
      <c r="AK105" s="8"/>
      <c r="AL105" s="3"/>
      <c r="AM105" s="3"/>
      <c r="AN105" s="3"/>
      <c r="AO105" s="3"/>
      <c r="AP105" s="3"/>
      <c r="AQ105" s="8"/>
      <c r="AR105" s="8"/>
      <c r="AS105" s="3"/>
      <c r="AT105" s="3"/>
      <c r="AU105" s="3"/>
      <c r="AV105" s="3"/>
      <c r="AW105" s="3"/>
      <c r="AX105" s="12"/>
      <c r="AY105" s="59"/>
      <c r="AZ105" s="58"/>
      <c r="GL105" s="54"/>
      <c r="GM105" s="54"/>
      <c r="GN105" s="54"/>
    </row>
    <row r="106" spans="1:196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20"/>
        <v>0</v>
      </c>
      <c r="N106" s="7">
        <f t="shared" si="21"/>
        <v>0</v>
      </c>
      <c r="O106" s="4"/>
      <c r="P106" s="3"/>
      <c r="Q106" s="3"/>
      <c r="R106" s="3"/>
      <c r="S106" s="3"/>
      <c r="T106" s="3"/>
      <c r="U106" s="5"/>
      <c r="V106" s="125"/>
      <c r="W106" s="8"/>
      <c r="X106" s="3"/>
      <c r="Y106" s="3"/>
      <c r="Z106" s="3"/>
      <c r="AA106" s="3"/>
      <c r="AB106" s="3"/>
      <c r="AC106" s="8"/>
      <c r="AD106" s="8"/>
      <c r="AE106" s="3"/>
      <c r="AF106" s="3"/>
      <c r="AG106" s="3"/>
      <c r="AH106" s="3"/>
      <c r="AI106" s="3"/>
      <c r="AJ106" s="8"/>
      <c r="AK106" s="8"/>
      <c r="AL106" s="3"/>
      <c r="AM106" s="3"/>
      <c r="AN106" s="3"/>
      <c r="AO106" s="3"/>
      <c r="AP106" s="3"/>
      <c r="AQ106" s="8"/>
      <c r="AR106" s="8"/>
      <c r="AS106" s="3"/>
      <c r="AT106" s="3"/>
      <c r="AU106" s="3"/>
      <c r="AV106" s="3"/>
      <c r="AW106" s="3"/>
      <c r="AX106" s="12"/>
      <c r="AY106" s="59"/>
      <c r="AZ106" s="58"/>
      <c r="GL106" s="54"/>
      <c r="GM106" s="54"/>
      <c r="GN106" s="54"/>
    </row>
    <row r="107" spans="1:196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20"/>
        <v>0</v>
      </c>
      <c r="N107" s="7">
        <f t="shared" si="21"/>
        <v>0</v>
      </c>
      <c r="O107" s="4"/>
      <c r="P107" s="3"/>
      <c r="Q107" s="3"/>
      <c r="R107" s="3"/>
      <c r="S107" s="3"/>
      <c r="T107" s="3"/>
      <c r="U107" s="5"/>
      <c r="V107" s="125"/>
      <c r="W107" s="8"/>
      <c r="X107" s="3"/>
      <c r="Y107" s="3"/>
      <c r="Z107" s="3"/>
      <c r="AA107" s="3"/>
      <c r="AB107" s="3"/>
      <c r="AC107" s="8"/>
      <c r="AD107" s="8"/>
      <c r="AE107" s="3"/>
      <c r="AF107" s="3"/>
      <c r="AG107" s="3"/>
      <c r="AH107" s="3"/>
      <c r="AI107" s="3"/>
      <c r="AJ107" s="8"/>
      <c r="AK107" s="8"/>
      <c r="AL107" s="3"/>
      <c r="AM107" s="3"/>
      <c r="AN107" s="3"/>
      <c r="AO107" s="3"/>
      <c r="AP107" s="3"/>
      <c r="AQ107" s="8"/>
      <c r="AR107" s="8"/>
      <c r="AS107" s="3"/>
      <c r="AT107" s="3"/>
      <c r="AU107" s="3"/>
      <c r="AV107" s="3"/>
      <c r="AW107" s="3"/>
      <c r="AX107" s="12"/>
      <c r="AY107" s="59"/>
      <c r="AZ107" s="58"/>
      <c r="GL107" s="54"/>
      <c r="GM107" s="54"/>
      <c r="GN107" s="54"/>
    </row>
    <row r="108" spans="1:196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20"/>
        <v>0</v>
      </c>
      <c r="N108" s="7">
        <f t="shared" si="21"/>
        <v>0</v>
      </c>
      <c r="O108" s="4"/>
      <c r="P108" s="3"/>
      <c r="Q108" s="3"/>
      <c r="R108" s="3"/>
      <c r="S108" s="3"/>
      <c r="T108" s="3"/>
      <c r="U108" s="5"/>
      <c r="V108" s="125"/>
      <c r="W108" s="8"/>
      <c r="X108" s="3"/>
      <c r="Y108" s="3"/>
      <c r="Z108" s="3"/>
      <c r="AA108" s="3"/>
      <c r="AB108" s="3"/>
      <c r="AC108" s="8"/>
      <c r="AD108" s="8"/>
      <c r="AE108" s="3"/>
      <c r="AF108" s="3"/>
      <c r="AG108" s="3"/>
      <c r="AH108" s="3"/>
      <c r="AI108" s="3"/>
      <c r="AJ108" s="8"/>
      <c r="AK108" s="8"/>
      <c r="AL108" s="3"/>
      <c r="AM108" s="3"/>
      <c r="AN108" s="3"/>
      <c r="AO108" s="3"/>
      <c r="AP108" s="3"/>
      <c r="AQ108" s="8"/>
      <c r="AR108" s="8"/>
      <c r="AS108" s="3"/>
      <c r="AT108" s="3"/>
      <c r="AU108" s="3"/>
      <c r="AV108" s="3"/>
      <c r="AW108" s="3"/>
      <c r="AX108" s="12"/>
      <c r="AY108" s="59"/>
      <c r="AZ108" s="58"/>
      <c r="GL108" s="54"/>
      <c r="GM108" s="54"/>
      <c r="GN108" s="54"/>
    </row>
    <row r="109" spans="1:196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20"/>
        <v>0</v>
      </c>
      <c r="N109" s="7">
        <f t="shared" si="21"/>
        <v>0</v>
      </c>
      <c r="O109" s="4"/>
      <c r="P109" s="3"/>
      <c r="Q109" s="3"/>
      <c r="R109" s="3"/>
      <c r="S109" s="3"/>
      <c r="T109" s="3"/>
      <c r="U109" s="5"/>
      <c r="V109" s="125"/>
      <c r="W109" s="8"/>
      <c r="X109" s="3"/>
      <c r="Y109" s="3"/>
      <c r="Z109" s="3"/>
      <c r="AA109" s="3"/>
      <c r="AB109" s="3"/>
      <c r="AC109" s="8"/>
      <c r="AD109" s="8"/>
      <c r="AE109" s="3"/>
      <c r="AF109" s="3"/>
      <c r="AG109" s="3"/>
      <c r="AH109" s="3"/>
      <c r="AI109" s="3"/>
      <c r="AJ109" s="8"/>
      <c r="AK109" s="8"/>
      <c r="AL109" s="3"/>
      <c r="AM109" s="3"/>
      <c r="AN109" s="3"/>
      <c r="AO109" s="3"/>
      <c r="AP109" s="3"/>
      <c r="AQ109" s="8"/>
      <c r="AR109" s="8"/>
      <c r="AS109" s="3"/>
      <c r="AT109" s="3"/>
      <c r="AU109" s="3"/>
      <c r="AV109" s="3"/>
      <c r="AW109" s="3"/>
      <c r="AX109" s="12"/>
      <c r="AY109" s="59"/>
      <c r="AZ109" s="58"/>
      <c r="GL109" s="54"/>
      <c r="GM109" s="54"/>
      <c r="GN109" s="54"/>
    </row>
    <row r="110" spans="1:196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20"/>
        <v>0</v>
      </c>
      <c r="N110" s="7">
        <f t="shared" si="21"/>
        <v>0</v>
      </c>
      <c r="O110" s="4"/>
      <c r="P110" s="3"/>
      <c r="Q110" s="3"/>
      <c r="R110" s="3"/>
      <c r="S110" s="3"/>
      <c r="T110" s="3"/>
      <c r="U110" s="5"/>
      <c r="V110" s="125"/>
      <c r="W110" s="8"/>
      <c r="X110" s="3"/>
      <c r="Y110" s="3"/>
      <c r="Z110" s="3"/>
      <c r="AA110" s="3"/>
      <c r="AB110" s="3"/>
      <c r="AC110" s="8"/>
      <c r="AD110" s="8"/>
      <c r="AE110" s="3"/>
      <c r="AF110" s="3"/>
      <c r="AG110" s="3"/>
      <c r="AH110" s="3"/>
      <c r="AI110" s="3"/>
      <c r="AJ110" s="8"/>
      <c r="AK110" s="8"/>
      <c r="AL110" s="3"/>
      <c r="AM110" s="3"/>
      <c r="AN110" s="3"/>
      <c r="AO110" s="3"/>
      <c r="AP110" s="3"/>
      <c r="AQ110" s="8"/>
      <c r="AR110" s="8"/>
      <c r="AS110" s="3"/>
      <c r="AT110" s="3"/>
      <c r="AU110" s="3"/>
      <c r="AV110" s="3"/>
      <c r="AW110" s="3"/>
      <c r="AX110" s="12"/>
      <c r="AY110" s="59"/>
      <c r="AZ110" s="58"/>
      <c r="GL110" s="54"/>
      <c r="GM110" s="54"/>
      <c r="GN110" s="54"/>
    </row>
    <row r="111" spans="1:196" ht="15" hidden="1" customHeight="1" thickBot="1" x14ac:dyDescent="0.3">
      <c r="A111" s="102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20"/>
        <v>0</v>
      </c>
      <c r="N111" s="7">
        <f t="shared" si="21"/>
        <v>0</v>
      </c>
      <c r="O111" s="4"/>
      <c r="P111" s="3"/>
      <c r="Q111" s="3"/>
      <c r="R111" s="3"/>
      <c r="S111" s="3"/>
      <c r="T111" s="3"/>
      <c r="U111" s="5"/>
      <c r="V111" s="125"/>
      <c r="W111" s="8"/>
      <c r="X111" s="3"/>
      <c r="Y111" s="3"/>
      <c r="Z111" s="3"/>
      <c r="AA111" s="3"/>
      <c r="AB111" s="3"/>
      <c r="AC111" s="8"/>
      <c r="AD111" s="8"/>
      <c r="AE111" s="3"/>
      <c r="AF111" s="3"/>
      <c r="AG111" s="3"/>
      <c r="AH111" s="3"/>
      <c r="AI111" s="3"/>
      <c r="AJ111" s="8"/>
      <c r="AK111" s="8"/>
      <c r="AL111" s="3"/>
      <c r="AM111" s="3"/>
      <c r="AN111" s="3"/>
      <c r="AO111" s="3"/>
      <c r="AP111" s="3"/>
      <c r="AQ111" s="8"/>
      <c r="AR111" s="8"/>
      <c r="AS111" s="3"/>
      <c r="AT111" s="3"/>
      <c r="AU111" s="3"/>
      <c r="AV111" s="3"/>
      <c r="AW111" s="3"/>
      <c r="AX111" s="12"/>
      <c r="AY111" s="59"/>
      <c r="AZ111" s="58"/>
      <c r="GL111" s="54"/>
      <c r="GM111" s="54"/>
      <c r="GN111" s="54"/>
    </row>
    <row r="112" spans="1:196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58"/>
      <c r="AZ112" s="58"/>
      <c r="GM112" s="54"/>
      <c r="GN112" s="54"/>
    </row>
    <row r="113" spans="1:54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5"/>
      <c r="AZ113" s="58"/>
    </row>
    <row r="114" spans="1:54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4"/>
      <c r="BA114" s="59"/>
      <c r="BB114" s="59"/>
    </row>
    <row r="115" spans="1:54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4"/>
      <c r="BA115" s="59"/>
      <c r="BB115" s="59"/>
    </row>
    <row r="116" spans="1:54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4"/>
      <c r="BA116" s="59"/>
      <c r="BB116" s="59"/>
    </row>
    <row r="117" spans="1:54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4"/>
    </row>
    <row r="118" spans="1:54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4"/>
    </row>
    <row r="119" spans="1:54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8"/>
    </row>
    <row r="120" spans="1:54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8"/>
    </row>
    <row r="121" spans="1:54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8"/>
    </row>
    <row r="122" spans="1:54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8"/>
    </row>
    <row r="123" spans="1:54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3"/>
      <c r="BB123" s="59"/>
    </row>
    <row r="124" spans="1:54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BB124" s="59"/>
    </row>
    <row r="125" spans="1:54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</row>
    <row r="126" spans="1:54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</row>
    <row r="127" spans="1:54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</row>
    <row r="128" spans="1:54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</row>
    <row r="129" spans="23:54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</row>
    <row r="130" spans="23:54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</row>
    <row r="131" spans="23:54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BB131" s="59"/>
    </row>
    <row r="132" spans="23:54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BB132" s="59"/>
    </row>
    <row r="133" spans="23:54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BB133" s="59"/>
    </row>
    <row r="134" spans="23:54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BB134" s="59"/>
    </row>
    <row r="135" spans="23:54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BB135" s="59"/>
    </row>
    <row r="136" spans="23:54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BB136" s="59"/>
    </row>
    <row r="137" spans="23:54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BB137" s="59"/>
    </row>
    <row r="138" spans="23:54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BB138" s="59"/>
    </row>
    <row r="139" spans="23:54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BB139" s="59"/>
    </row>
    <row r="140" spans="23:54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BB140" s="59"/>
    </row>
    <row r="141" spans="23:54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BB141" s="59"/>
    </row>
    <row r="142" spans="23:54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BB142" s="59"/>
    </row>
    <row r="143" spans="23:54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BB143" s="59"/>
    </row>
    <row r="144" spans="23:54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BB144" s="59"/>
    </row>
    <row r="145" spans="23:54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BB145" s="59"/>
    </row>
    <row r="146" spans="23:54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BB146" s="59"/>
    </row>
    <row r="147" spans="23:54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BB147" s="59"/>
    </row>
    <row r="148" spans="23:54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BB148" s="59"/>
    </row>
    <row r="149" spans="23:54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BB149" s="59"/>
    </row>
    <row r="150" spans="23:54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BB150" s="59"/>
    </row>
    <row r="151" spans="23:54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BB151" s="59"/>
    </row>
    <row r="152" spans="23:54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BB152" s="59"/>
    </row>
    <row r="153" spans="23:54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BB153" s="59"/>
    </row>
    <row r="154" spans="23:54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BB154" s="59"/>
    </row>
    <row r="155" spans="23:54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BB155" s="59"/>
    </row>
    <row r="156" spans="23:54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BB156" s="59"/>
    </row>
    <row r="157" spans="23:54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BB157" s="59"/>
    </row>
    <row r="158" spans="23:54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BB158" s="59"/>
    </row>
    <row r="159" spans="23:54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BB159" s="59"/>
    </row>
    <row r="160" spans="23:54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BB160" s="59"/>
    </row>
    <row r="161" spans="23:54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BB161" s="59"/>
    </row>
    <row r="162" spans="23:54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BB162" s="59"/>
    </row>
    <row r="163" spans="23:54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BB163" s="59"/>
    </row>
    <row r="164" spans="23:54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BB164" s="59"/>
    </row>
    <row r="165" spans="23:54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BB165" s="59"/>
    </row>
    <row r="166" spans="23:54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BB166" s="59"/>
    </row>
    <row r="167" spans="23:54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BB167" s="59"/>
    </row>
    <row r="168" spans="23:54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BB168" s="59"/>
    </row>
    <row r="169" spans="23:54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BB169" s="59"/>
    </row>
    <row r="170" spans="23:54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BB170" s="59"/>
    </row>
    <row r="171" spans="23:54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BB171" s="59"/>
    </row>
    <row r="172" spans="23:54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BB172" s="59"/>
    </row>
    <row r="173" spans="23:54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BB173" s="59"/>
    </row>
    <row r="174" spans="23:54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BB174" s="59"/>
    </row>
    <row r="175" spans="23:54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BB175" s="59"/>
    </row>
    <row r="176" spans="23:54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BB176" s="59"/>
    </row>
    <row r="177" spans="23:54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BB177" s="59"/>
    </row>
    <row r="178" spans="23:54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BB178" s="59"/>
    </row>
    <row r="179" spans="23:54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BB179" s="59"/>
    </row>
    <row r="180" spans="23:54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BB180" s="59"/>
    </row>
    <row r="181" spans="23:54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BB181" s="59"/>
    </row>
    <row r="182" spans="23:54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BB182" s="59"/>
    </row>
    <row r="183" spans="23:54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BB183" s="59"/>
    </row>
    <row r="184" spans="23:54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BB184" s="59"/>
    </row>
    <row r="185" spans="23:54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BB185" s="59"/>
    </row>
    <row r="186" spans="23:54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BB186" s="59"/>
    </row>
    <row r="187" spans="23:54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BB187" s="59"/>
    </row>
    <row r="188" spans="23:54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BB188" s="59"/>
    </row>
    <row r="189" spans="23:54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BB189" s="59"/>
    </row>
    <row r="190" spans="23:54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BB190" s="59"/>
    </row>
    <row r="191" spans="23:54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BB191" s="59"/>
    </row>
    <row r="192" spans="23:54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BB192" s="59"/>
    </row>
    <row r="193" spans="23:54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BB193" s="59"/>
    </row>
    <row r="194" spans="23:54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BB194" s="59"/>
    </row>
    <row r="195" spans="23:54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BB195" s="59"/>
    </row>
    <row r="196" spans="23:54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BB196" s="59"/>
    </row>
    <row r="197" spans="23:54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BB197" s="59"/>
    </row>
    <row r="198" spans="23:54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BB198" s="59"/>
    </row>
    <row r="199" spans="23:54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BB199" s="59"/>
    </row>
    <row r="200" spans="23:54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BB200" s="59"/>
    </row>
    <row r="201" spans="23:54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BB201" s="59"/>
    </row>
    <row r="202" spans="23:54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BB202" s="59"/>
    </row>
    <row r="203" spans="23:54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BB203" s="59"/>
    </row>
    <row r="204" spans="23:54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BB204" s="59"/>
    </row>
    <row r="205" spans="23:54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BB205" s="59"/>
    </row>
    <row r="206" spans="23:54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BB206" s="59"/>
    </row>
    <row r="207" spans="23:54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BB207" s="59"/>
    </row>
    <row r="208" spans="23:54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BB208" s="59"/>
    </row>
    <row r="209" spans="23:54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BB209" s="59"/>
    </row>
    <row r="210" spans="23:54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BB210" s="59"/>
    </row>
    <row r="211" spans="23:54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BB211" s="59"/>
    </row>
    <row r="212" spans="23:54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BB212" s="59"/>
    </row>
    <row r="213" spans="23:54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BB213" s="59"/>
    </row>
    <row r="214" spans="23:54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BB214" s="59"/>
    </row>
    <row r="215" spans="23:54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BB215" s="59"/>
    </row>
    <row r="216" spans="23:54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BB216" s="59"/>
    </row>
    <row r="217" spans="23:54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BB217" s="59"/>
    </row>
    <row r="218" spans="23:54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BB218" s="59"/>
    </row>
    <row r="219" spans="23:54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BB219" s="59"/>
    </row>
    <row r="220" spans="23:54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BB220" s="59"/>
    </row>
    <row r="221" spans="23:54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BB221" s="59"/>
    </row>
    <row r="222" spans="23:54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BB222" s="59"/>
    </row>
    <row r="223" spans="23:54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BB223" s="59"/>
    </row>
    <row r="224" spans="23:54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BB224" s="59"/>
    </row>
    <row r="225" spans="23:54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BB225" s="59"/>
    </row>
    <row r="226" spans="23:54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BB226" s="59"/>
    </row>
    <row r="227" spans="23:54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BB227" s="59"/>
    </row>
    <row r="228" spans="23:54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BB228" s="59"/>
    </row>
    <row r="229" spans="23:54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BB229" s="59"/>
    </row>
    <row r="230" spans="23:54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BB230" s="59"/>
    </row>
    <row r="231" spans="23:54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BB231" s="59"/>
    </row>
    <row r="232" spans="23:54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BB232" s="59"/>
    </row>
    <row r="233" spans="23:54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BB233" s="59"/>
    </row>
    <row r="234" spans="23:54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BB234" s="59"/>
    </row>
    <row r="235" spans="23:54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BB235" s="59"/>
    </row>
    <row r="236" spans="23:54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BB236" s="59"/>
    </row>
    <row r="237" spans="23:54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BB237" s="59"/>
    </row>
    <row r="238" spans="23:54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BB238" s="59"/>
    </row>
    <row r="239" spans="23:54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BB239" s="59"/>
    </row>
    <row r="240" spans="23:54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BB240" s="59"/>
    </row>
    <row r="241" spans="23:54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BB241" s="59"/>
    </row>
    <row r="242" spans="23:54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BB242" s="59"/>
    </row>
    <row r="243" spans="23:54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BB243" s="59"/>
    </row>
    <row r="244" spans="23:54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BB244" s="59"/>
    </row>
    <row r="245" spans="23:54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BB245" s="59"/>
    </row>
    <row r="246" spans="23:54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BB246" s="59"/>
    </row>
    <row r="247" spans="23:54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BB247" s="59"/>
    </row>
    <row r="248" spans="23:54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BB248" s="59"/>
    </row>
    <row r="249" spans="23:54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BB249" s="59"/>
    </row>
    <row r="250" spans="23:54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BB250" s="59"/>
    </row>
    <row r="251" spans="23:54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BB251" s="59"/>
    </row>
    <row r="252" spans="23:54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BB252" s="59"/>
    </row>
    <row r="253" spans="23:54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BB253" s="59"/>
    </row>
    <row r="254" spans="23:54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BB254" s="59"/>
    </row>
    <row r="255" spans="23:54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BB255" s="59"/>
    </row>
    <row r="256" spans="23:54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BB256" s="59"/>
    </row>
    <row r="257" spans="23:54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BB257" s="59"/>
    </row>
    <row r="258" spans="23:54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BB258" s="59"/>
    </row>
    <row r="259" spans="23:54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BB259" s="59"/>
    </row>
    <row r="260" spans="23:54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BB260" s="59"/>
    </row>
    <row r="261" spans="23:54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BB261" s="59"/>
    </row>
    <row r="262" spans="23:54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BB262" s="59"/>
    </row>
    <row r="263" spans="23:54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BB263" s="59"/>
    </row>
    <row r="264" spans="23:54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BB264" s="59"/>
    </row>
    <row r="265" spans="23:54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BB265" s="59"/>
    </row>
    <row r="266" spans="23:54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BB266" s="59"/>
    </row>
    <row r="267" spans="23:54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BB267" s="59"/>
    </row>
    <row r="268" spans="23:54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BB268" s="59"/>
    </row>
    <row r="269" spans="23:54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BB269" s="59"/>
    </row>
    <row r="270" spans="23:54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BB270" s="59"/>
    </row>
    <row r="271" spans="23:54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BB271" s="59"/>
    </row>
    <row r="272" spans="23:54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BB272" s="59"/>
    </row>
    <row r="273" spans="23:54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BB273" s="59"/>
    </row>
    <row r="274" spans="23:54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BB274" s="59"/>
    </row>
    <row r="275" spans="23:54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BB275" s="59"/>
    </row>
    <row r="276" spans="23:54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BB276" s="59"/>
    </row>
    <row r="277" spans="23:54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BB277" s="59"/>
    </row>
    <row r="278" spans="23:54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BB278" s="59"/>
    </row>
    <row r="279" spans="23:54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BB279" s="59"/>
    </row>
    <row r="280" spans="23:54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BB280" s="59"/>
    </row>
    <row r="281" spans="23:54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BB281" s="59"/>
    </row>
    <row r="282" spans="23:54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BB282" s="59"/>
    </row>
    <row r="283" spans="23:54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BB283" s="59"/>
    </row>
    <row r="284" spans="23:54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BB284" s="59"/>
    </row>
    <row r="285" spans="23:54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BB285" s="59"/>
    </row>
    <row r="286" spans="23:54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BB286" s="59"/>
    </row>
    <row r="287" spans="23:54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BB287" s="59"/>
    </row>
    <row r="288" spans="23:54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BB288" s="59"/>
    </row>
    <row r="289" spans="23:54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BB289" s="59"/>
    </row>
    <row r="290" spans="23:54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BB290" s="59"/>
    </row>
    <row r="291" spans="23:54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BB291" s="59"/>
    </row>
    <row r="292" spans="23:54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BB292" s="59"/>
    </row>
    <row r="293" spans="23:54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BB293" s="59"/>
    </row>
    <row r="294" spans="23:54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BB294" s="59"/>
    </row>
    <row r="295" spans="23:54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BB295" s="59"/>
    </row>
    <row r="296" spans="23:54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BB296" s="59"/>
    </row>
    <row r="297" spans="23:54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BB297" s="59"/>
    </row>
    <row r="298" spans="23:54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BB298" s="59"/>
    </row>
    <row r="299" spans="23:54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BB299" s="59"/>
    </row>
    <row r="300" spans="23:54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BB300" s="59"/>
    </row>
    <row r="301" spans="23:54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BB301" s="59"/>
    </row>
    <row r="302" spans="23:54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BB302" s="59"/>
    </row>
    <row r="303" spans="23:54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BB303" s="59"/>
    </row>
    <row r="304" spans="23:54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BB304" s="59"/>
    </row>
    <row r="305" spans="23:54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BB305" s="59"/>
    </row>
    <row r="306" spans="23:54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BB306" s="59"/>
    </row>
    <row r="307" spans="23:54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BB307" s="59"/>
    </row>
    <row r="308" spans="23:54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BB308" s="59"/>
    </row>
    <row r="309" spans="23:54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BB309" s="59"/>
    </row>
    <row r="310" spans="23:54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BB310" s="59"/>
    </row>
    <row r="311" spans="23:54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BB311" s="59"/>
    </row>
    <row r="312" spans="23:54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BB312" s="59"/>
    </row>
    <row r="313" spans="23:54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BB313" s="59"/>
    </row>
    <row r="314" spans="23:54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BB314" s="59"/>
    </row>
    <row r="315" spans="23:54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BB315" s="59"/>
    </row>
    <row r="316" spans="23:54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BB316" s="59"/>
    </row>
    <row r="317" spans="23:54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BB317" s="59"/>
    </row>
    <row r="318" spans="23:54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BB318" s="59"/>
    </row>
    <row r="319" spans="23:54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BB319" s="59"/>
    </row>
    <row r="320" spans="23:54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BB320" s="59"/>
    </row>
    <row r="321" spans="23:54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BB321" s="59"/>
    </row>
    <row r="322" spans="23:54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BB322" s="59"/>
    </row>
    <row r="323" spans="23:54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BB323" s="59"/>
    </row>
    <row r="324" spans="23:54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</row>
    <row r="325" spans="23:54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</row>
    <row r="326" spans="23:54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</row>
    <row r="327" spans="23:54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</row>
    <row r="328" spans="23:54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</row>
    <row r="329" spans="23:54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</row>
    <row r="330" spans="23:54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</row>
    <row r="331" spans="23:54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</row>
    <row r="332" spans="23:54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</row>
    <row r="333" spans="23:54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</row>
    <row r="334" spans="23:54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</row>
    <row r="335" spans="23:54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</row>
    <row r="336" spans="23:54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</row>
    <row r="337" spans="23:50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</row>
    <row r="338" spans="23:50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</row>
    <row r="339" spans="23:50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</row>
    <row r="340" spans="23:50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</row>
    <row r="341" spans="23:50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</row>
    <row r="342" spans="23:50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</row>
    <row r="343" spans="23:50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</row>
    <row r="344" spans="23:50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</row>
    <row r="345" spans="23:50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</row>
    <row r="346" spans="23:50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</row>
    <row r="347" spans="23:50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</row>
    <row r="348" spans="23:50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</row>
    <row r="349" spans="23:50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</row>
    <row r="350" spans="23:50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</row>
    <row r="351" spans="23:50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</row>
    <row r="352" spans="23:50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</row>
    <row r="353" spans="23:50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</row>
    <row r="354" spans="23:50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</row>
    <row r="355" spans="23:50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</row>
    <row r="356" spans="23:50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</row>
    <row r="357" spans="23:50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</row>
    <row r="358" spans="23:50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</row>
    <row r="359" spans="23:50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</row>
    <row r="360" spans="23:50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</row>
    <row r="361" spans="23:50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</row>
    <row r="362" spans="23:50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</row>
    <row r="363" spans="23:50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</row>
    <row r="364" spans="23:50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</row>
    <row r="365" spans="23:50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</row>
    <row r="366" spans="23:50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</row>
    <row r="367" spans="23:50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</row>
    <row r="368" spans="23:50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</row>
    <row r="369" spans="23:50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</row>
    <row r="370" spans="23:50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</row>
    <row r="371" spans="23:50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</row>
    <row r="372" spans="23:50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</row>
    <row r="373" spans="23:50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</row>
    <row r="374" spans="23:50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</row>
    <row r="375" spans="23:50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</row>
    <row r="376" spans="23:50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</row>
    <row r="377" spans="23:50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</row>
    <row r="378" spans="23:50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</row>
    <row r="379" spans="23:50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</row>
    <row r="380" spans="23:50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</row>
    <row r="381" spans="23:50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</row>
    <row r="382" spans="23:50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</row>
    <row r="383" spans="23:50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</row>
    <row r="384" spans="23:50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</row>
    <row r="385" spans="23:50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</row>
    <row r="386" spans="23:50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</row>
    <row r="387" spans="23:50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</row>
    <row r="388" spans="23:50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</row>
    <row r="389" spans="23:50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</row>
    <row r="390" spans="23:50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</row>
    <row r="391" spans="23:50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</row>
    <row r="392" spans="23:50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</row>
    <row r="393" spans="23:50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</row>
    <row r="394" spans="23:50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</row>
    <row r="395" spans="23:50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</row>
    <row r="396" spans="23:50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</row>
    <row r="397" spans="23:50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</row>
    <row r="398" spans="23:50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</row>
    <row r="399" spans="23:50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</row>
    <row r="400" spans="23:50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</row>
    <row r="401" spans="11:50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</row>
    <row r="402" spans="11:50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</row>
    <row r="403" spans="11:50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</row>
    <row r="404" spans="11:50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</row>
    <row r="405" spans="11:50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</row>
    <row r="406" spans="11:50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</row>
    <row r="407" spans="11:50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</row>
    <row r="408" spans="11:50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</row>
    <row r="409" spans="11:50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</row>
    <row r="410" spans="11:50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</row>
    <row r="411" spans="11:50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</row>
    <row r="412" spans="11:50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</row>
    <row r="413" spans="11:50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</row>
    <row r="414" spans="11:50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</row>
    <row r="415" spans="11:50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</row>
    <row r="416" spans="11:50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</row>
    <row r="417" spans="11:50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</row>
    <row r="418" spans="11:50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</row>
    <row r="419" spans="11:50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</row>
    <row r="420" spans="11:50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</row>
    <row r="421" spans="11:50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</row>
    <row r="422" spans="11:50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</row>
    <row r="423" spans="11:50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</row>
    <row r="424" spans="11:50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</row>
    <row r="425" spans="11:50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</row>
    <row r="426" spans="11:50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</row>
    <row r="427" spans="11:50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</row>
    <row r="428" spans="11:50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</row>
    <row r="429" spans="11:50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</row>
    <row r="430" spans="11:50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</row>
    <row r="431" spans="11:50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</row>
    <row r="432" spans="11:50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</row>
    <row r="433" spans="8:50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</row>
    <row r="434" spans="8:50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</row>
    <row r="435" spans="8:50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</row>
    <row r="436" spans="8:50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</row>
    <row r="437" spans="8:50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</row>
    <row r="438" spans="8:50" x14ac:dyDescent="0.3">
      <c r="H438" s="58"/>
      <c r="I438" s="58"/>
      <c r="J438" s="58"/>
    </row>
  </sheetData>
  <sheetProtection password="C1F5" sheet="1" formatCells="0" selectLockedCells="1" sort="0"/>
  <mergeCells count="11">
    <mergeCell ref="A7:B7"/>
    <mergeCell ref="B115:J115"/>
    <mergeCell ref="B116:J116"/>
    <mergeCell ref="W10:AX10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43" priority="2" operator="lessThan">
      <formula>2</formula>
    </cfRule>
  </conditionalFormatting>
  <conditionalFormatting sqref="I12:I111">
    <cfRule type="cellIs" dxfId="42" priority="1" operator="lessThan">
      <formula>10</formula>
    </cfRule>
  </conditionalFormatting>
  <conditionalFormatting sqref="J12:J111">
    <cfRule type="cellIs" dxfId="41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5" fitToHeight="0" orientation="landscape" r:id="rId1"/>
  <rowBreaks count="1" manualBreakCount="1">
    <brk id="88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2322DD25-5FBE-4ED7-AA42-80BFB0B3E77B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46082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Jahresübersicht!E11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8"/>
      <c r="X12" s="3"/>
      <c r="Y12" s="3"/>
      <c r="Z12" s="3"/>
      <c r="AA12" s="3"/>
      <c r="AB12" s="3"/>
      <c r="AC12" s="8"/>
      <c r="AD12" s="8"/>
      <c r="AE12" s="3"/>
      <c r="AF12" s="3"/>
      <c r="AG12" s="3"/>
      <c r="AH12" s="3"/>
      <c r="AI12" s="3"/>
      <c r="AJ12" s="8"/>
      <c r="AK12" s="8"/>
      <c r="AL12" s="3"/>
      <c r="AM12" s="3"/>
      <c r="AN12" s="3"/>
      <c r="AO12" s="3"/>
      <c r="AP12" s="3"/>
      <c r="AQ12" s="8"/>
      <c r="AR12" s="8"/>
      <c r="AS12" s="3"/>
      <c r="AT12" s="3"/>
      <c r="AU12" s="3"/>
      <c r="AV12" s="3"/>
      <c r="AW12" s="3"/>
      <c r="AX12" s="8"/>
      <c r="AY12" s="8"/>
      <c r="AZ12" s="3"/>
      <c r="BA12" s="5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8"/>
      <c r="X13" s="3"/>
      <c r="Y13" s="3"/>
      <c r="Z13" s="3"/>
      <c r="AA13" s="3"/>
      <c r="AB13" s="3"/>
      <c r="AC13" s="8"/>
      <c r="AD13" s="8"/>
      <c r="AE13" s="3"/>
      <c r="AF13" s="3"/>
      <c r="AG13" s="3"/>
      <c r="AH13" s="3"/>
      <c r="AI13" s="3"/>
      <c r="AJ13" s="8"/>
      <c r="AK13" s="8"/>
      <c r="AL13" s="3"/>
      <c r="AM13" s="3"/>
      <c r="AN13" s="3"/>
      <c r="AO13" s="3"/>
      <c r="AP13" s="3"/>
      <c r="AQ13" s="8"/>
      <c r="AR13" s="8"/>
      <c r="AS13" s="3"/>
      <c r="AT13" s="3"/>
      <c r="AU13" s="3"/>
      <c r="AV13" s="3"/>
      <c r="AW13" s="3"/>
      <c r="AX13" s="8"/>
      <c r="AY13" s="8"/>
      <c r="AZ13" s="3"/>
      <c r="BA13" s="5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8"/>
      <c r="X14" s="3"/>
      <c r="Y14" s="3"/>
      <c r="Z14" s="3"/>
      <c r="AA14" s="3"/>
      <c r="AB14" s="3"/>
      <c r="AC14" s="8"/>
      <c r="AD14" s="8"/>
      <c r="AE14" s="3"/>
      <c r="AF14" s="3"/>
      <c r="AG14" s="3"/>
      <c r="AH14" s="3"/>
      <c r="AI14" s="3"/>
      <c r="AJ14" s="8"/>
      <c r="AK14" s="8"/>
      <c r="AL14" s="3"/>
      <c r="AM14" s="3"/>
      <c r="AN14" s="3"/>
      <c r="AO14" s="3"/>
      <c r="AP14" s="3"/>
      <c r="AQ14" s="8"/>
      <c r="AR14" s="8"/>
      <c r="AS14" s="3"/>
      <c r="AT14" s="3"/>
      <c r="AU14" s="3"/>
      <c r="AV14" s="3"/>
      <c r="AW14" s="3"/>
      <c r="AX14" s="8"/>
      <c r="AY14" s="8"/>
      <c r="AZ14" s="3"/>
      <c r="BA14" s="5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8"/>
      <c r="X15" s="3"/>
      <c r="Y15" s="3"/>
      <c r="Z15" s="3"/>
      <c r="AA15" s="3"/>
      <c r="AB15" s="3"/>
      <c r="AC15" s="8"/>
      <c r="AD15" s="8"/>
      <c r="AE15" s="3"/>
      <c r="AF15" s="3"/>
      <c r="AG15" s="3"/>
      <c r="AH15" s="3"/>
      <c r="AI15" s="3"/>
      <c r="AJ15" s="8"/>
      <c r="AK15" s="8"/>
      <c r="AL15" s="3"/>
      <c r="AM15" s="3"/>
      <c r="AN15" s="3"/>
      <c r="AO15" s="3"/>
      <c r="AP15" s="3"/>
      <c r="AQ15" s="8"/>
      <c r="AR15" s="8"/>
      <c r="AS15" s="3"/>
      <c r="AT15" s="3"/>
      <c r="AU15" s="3"/>
      <c r="AV15" s="3"/>
      <c r="AW15" s="3"/>
      <c r="AX15" s="8"/>
      <c r="AY15" s="8"/>
      <c r="AZ15" s="3"/>
      <c r="BA15" s="5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97">
        <v>5</v>
      </c>
      <c r="B16" s="103"/>
      <c r="C16" s="104"/>
      <c r="D16" s="1"/>
      <c r="E16" s="105"/>
      <c r="F16" s="105"/>
      <c r="G16" s="100" t="str">
        <f t="shared" ref="G16:G73" si="7">IF(ISBLANK(E16),"",E16*10)</f>
        <v/>
      </c>
      <c r="H16" s="100" t="str">
        <f t="shared" ref="H16:H73" si="8">IF(ISBLANK(F16),"",F16*20)</f>
        <v/>
      </c>
      <c r="I16" s="101">
        <f t="shared" ref="I16:I73" si="9">SUM(G16,H16)</f>
        <v>0</v>
      </c>
      <c r="J16" s="100" t="str">
        <f t="shared" si="1"/>
        <v/>
      </c>
      <c r="K16" s="6" t="str">
        <f t="shared" ref="K16:K73" si="10">IF(M16=E16,"","X")</f>
        <v/>
      </c>
      <c r="L16" s="6" t="str">
        <f t="shared" ref="L16:L73" si="11">IF(N16=F16,"","X")</f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8"/>
      <c r="X16" s="3"/>
      <c r="Y16" s="3"/>
      <c r="Z16" s="3"/>
      <c r="AA16" s="3"/>
      <c r="AB16" s="3"/>
      <c r="AC16" s="8"/>
      <c r="AD16" s="8"/>
      <c r="AE16" s="3"/>
      <c r="AF16" s="3"/>
      <c r="AG16" s="3"/>
      <c r="AH16" s="3"/>
      <c r="AI16" s="3"/>
      <c r="AJ16" s="8"/>
      <c r="AK16" s="8"/>
      <c r="AL16" s="3"/>
      <c r="AM16" s="3"/>
      <c r="AN16" s="3"/>
      <c r="AO16" s="3"/>
      <c r="AP16" s="3"/>
      <c r="AQ16" s="8"/>
      <c r="AR16" s="8"/>
      <c r="AS16" s="3"/>
      <c r="AT16" s="3"/>
      <c r="AU16" s="3"/>
      <c r="AV16" s="3"/>
      <c r="AW16" s="3"/>
      <c r="AX16" s="8"/>
      <c r="AY16" s="8"/>
      <c r="AZ16" s="3"/>
      <c r="BA16" s="5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102">
        <v>6</v>
      </c>
      <c r="B17" s="103"/>
      <c r="C17" s="104"/>
      <c r="D17" s="1"/>
      <c r="E17" s="105"/>
      <c r="F17" s="105"/>
      <c r="G17" s="100" t="str">
        <f t="shared" si="7"/>
        <v/>
      </c>
      <c r="H17" s="100" t="str">
        <f t="shared" si="8"/>
        <v/>
      </c>
      <c r="I17" s="101">
        <f t="shared" si="9"/>
        <v>0</v>
      </c>
      <c r="J17" s="100" t="str">
        <f t="shared" si="1"/>
        <v/>
      </c>
      <c r="K17" s="6" t="str">
        <f t="shared" si="10"/>
        <v/>
      </c>
      <c r="L17" s="6" t="str">
        <f t="shared" si="11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8"/>
      <c r="X17" s="3"/>
      <c r="Y17" s="3"/>
      <c r="Z17" s="3"/>
      <c r="AA17" s="3"/>
      <c r="AB17" s="3"/>
      <c r="AC17" s="8"/>
      <c r="AD17" s="8"/>
      <c r="AE17" s="3"/>
      <c r="AF17" s="3"/>
      <c r="AG17" s="3"/>
      <c r="AH17" s="3"/>
      <c r="AI17" s="3"/>
      <c r="AJ17" s="8"/>
      <c r="AK17" s="8"/>
      <c r="AL17" s="3"/>
      <c r="AM17" s="3"/>
      <c r="AN17" s="3"/>
      <c r="AO17" s="3"/>
      <c r="AP17" s="3"/>
      <c r="AQ17" s="8"/>
      <c r="AR17" s="8"/>
      <c r="AS17" s="3"/>
      <c r="AT17" s="3"/>
      <c r="AU17" s="3"/>
      <c r="AV17" s="3"/>
      <c r="AW17" s="3"/>
      <c r="AX17" s="8"/>
      <c r="AY17" s="8"/>
      <c r="AZ17" s="3"/>
      <c r="BA17" s="5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97">
        <v>7</v>
      </c>
      <c r="B18" s="103"/>
      <c r="C18" s="104"/>
      <c r="D18" s="1"/>
      <c r="E18" s="105"/>
      <c r="F18" s="105"/>
      <c r="G18" s="100" t="str">
        <f t="shared" si="7"/>
        <v/>
      </c>
      <c r="H18" s="100" t="str">
        <f t="shared" si="8"/>
        <v/>
      </c>
      <c r="I18" s="101">
        <f t="shared" si="9"/>
        <v>0</v>
      </c>
      <c r="J18" s="100" t="str">
        <f t="shared" si="1"/>
        <v/>
      </c>
      <c r="K18" s="6" t="str">
        <f t="shared" si="10"/>
        <v/>
      </c>
      <c r="L18" s="6" t="str">
        <f t="shared" si="11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8"/>
      <c r="X18" s="3"/>
      <c r="Y18" s="3"/>
      <c r="Z18" s="3"/>
      <c r="AA18" s="3"/>
      <c r="AB18" s="3"/>
      <c r="AC18" s="8"/>
      <c r="AD18" s="8"/>
      <c r="AE18" s="3"/>
      <c r="AF18" s="3"/>
      <c r="AG18" s="3"/>
      <c r="AH18" s="3"/>
      <c r="AI18" s="3"/>
      <c r="AJ18" s="8"/>
      <c r="AK18" s="8"/>
      <c r="AL18" s="3"/>
      <c r="AM18" s="3"/>
      <c r="AN18" s="3"/>
      <c r="AO18" s="3"/>
      <c r="AP18" s="3"/>
      <c r="AQ18" s="8"/>
      <c r="AR18" s="8"/>
      <c r="AS18" s="3"/>
      <c r="AT18" s="3"/>
      <c r="AU18" s="3"/>
      <c r="AV18" s="3"/>
      <c r="AW18" s="3"/>
      <c r="AX18" s="8"/>
      <c r="AY18" s="8"/>
      <c r="AZ18" s="3"/>
      <c r="BA18" s="5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7"/>
        <v/>
      </c>
      <c r="H19" s="100" t="str">
        <f t="shared" si="8"/>
        <v/>
      </c>
      <c r="I19" s="101">
        <f t="shared" si="9"/>
        <v>0</v>
      </c>
      <c r="J19" s="100" t="str">
        <f t="shared" si="1"/>
        <v/>
      </c>
      <c r="K19" s="6" t="str">
        <f t="shared" si="10"/>
        <v/>
      </c>
      <c r="L19" s="6" t="str">
        <f t="shared" si="11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8"/>
      <c r="X19" s="3"/>
      <c r="Y19" s="3"/>
      <c r="Z19" s="3"/>
      <c r="AA19" s="3"/>
      <c r="AB19" s="3"/>
      <c r="AC19" s="8"/>
      <c r="AD19" s="8"/>
      <c r="AE19" s="3"/>
      <c r="AF19" s="3"/>
      <c r="AG19" s="3"/>
      <c r="AH19" s="3"/>
      <c r="AI19" s="3"/>
      <c r="AJ19" s="8"/>
      <c r="AK19" s="8"/>
      <c r="AL19" s="3"/>
      <c r="AM19" s="3"/>
      <c r="AN19" s="3"/>
      <c r="AO19" s="3"/>
      <c r="AP19" s="3"/>
      <c r="AQ19" s="8"/>
      <c r="AR19" s="8"/>
      <c r="AS19" s="3"/>
      <c r="AT19" s="3"/>
      <c r="AU19" s="3"/>
      <c r="AV19" s="3"/>
      <c r="AW19" s="3"/>
      <c r="AX19" s="8"/>
      <c r="AY19" s="8"/>
      <c r="AZ19" s="3"/>
      <c r="BA19" s="5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7"/>
        <v/>
      </c>
      <c r="H20" s="100" t="str">
        <f t="shared" si="8"/>
        <v/>
      </c>
      <c r="I20" s="101">
        <f t="shared" si="9"/>
        <v>0</v>
      </c>
      <c r="J20" s="100" t="str">
        <f t="shared" si="1"/>
        <v/>
      </c>
      <c r="K20" s="6" t="str">
        <f t="shared" si="10"/>
        <v/>
      </c>
      <c r="L20" s="6" t="str">
        <f t="shared" si="11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8"/>
      <c r="X20" s="3"/>
      <c r="Y20" s="3"/>
      <c r="Z20" s="3"/>
      <c r="AA20" s="3"/>
      <c r="AB20" s="3"/>
      <c r="AC20" s="8"/>
      <c r="AD20" s="8"/>
      <c r="AE20" s="3"/>
      <c r="AF20" s="3"/>
      <c r="AG20" s="3"/>
      <c r="AH20" s="3"/>
      <c r="AI20" s="3"/>
      <c r="AJ20" s="8"/>
      <c r="AK20" s="8"/>
      <c r="AL20" s="3"/>
      <c r="AM20" s="3"/>
      <c r="AN20" s="3"/>
      <c r="AO20" s="3"/>
      <c r="AP20" s="3"/>
      <c r="AQ20" s="8"/>
      <c r="AR20" s="8"/>
      <c r="AS20" s="3"/>
      <c r="AT20" s="3"/>
      <c r="AU20" s="3"/>
      <c r="AV20" s="3"/>
      <c r="AW20" s="3"/>
      <c r="AX20" s="8"/>
      <c r="AY20" s="8"/>
      <c r="AZ20" s="3"/>
      <c r="BA20" s="5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7"/>
        <v/>
      </c>
      <c r="H21" s="100" t="str">
        <f t="shared" si="8"/>
        <v/>
      </c>
      <c r="I21" s="101">
        <f t="shared" si="9"/>
        <v>0</v>
      </c>
      <c r="J21" s="100" t="str">
        <f t="shared" si="1"/>
        <v/>
      </c>
      <c r="K21" s="6" t="str">
        <f t="shared" si="10"/>
        <v/>
      </c>
      <c r="L21" s="6" t="str">
        <f t="shared" si="11"/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8"/>
      <c r="X21" s="3"/>
      <c r="Y21" s="3"/>
      <c r="Z21" s="3"/>
      <c r="AA21" s="3"/>
      <c r="AB21" s="3"/>
      <c r="AC21" s="8"/>
      <c r="AD21" s="8"/>
      <c r="AE21" s="3"/>
      <c r="AF21" s="3"/>
      <c r="AG21" s="3"/>
      <c r="AH21" s="3"/>
      <c r="AI21" s="3"/>
      <c r="AJ21" s="8"/>
      <c r="AK21" s="8"/>
      <c r="AL21" s="3"/>
      <c r="AM21" s="3"/>
      <c r="AN21" s="3"/>
      <c r="AO21" s="3"/>
      <c r="AP21" s="3"/>
      <c r="AQ21" s="8"/>
      <c r="AR21" s="8"/>
      <c r="AS21" s="3"/>
      <c r="AT21" s="3"/>
      <c r="AU21" s="3"/>
      <c r="AV21" s="3"/>
      <c r="AW21" s="3"/>
      <c r="AX21" s="8"/>
      <c r="AY21" s="8"/>
      <c r="AZ21" s="3"/>
      <c r="BA21" s="5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97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8"/>
      <c r="X22" s="3"/>
      <c r="Y22" s="3"/>
      <c r="Z22" s="3"/>
      <c r="AA22" s="3"/>
      <c r="AB22" s="3"/>
      <c r="AC22" s="8"/>
      <c r="AD22" s="8"/>
      <c r="AE22" s="3"/>
      <c r="AF22" s="3"/>
      <c r="AG22" s="3"/>
      <c r="AH22" s="3"/>
      <c r="AI22" s="3"/>
      <c r="AJ22" s="8"/>
      <c r="AK22" s="8"/>
      <c r="AL22" s="3"/>
      <c r="AM22" s="3"/>
      <c r="AN22" s="3"/>
      <c r="AO22" s="3"/>
      <c r="AP22" s="3"/>
      <c r="AQ22" s="8"/>
      <c r="AR22" s="8"/>
      <c r="AS22" s="3"/>
      <c r="AT22" s="3"/>
      <c r="AU22" s="3"/>
      <c r="AV22" s="3"/>
      <c r="AW22" s="3"/>
      <c r="AX22" s="8"/>
      <c r="AY22" s="8"/>
      <c r="AZ22" s="3"/>
      <c r="BA22" s="5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8"/>
      <c r="X23" s="3"/>
      <c r="Y23" s="3"/>
      <c r="Z23" s="3"/>
      <c r="AA23" s="3"/>
      <c r="AB23" s="3"/>
      <c r="AC23" s="8"/>
      <c r="AD23" s="8"/>
      <c r="AE23" s="3"/>
      <c r="AF23" s="3"/>
      <c r="AG23" s="3"/>
      <c r="AH23" s="3"/>
      <c r="AI23" s="3"/>
      <c r="AJ23" s="8"/>
      <c r="AK23" s="8"/>
      <c r="AL23" s="3"/>
      <c r="AM23" s="3"/>
      <c r="AN23" s="3"/>
      <c r="AO23" s="3"/>
      <c r="AP23" s="3"/>
      <c r="AQ23" s="8"/>
      <c r="AR23" s="8"/>
      <c r="AS23" s="3"/>
      <c r="AT23" s="3"/>
      <c r="AU23" s="3"/>
      <c r="AV23" s="3"/>
      <c r="AW23" s="3"/>
      <c r="AX23" s="8"/>
      <c r="AY23" s="8"/>
      <c r="AZ23" s="3"/>
      <c r="BA23" s="5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97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8"/>
      <c r="X24" s="3"/>
      <c r="Y24" s="3"/>
      <c r="Z24" s="3"/>
      <c r="AA24" s="3"/>
      <c r="AB24" s="3"/>
      <c r="AC24" s="8"/>
      <c r="AD24" s="8"/>
      <c r="AE24" s="3"/>
      <c r="AF24" s="3"/>
      <c r="AG24" s="3"/>
      <c r="AH24" s="3"/>
      <c r="AI24" s="3"/>
      <c r="AJ24" s="8"/>
      <c r="AK24" s="8"/>
      <c r="AL24" s="3"/>
      <c r="AM24" s="3"/>
      <c r="AN24" s="3"/>
      <c r="AO24" s="3"/>
      <c r="AP24" s="3"/>
      <c r="AQ24" s="8"/>
      <c r="AR24" s="8"/>
      <c r="AS24" s="3"/>
      <c r="AT24" s="3"/>
      <c r="AU24" s="3"/>
      <c r="AV24" s="3"/>
      <c r="AW24" s="3"/>
      <c r="AX24" s="8"/>
      <c r="AY24" s="8"/>
      <c r="AZ24" s="3"/>
      <c r="BA24" s="5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8"/>
      <c r="X25" s="3"/>
      <c r="Y25" s="3"/>
      <c r="Z25" s="3"/>
      <c r="AA25" s="3"/>
      <c r="AB25" s="3"/>
      <c r="AC25" s="8"/>
      <c r="AD25" s="8"/>
      <c r="AE25" s="3"/>
      <c r="AF25" s="3"/>
      <c r="AG25" s="3"/>
      <c r="AH25" s="3"/>
      <c r="AI25" s="3"/>
      <c r="AJ25" s="8"/>
      <c r="AK25" s="8"/>
      <c r="AL25" s="3"/>
      <c r="AM25" s="3"/>
      <c r="AN25" s="3"/>
      <c r="AO25" s="3"/>
      <c r="AP25" s="3"/>
      <c r="AQ25" s="8"/>
      <c r="AR25" s="8"/>
      <c r="AS25" s="3"/>
      <c r="AT25" s="3"/>
      <c r="AU25" s="3"/>
      <c r="AV25" s="3"/>
      <c r="AW25" s="3"/>
      <c r="AX25" s="8"/>
      <c r="AY25" s="8"/>
      <c r="AZ25" s="3"/>
      <c r="BA25" s="5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8"/>
      <c r="X26" s="3"/>
      <c r="Y26" s="3"/>
      <c r="Z26" s="3"/>
      <c r="AA26" s="3"/>
      <c r="AB26" s="3"/>
      <c r="AC26" s="8"/>
      <c r="AD26" s="8"/>
      <c r="AE26" s="3"/>
      <c r="AF26" s="3"/>
      <c r="AG26" s="3"/>
      <c r="AH26" s="3"/>
      <c r="AI26" s="3"/>
      <c r="AJ26" s="8"/>
      <c r="AK26" s="8"/>
      <c r="AL26" s="3"/>
      <c r="AM26" s="3"/>
      <c r="AN26" s="3"/>
      <c r="AO26" s="3"/>
      <c r="AP26" s="3"/>
      <c r="AQ26" s="8"/>
      <c r="AR26" s="8"/>
      <c r="AS26" s="3"/>
      <c r="AT26" s="3"/>
      <c r="AU26" s="3"/>
      <c r="AV26" s="3"/>
      <c r="AW26" s="3"/>
      <c r="AX26" s="8"/>
      <c r="AY26" s="8"/>
      <c r="AZ26" s="3"/>
      <c r="BA26" s="5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8"/>
      <c r="X27" s="3"/>
      <c r="Y27" s="3"/>
      <c r="Z27" s="3"/>
      <c r="AA27" s="3"/>
      <c r="AB27" s="3"/>
      <c r="AC27" s="8"/>
      <c r="AD27" s="8"/>
      <c r="AE27" s="3"/>
      <c r="AF27" s="3"/>
      <c r="AG27" s="3"/>
      <c r="AH27" s="3"/>
      <c r="AI27" s="3"/>
      <c r="AJ27" s="8"/>
      <c r="AK27" s="8"/>
      <c r="AL27" s="3"/>
      <c r="AM27" s="3"/>
      <c r="AN27" s="3"/>
      <c r="AO27" s="3"/>
      <c r="AP27" s="3"/>
      <c r="AQ27" s="8"/>
      <c r="AR27" s="8"/>
      <c r="AS27" s="3"/>
      <c r="AT27" s="3"/>
      <c r="AU27" s="3"/>
      <c r="AV27" s="3"/>
      <c r="AW27" s="3"/>
      <c r="AX27" s="8"/>
      <c r="AY27" s="8"/>
      <c r="AZ27" s="3"/>
      <c r="BA27" s="5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97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8"/>
      <c r="X28" s="3"/>
      <c r="Y28" s="3"/>
      <c r="Z28" s="3"/>
      <c r="AA28" s="3"/>
      <c r="AB28" s="3"/>
      <c r="AC28" s="8"/>
      <c r="AD28" s="8"/>
      <c r="AE28" s="3"/>
      <c r="AF28" s="3"/>
      <c r="AG28" s="3"/>
      <c r="AH28" s="3"/>
      <c r="AI28" s="3"/>
      <c r="AJ28" s="8"/>
      <c r="AK28" s="8"/>
      <c r="AL28" s="3"/>
      <c r="AM28" s="3"/>
      <c r="AN28" s="3"/>
      <c r="AO28" s="3"/>
      <c r="AP28" s="3"/>
      <c r="AQ28" s="8"/>
      <c r="AR28" s="8"/>
      <c r="AS28" s="3"/>
      <c r="AT28" s="3"/>
      <c r="AU28" s="3"/>
      <c r="AV28" s="3"/>
      <c r="AW28" s="3"/>
      <c r="AX28" s="8"/>
      <c r="AY28" s="8"/>
      <c r="AZ28" s="3"/>
      <c r="BA28" s="5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8"/>
      <c r="X29" s="3"/>
      <c r="Y29" s="3"/>
      <c r="Z29" s="3"/>
      <c r="AA29" s="3"/>
      <c r="AB29" s="3"/>
      <c r="AC29" s="8"/>
      <c r="AD29" s="8"/>
      <c r="AE29" s="3"/>
      <c r="AF29" s="3"/>
      <c r="AG29" s="3"/>
      <c r="AH29" s="3"/>
      <c r="AI29" s="3"/>
      <c r="AJ29" s="8"/>
      <c r="AK29" s="8"/>
      <c r="AL29" s="3"/>
      <c r="AM29" s="3"/>
      <c r="AN29" s="3"/>
      <c r="AO29" s="3"/>
      <c r="AP29" s="3"/>
      <c r="AQ29" s="8"/>
      <c r="AR29" s="8"/>
      <c r="AS29" s="3"/>
      <c r="AT29" s="3"/>
      <c r="AU29" s="3"/>
      <c r="AV29" s="3"/>
      <c r="AW29" s="3"/>
      <c r="AX29" s="8"/>
      <c r="AY29" s="8"/>
      <c r="AZ29" s="3"/>
      <c r="BA29" s="5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8"/>
      <c r="X30" s="3"/>
      <c r="Y30" s="3"/>
      <c r="Z30" s="3"/>
      <c r="AA30" s="3"/>
      <c r="AB30" s="3"/>
      <c r="AC30" s="8"/>
      <c r="AD30" s="8"/>
      <c r="AE30" s="3"/>
      <c r="AF30" s="3"/>
      <c r="AG30" s="3"/>
      <c r="AH30" s="3"/>
      <c r="AI30" s="3"/>
      <c r="AJ30" s="8"/>
      <c r="AK30" s="8"/>
      <c r="AL30" s="3"/>
      <c r="AM30" s="3"/>
      <c r="AN30" s="3"/>
      <c r="AO30" s="3"/>
      <c r="AP30" s="3"/>
      <c r="AQ30" s="8"/>
      <c r="AR30" s="8"/>
      <c r="AS30" s="3"/>
      <c r="AT30" s="3"/>
      <c r="AU30" s="3"/>
      <c r="AV30" s="3"/>
      <c r="AW30" s="3"/>
      <c r="AX30" s="8"/>
      <c r="AY30" s="8"/>
      <c r="AZ30" s="3"/>
      <c r="BA30" s="5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8"/>
      <c r="X31" s="3"/>
      <c r="Y31" s="3"/>
      <c r="Z31" s="3"/>
      <c r="AA31" s="3"/>
      <c r="AB31" s="3"/>
      <c r="AC31" s="8"/>
      <c r="AD31" s="8"/>
      <c r="AE31" s="3"/>
      <c r="AF31" s="3"/>
      <c r="AG31" s="3"/>
      <c r="AH31" s="3"/>
      <c r="AI31" s="3"/>
      <c r="AJ31" s="8"/>
      <c r="AK31" s="8"/>
      <c r="AL31" s="3"/>
      <c r="AM31" s="3"/>
      <c r="AN31" s="3"/>
      <c r="AO31" s="3"/>
      <c r="AP31" s="3"/>
      <c r="AQ31" s="8"/>
      <c r="AR31" s="8"/>
      <c r="AS31" s="3"/>
      <c r="AT31" s="3"/>
      <c r="AU31" s="3"/>
      <c r="AV31" s="3"/>
      <c r="AW31" s="3"/>
      <c r="AX31" s="8"/>
      <c r="AY31" s="8"/>
      <c r="AZ31" s="3"/>
      <c r="BA31" s="5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8"/>
      <c r="X32" s="3"/>
      <c r="Y32" s="3"/>
      <c r="Z32" s="3"/>
      <c r="AA32" s="3"/>
      <c r="AB32" s="3"/>
      <c r="AC32" s="8"/>
      <c r="AD32" s="8"/>
      <c r="AE32" s="3"/>
      <c r="AF32" s="3"/>
      <c r="AG32" s="3"/>
      <c r="AH32" s="3"/>
      <c r="AI32" s="3"/>
      <c r="AJ32" s="8"/>
      <c r="AK32" s="8"/>
      <c r="AL32" s="3"/>
      <c r="AM32" s="3"/>
      <c r="AN32" s="3"/>
      <c r="AO32" s="3"/>
      <c r="AP32" s="3"/>
      <c r="AQ32" s="8"/>
      <c r="AR32" s="8"/>
      <c r="AS32" s="3"/>
      <c r="AT32" s="3"/>
      <c r="AU32" s="3"/>
      <c r="AV32" s="3"/>
      <c r="AW32" s="3"/>
      <c r="AX32" s="8"/>
      <c r="AY32" s="8"/>
      <c r="AZ32" s="3"/>
      <c r="BA32" s="5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8"/>
      <c r="X33" s="3"/>
      <c r="Y33" s="3"/>
      <c r="Z33" s="3"/>
      <c r="AA33" s="3"/>
      <c r="AB33" s="3"/>
      <c r="AC33" s="8"/>
      <c r="AD33" s="8"/>
      <c r="AE33" s="3"/>
      <c r="AF33" s="3"/>
      <c r="AG33" s="3"/>
      <c r="AH33" s="3"/>
      <c r="AI33" s="3"/>
      <c r="AJ33" s="8"/>
      <c r="AK33" s="8"/>
      <c r="AL33" s="3"/>
      <c r="AM33" s="3"/>
      <c r="AN33" s="3"/>
      <c r="AO33" s="3"/>
      <c r="AP33" s="3"/>
      <c r="AQ33" s="8"/>
      <c r="AR33" s="8"/>
      <c r="AS33" s="3"/>
      <c r="AT33" s="3"/>
      <c r="AU33" s="3"/>
      <c r="AV33" s="3"/>
      <c r="AW33" s="3"/>
      <c r="AX33" s="8"/>
      <c r="AY33" s="8"/>
      <c r="AZ33" s="3"/>
      <c r="BA33" s="5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97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8"/>
      <c r="X34" s="3"/>
      <c r="Y34" s="3"/>
      <c r="Z34" s="3"/>
      <c r="AA34" s="3"/>
      <c r="AB34" s="3"/>
      <c r="AC34" s="8"/>
      <c r="AD34" s="8"/>
      <c r="AE34" s="3"/>
      <c r="AF34" s="3"/>
      <c r="AG34" s="3"/>
      <c r="AH34" s="3"/>
      <c r="AI34" s="3"/>
      <c r="AJ34" s="8"/>
      <c r="AK34" s="8"/>
      <c r="AL34" s="3"/>
      <c r="AM34" s="3"/>
      <c r="AN34" s="3"/>
      <c r="AO34" s="3"/>
      <c r="AP34" s="3"/>
      <c r="AQ34" s="8"/>
      <c r="AR34" s="8"/>
      <c r="AS34" s="3"/>
      <c r="AT34" s="3"/>
      <c r="AU34" s="3"/>
      <c r="AV34" s="3"/>
      <c r="AW34" s="3"/>
      <c r="AX34" s="8"/>
      <c r="AY34" s="8"/>
      <c r="AZ34" s="3"/>
      <c r="BA34" s="5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8"/>
      <c r="X35" s="3"/>
      <c r="Y35" s="3"/>
      <c r="Z35" s="3"/>
      <c r="AA35" s="3"/>
      <c r="AB35" s="3"/>
      <c r="AC35" s="8"/>
      <c r="AD35" s="8"/>
      <c r="AE35" s="3"/>
      <c r="AF35" s="3"/>
      <c r="AG35" s="3"/>
      <c r="AH35" s="3"/>
      <c r="AI35" s="3"/>
      <c r="AJ35" s="8"/>
      <c r="AK35" s="8"/>
      <c r="AL35" s="3"/>
      <c r="AM35" s="3"/>
      <c r="AN35" s="3"/>
      <c r="AO35" s="3"/>
      <c r="AP35" s="3"/>
      <c r="AQ35" s="8"/>
      <c r="AR35" s="8"/>
      <c r="AS35" s="3"/>
      <c r="AT35" s="3"/>
      <c r="AU35" s="3"/>
      <c r="AV35" s="3"/>
      <c r="AW35" s="3"/>
      <c r="AX35" s="8"/>
      <c r="AY35" s="8"/>
      <c r="AZ35" s="3"/>
      <c r="BA35" s="5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97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8"/>
      <c r="X36" s="3"/>
      <c r="Y36" s="3"/>
      <c r="Z36" s="3"/>
      <c r="AA36" s="3"/>
      <c r="AB36" s="3"/>
      <c r="AC36" s="8"/>
      <c r="AD36" s="8"/>
      <c r="AE36" s="3"/>
      <c r="AF36" s="3"/>
      <c r="AG36" s="3"/>
      <c r="AH36" s="3"/>
      <c r="AI36" s="3"/>
      <c r="AJ36" s="8"/>
      <c r="AK36" s="8"/>
      <c r="AL36" s="3"/>
      <c r="AM36" s="3"/>
      <c r="AN36" s="3"/>
      <c r="AO36" s="3"/>
      <c r="AP36" s="3"/>
      <c r="AQ36" s="8"/>
      <c r="AR36" s="8"/>
      <c r="AS36" s="3"/>
      <c r="AT36" s="3"/>
      <c r="AU36" s="3"/>
      <c r="AV36" s="3"/>
      <c r="AW36" s="3"/>
      <c r="AX36" s="8"/>
      <c r="AY36" s="8"/>
      <c r="AZ36" s="3"/>
      <c r="BA36" s="5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8"/>
      <c r="X37" s="3"/>
      <c r="Y37" s="3"/>
      <c r="Z37" s="3"/>
      <c r="AA37" s="3"/>
      <c r="AB37" s="3"/>
      <c r="AC37" s="8"/>
      <c r="AD37" s="8"/>
      <c r="AE37" s="3"/>
      <c r="AF37" s="3"/>
      <c r="AG37" s="3"/>
      <c r="AH37" s="3"/>
      <c r="AI37" s="3"/>
      <c r="AJ37" s="8"/>
      <c r="AK37" s="8"/>
      <c r="AL37" s="3"/>
      <c r="AM37" s="3"/>
      <c r="AN37" s="3"/>
      <c r="AO37" s="3"/>
      <c r="AP37" s="3"/>
      <c r="AQ37" s="8"/>
      <c r="AR37" s="8"/>
      <c r="AS37" s="3"/>
      <c r="AT37" s="3"/>
      <c r="AU37" s="3"/>
      <c r="AV37" s="3"/>
      <c r="AW37" s="3"/>
      <c r="AX37" s="8"/>
      <c r="AY37" s="8"/>
      <c r="AZ37" s="3"/>
      <c r="BA37" s="5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8"/>
      <c r="X38" s="3"/>
      <c r="Y38" s="3"/>
      <c r="Z38" s="3"/>
      <c r="AA38" s="3"/>
      <c r="AB38" s="3"/>
      <c r="AC38" s="8"/>
      <c r="AD38" s="8"/>
      <c r="AE38" s="3"/>
      <c r="AF38" s="3"/>
      <c r="AG38" s="3"/>
      <c r="AH38" s="3"/>
      <c r="AI38" s="3"/>
      <c r="AJ38" s="8"/>
      <c r="AK38" s="8"/>
      <c r="AL38" s="3"/>
      <c r="AM38" s="3"/>
      <c r="AN38" s="3"/>
      <c r="AO38" s="3"/>
      <c r="AP38" s="3"/>
      <c r="AQ38" s="8"/>
      <c r="AR38" s="8"/>
      <c r="AS38" s="3"/>
      <c r="AT38" s="3"/>
      <c r="AU38" s="3"/>
      <c r="AV38" s="3"/>
      <c r="AW38" s="3"/>
      <c r="AX38" s="8"/>
      <c r="AY38" s="8"/>
      <c r="AZ38" s="3"/>
      <c r="BA38" s="5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8"/>
      <c r="X39" s="3"/>
      <c r="Y39" s="3"/>
      <c r="Z39" s="3"/>
      <c r="AA39" s="3"/>
      <c r="AB39" s="3"/>
      <c r="AC39" s="8"/>
      <c r="AD39" s="8"/>
      <c r="AE39" s="3"/>
      <c r="AF39" s="3"/>
      <c r="AG39" s="3"/>
      <c r="AH39" s="3"/>
      <c r="AI39" s="3"/>
      <c r="AJ39" s="8"/>
      <c r="AK39" s="8"/>
      <c r="AL39" s="3"/>
      <c r="AM39" s="3"/>
      <c r="AN39" s="3"/>
      <c r="AO39" s="3"/>
      <c r="AP39" s="3"/>
      <c r="AQ39" s="8"/>
      <c r="AR39" s="8"/>
      <c r="AS39" s="3"/>
      <c r="AT39" s="3"/>
      <c r="AU39" s="3"/>
      <c r="AV39" s="3"/>
      <c r="AW39" s="3"/>
      <c r="AX39" s="8"/>
      <c r="AY39" s="8"/>
      <c r="AZ39" s="3"/>
      <c r="BA39" s="5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97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8"/>
      <c r="X40" s="3"/>
      <c r="Y40" s="3"/>
      <c r="Z40" s="3"/>
      <c r="AA40" s="3"/>
      <c r="AB40" s="3"/>
      <c r="AC40" s="8"/>
      <c r="AD40" s="8"/>
      <c r="AE40" s="3"/>
      <c r="AF40" s="3"/>
      <c r="AG40" s="3"/>
      <c r="AH40" s="3"/>
      <c r="AI40" s="3"/>
      <c r="AJ40" s="8"/>
      <c r="AK40" s="8"/>
      <c r="AL40" s="3"/>
      <c r="AM40" s="3"/>
      <c r="AN40" s="3"/>
      <c r="AO40" s="3"/>
      <c r="AP40" s="3"/>
      <c r="AQ40" s="8"/>
      <c r="AR40" s="8"/>
      <c r="AS40" s="3"/>
      <c r="AT40" s="3"/>
      <c r="AU40" s="3"/>
      <c r="AV40" s="3"/>
      <c r="AW40" s="3"/>
      <c r="AX40" s="8"/>
      <c r="AY40" s="8"/>
      <c r="AZ40" s="3"/>
      <c r="BA40" s="5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8"/>
      <c r="X41" s="3"/>
      <c r="Y41" s="3"/>
      <c r="Z41" s="3"/>
      <c r="AA41" s="3"/>
      <c r="AB41" s="3"/>
      <c r="AC41" s="8"/>
      <c r="AD41" s="8"/>
      <c r="AE41" s="3"/>
      <c r="AF41" s="3"/>
      <c r="AG41" s="3"/>
      <c r="AH41" s="3"/>
      <c r="AI41" s="3"/>
      <c r="AJ41" s="8"/>
      <c r="AK41" s="8"/>
      <c r="AL41" s="3"/>
      <c r="AM41" s="3"/>
      <c r="AN41" s="3"/>
      <c r="AO41" s="3"/>
      <c r="AP41" s="3"/>
      <c r="AQ41" s="8"/>
      <c r="AR41" s="8"/>
      <c r="AS41" s="3"/>
      <c r="AT41" s="3"/>
      <c r="AU41" s="3"/>
      <c r="AV41" s="3"/>
      <c r="AW41" s="3"/>
      <c r="AX41" s="8"/>
      <c r="AY41" s="8"/>
      <c r="AZ41" s="3"/>
      <c r="BA41" s="5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97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8"/>
      <c r="X42" s="3"/>
      <c r="Y42" s="3"/>
      <c r="Z42" s="3"/>
      <c r="AA42" s="3"/>
      <c r="AB42" s="3"/>
      <c r="AC42" s="8"/>
      <c r="AD42" s="8"/>
      <c r="AE42" s="3"/>
      <c r="AF42" s="3"/>
      <c r="AG42" s="3"/>
      <c r="AH42" s="3"/>
      <c r="AI42" s="3"/>
      <c r="AJ42" s="8"/>
      <c r="AK42" s="8"/>
      <c r="AL42" s="3"/>
      <c r="AM42" s="3"/>
      <c r="AN42" s="3"/>
      <c r="AO42" s="3"/>
      <c r="AP42" s="3"/>
      <c r="AQ42" s="8"/>
      <c r="AR42" s="8"/>
      <c r="AS42" s="3"/>
      <c r="AT42" s="3"/>
      <c r="AU42" s="3"/>
      <c r="AV42" s="3"/>
      <c r="AW42" s="3"/>
      <c r="AX42" s="8"/>
      <c r="AY42" s="8"/>
      <c r="AZ42" s="3"/>
      <c r="BA42" s="5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8"/>
      <c r="X43" s="3"/>
      <c r="Y43" s="3"/>
      <c r="Z43" s="3"/>
      <c r="AA43" s="3"/>
      <c r="AB43" s="3"/>
      <c r="AC43" s="8"/>
      <c r="AD43" s="8"/>
      <c r="AE43" s="3"/>
      <c r="AF43" s="3"/>
      <c r="AG43" s="3"/>
      <c r="AH43" s="3"/>
      <c r="AI43" s="3"/>
      <c r="AJ43" s="8"/>
      <c r="AK43" s="8"/>
      <c r="AL43" s="3"/>
      <c r="AM43" s="3"/>
      <c r="AN43" s="3"/>
      <c r="AO43" s="3"/>
      <c r="AP43" s="3"/>
      <c r="AQ43" s="8"/>
      <c r="AR43" s="8"/>
      <c r="AS43" s="3"/>
      <c r="AT43" s="3"/>
      <c r="AU43" s="3"/>
      <c r="AV43" s="3"/>
      <c r="AW43" s="3"/>
      <c r="AX43" s="8"/>
      <c r="AY43" s="8"/>
      <c r="AZ43" s="3"/>
      <c r="BA43" s="5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102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8"/>
      <c r="X44" s="3"/>
      <c r="Y44" s="3"/>
      <c r="Z44" s="3"/>
      <c r="AA44" s="3"/>
      <c r="AB44" s="3"/>
      <c r="AC44" s="8"/>
      <c r="AD44" s="8"/>
      <c r="AE44" s="3"/>
      <c r="AF44" s="3"/>
      <c r="AG44" s="3"/>
      <c r="AH44" s="3"/>
      <c r="AI44" s="3"/>
      <c r="AJ44" s="8"/>
      <c r="AK44" s="8"/>
      <c r="AL44" s="3"/>
      <c r="AM44" s="3"/>
      <c r="AN44" s="3"/>
      <c r="AO44" s="3"/>
      <c r="AP44" s="3"/>
      <c r="AQ44" s="8"/>
      <c r="AR44" s="8"/>
      <c r="AS44" s="3"/>
      <c r="AT44" s="3"/>
      <c r="AU44" s="3"/>
      <c r="AV44" s="3"/>
      <c r="AW44" s="3"/>
      <c r="AX44" s="8"/>
      <c r="AY44" s="8"/>
      <c r="AZ44" s="3"/>
      <c r="BA44" s="5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8"/>
      <c r="X45" s="3"/>
      <c r="Y45" s="3"/>
      <c r="Z45" s="3"/>
      <c r="AA45" s="3"/>
      <c r="AB45" s="3"/>
      <c r="AC45" s="8"/>
      <c r="AD45" s="8"/>
      <c r="AE45" s="3"/>
      <c r="AF45" s="3"/>
      <c r="AG45" s="3"/>
      <c r="AH45" s="3"/>
      <c r="AI45" s="3"/>
      <c r="AJ45" s="8"/>
      <c r="AK45" s="8"/>
      <c r="AL45" s="3"/>
      <c r="AM45" s="3"/>
      <c r="AN45" s="3"/>
      <c r="AO45" s="3"/>
      <c r="AP45" s="3"/>
      <c r="AQ45" s="8"/>
      <c r="AR45" s="8"/>
      <c r="AS45" s="3"/>
      <c r="AT45" s="3"/>
      <c r="AU45" s="3"/>
      <c r="AV45" s="3"/>
      <c r="AW45" s="3"/>
      <c r="AX45" s="8"/>
      <c r="AY45" s="8"/>
      <c r="AZ45" s="3"/>
      <c r="BA45" s="5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97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8"/>
      <c r="X46" s="3"/>
      <c r="Y46" s="3"/>
      <c r="Z46" s="3"/>
      <c r="AA46" s="3"/>
      <c r="AB46" s="3"/>
      <c r="AC46" s="8"/>
      <c r="AD46" s="8"/>
      <c r="AE46" s="3"/>
      <c r="AF46" s="3"/>
      <c r="AG46" s="3"/>
      <c r="AH46" s="3"/>
      <c r="AI46" s="3"/>
      <c r="AJ46" s="8"/>
      <c r="AK46" s="8"/>
      <c r="AL46" s="3"/>
      <c r="AM46" s="3"/>
      <c r="AN46" s="3"/>
      <c r="AO46" s="3"/>
      <c r="AP46" s="3"/>
      <c r="AQ46" s="8"/>
      <c r="AR46" s="8"/>
      <c r="AS46" s="3"/>
      <c r="AT46" s="3"/>
      <c r="AU46" s="3"/>
      <c r="AV46" s="3"/>
      <c r="AW46" s="3"/>
      <c r="AX46" s="8"/>
      <c r="AY46" s="8"/>
      <c r="AZ46" s="3"/>
      <c r="BA46" s="5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8"/>
      <c r="X47" s="3"/>
      <c r="Y47" s="3"/>
      <c r="Z47" s="3"/>
      <c r="AA47" s="3"/>
      <c r="AB47" s="3"/>
      <c r="AC47" s="8"/>
      <c r="AD47" s="8"/>
      <c r="AE47" s="3"/>
      <c r="AF47" s="3"/>
      <c r="AG47" s="3"/>
      <c r="AH47" s="3"/>
      <c r="AI47" s="3"/>
      <c r="AJ47" s="8"/>
      <c r="AK47" s="8"/>
      <c r="AL47" s="3"/>
      <c r="AM47" s="3"/>
      <c r="AN47" s="3"/>
      <c r="AO47" s="3"/>
      <c r="AP47" s="3"/>
      <c r="AQ47" s="8"/>
      <c r="AR47" s="8"/>
      <c r="AS47" s="3"/>
      <c r="AT47" s="3"/>
      <c r="AU47" s="3"/>
      <c r="AV47" s="3"/>
      <c r="AW47" s="3"/>
      <c r="AX47" s="8"/>
      <c r="AY47" s="8"/>
      <c r="AZ47" s="3"/>
      <c r="BA47" s="5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8"/>
      <c r="X48" s="3"/>
      <c r="Y48" s="3"/>
      <c r="Z48" s="3"/>
      <c r="AA48" s="3"/>
      <c r="AB48" s="3"/>
      <c r="AC48" s="8"/>
      <c r="AD48" s="8"/>
      <c r="AE48" s="3"/>
      <c r="AF48" s="3"/>
      <c r="AG48" s="3"/>
      <c r="AH48" s="3"/>
      <c r="AI48" s="3"/>
      <c r="AJ48" s="8"/>
      <c r="AK48" s="8"/>
      <c r="AL48" s="3"/>
      <c r="AM48" s="3"/>
      <c r="AN48" s="3"/>
      <c r="AO48" s="3"/>
      <c r="AP48" s="3"/>
      <c r="AQ48" s="8"/>
      <c r="AR48" s="8"/>
      <c r="AS48" s="3"/>
      <c r="AT48" s="3"/>
      <c r="AU48" s="3"/>
      <c r="AV48" s="3"/>
      <c r="AW48" s="3"/>
      <c r="AX48" s="8"/>
      <c r="AY48" s="8"/>
      <c r="AZ48" s="3"/>
      <c r="BA48" s="5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8"/>
      <c r="X49" s="3"/>
      <c r="Y49" s="3"/>
      <c r="Z49" s="3"/>
      <c r="AA49" s="3"/>
      <c r="AB49" s="3"/>
      <c r="AC49" s="8"/>
      <c r="AD49" s="8"/>
      <c r="AE49" s="3"/>
      <c r="AF49" s="3"/>
      <c r="AG49" s="3"/>
      <c r="AH49" s="3"/>
      <c r="AI49" s="3"/>
      <c r="AJ49" s="8"/>
      <c r="AK49" s="8"/>
      <c r="AL49" s="3"/>
      <c r="AM49" s="3"/>
      <c r="AN49" s="3"/>
      <c r="AO49" s="3"/>
      <c r="AP49" s="3"/>
      <c r="AQ49" s="8"/>
      <c r="AR49" s="8"/>
      <c r="AS49" s="3"/>
      <c r="AT49" s="3"/>
      <c r="AU49" s="3"/>
      <c r="AV49" s="3"/>
      <c r="AW49" s="3"/>
      <c r="AX49" s="8"/>
      <c r="AY49" s="8"/>
      <c r="AZ49" s="3"/>
      <c r="BA49" s="5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8"/>
      <c r="X50" s="3"/>
      <c r="Y50" s="3"/>
      <c r="Z50" s="3"/>
      <c r="AA50" s="3"/>
      <c r="AB50" s="3"/>
      <c r="AC50" s="8"/>
      <c r="AD50" s="8"/>
      <c r="AE50" s="3"/>
      <c r="AF50" s="3"/>
      <c r="AG50" s="3"/>
      <c r="AH50" s="3"/>
      <c r="AI50" s="3"/>
      <c r="AJ50" s="8"/>
      <c r="AK50" s="8"/>
      <c r="AL50" s="3"/>
      <c r="AM50" s="3"/>
      <c r="AN50" s="3"/>
      <c r="AO50" s="3"/>
      <c r="AP50" s="3"/>
      <c r="AQ50" s="8"/>
      <c r="AR50" s="8"/>
      <c r="AS50" s="3"/>
      <c r="AT50" s="3"/>
      <c r="AU50" s="3"/>
      <c r="AV50" s="3"/>
      <c r="AW50" s="3"/>
      <c r="AX50" s="8"/>
      <c r="AY50" s="8"/>
      <c r="AZ50" s="3"/>
      <c r="BA50" s="5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8"/>
      <c r="X51" s="3"/>
      <c r="Y51" s="3"/>
      <c r="Z51" s="3"/>
      <c r="AA51" s="3"/>
      <c r="AB51" s="3"/>
      <c r="AC51" s="8"/>
      <c r="AD51" s="8"/>
      <c r="AE51" s="3"/>
      <c r="AF51" s="3"/>
      <c r="AG51" s="3"/>
      <c r="AH51" s="3"/>
      <c r="AI51" s="3"/>
      <c r="AJ51" s="8"/>
      <c r="AK51" s="8"/>
      <c r="AL51" s="3"/>
      <c r="AM51" s="3"/>
      <c r="AN51" s="3"/>
      <c r="AO51" s="3"/>
      <c r="AP51" s="3"/>
      <c r="AQ51" s="8"/>
      <c r="AR51" s="8"/>
      <c r="AS51" s="3"/>
      <c r="AT51" s="3"/>
      <c r="AU51" s="3"/>
      <c r="AV51" s="3"/>
      <c r="AW51" s="3"/>
      <c r="AX51" s="8"/>
      <c r="AY51" s="8"/>
      <c r="AZ51" s="3"/>
      <c r="BA51" s="5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8"/>
      <c r="X52" s="3"/>
      <c r="Y52" s="3"/>
      <c r="Z52" s="3"/>
      <c r="AA52" s="3"/>
      <c r="AB52" s="3"/>
      <c r="AC52" s="8"/>
      <c r="AD52" s="8"/>
      <c r="AE52" s="3"/>
      <c r="AF52" s="3"/>
      <c r="AG52" s="3"/>
      <c r="AH52" s="3"/>
      <c r="AI52" s="3"/>
      <c r="AJ52" s="8"/>
      <c r="AK52" s="8"/>
      <c r="AL52" s="3"/>
      <c r="AM52" s="3"/>
      <c r="AN52" s="3"/>
      <c r="AO52" s="3"/>
      <c r="AP52" s="3"/>
      <c r="AQ52" s="8"/>
      <c r="AR52" s="8"/>
      <c r="AS52" s="3"/>
      <c r="AT52" s="3"/>
      <c r="AU52" s="3"/>
      <c r="AV52" s="3"/>
      <c r="AW52" s="3"/>
      <c r="AX52" s="8"/>
      <c r="AY52" s="8"/>
      <c r="AZ52" s="3"/>
      <c r="BA52" s="5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8"/>
      <c r="X53" s="3"/>
      <c r="Y53" s="3"/>
      <c r="Z53" s="3"/>
      <c r="AA53" s="3"/>
      <c r="AB53" s="3"/>
      <c r="AC53" s="8"/>
      <c r="AD53" s="8"/>
      <c r="AE53" s="3"/>
      <c r="AF53" s="3"/>
      <c r="AG53" s="3"/>
      <c r="AH53" s="3"/>
      <c r="AI53" s="3"/>
      <c r="AJ53" s="8"/>
      <c r="AK53" s="8"/>
      <c r="AL53" s="3"/>
      <c r="AM53" s="3"/>
      <c r="AN53" s="3"/>
      <c r="AO53" s="3"/>
      <c r="AP53" s="3"/>
      <c r="AQ53" s="8"/>
      <c r="AR53" s="8"/>
      <c r="AS53" s="3"/>
      <c r="AT53" s="3"/>
      <c r="AU53" s="3"/>
      <c r="AV53" s="3"/>
      <c r="AW53" s="3"/>
      <c r="AX53" s="8"/>
      <c r="AY53" s="8"/>
      <c r="AZ53" s="3"/>
      <c r="BA53" s="5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97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8"/>
      <c r="X54" s="3"/>
      <c r="Y54" s="3"/>
      <c r="Z54" s="3"/>
      <c r="AA54" s="3"/>
      <c r="AB54" s="3"/>
      <c r="AC54" s="8"/>
      <c r="AD54" s="8"/>
      <c r="AE54" s="3"/>
      <c r="AF54" s="3"/>
      <c r="AG54" s="3"/>
      <c r="AH54" s="3"/>
      <c r="AI54" s="3"/>
      <c r="AJ54" s="8"/>
      <c r="AK54" s="8"/>
      <c r="AL54" s="3"/>
      <c r="AM54" s="3"/>
      <c r="AN54" s="3"/>
      <c r="AO54" s="3"/>
      <c r="AP54" s="3"/>
      <c r="AQ54" s="8"/>
      <c r="AR54" s="8"/>
      <c r="AS54" s="3"/>
      <c r="AT54" s="3"/>
      <c r="AU54" s="3"/>
      <c r="AV54" s="3"/>
      <c r="AW54" s="3"/>
      <c r="AX54" s="8"/>
      <c r="AY54" s="8"/>
      <c r="AZ54" s="3"/>
      <c r="BA54" s="5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8"/>
      <c r="X55" s="3"/>
      <c r="Y55" s="3"/>
      <c r="Z55" s="3"/>
      <c r="AA55" s="3"/>
      <c r="AB55" s="3"/>
      <c r="AC55" s="8"/>
      <c r="AD55" s="8"/>
      <c r="AE55" s="3"/>
      <c r="AF55" s="3"/>
      <c r="AG55" s="3"/>
      <c r="AH55" s="3"/>
      <c r="AI55" s="3"/>
      <c r="AJ55" s="8"/>
      <c r="AK55" s="8"/>
      <c r="AL55" s="3"/>
      <c r="AM55" s="3"/>
      <c r="AN55" s="3"/>
      <c r="AO55" s="3"/>
      <c r="AP55" s="3"/>
      <c r="AQ55" s="8"/>
      <c r="AR55" s="8"/>
      <c r="AS55" s="3"/>
      <c r="AT55" s="3"/>
      <c r="AU55" s="3"/>
      <c r="AV55" s="3"/>
      <c r="AW55" s="3"/>
      <c r="AX55" s="8"/>
      <c r="AY55" s="8"/>
      <c r="AZ55" s="3"/>
      <c r="BA55" s="5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8"/>
      <c r="X56" s="3"/>
      <c r="Y56" s="3"/>
      <c r="Z56" s="3"/>
      <c r="AA56" s="3"/>
      <c r="AB56" s="3"/>
      <c r="AC56" s="8"/>
      <c r="AD56" s="8"/>
      <c r="AE56" s="3"/>
      <c r="AF56" s="3"/>
      <c r="AG56" s="3"/>
      <c r="AH56" s="3"/>
      <c r="AI56" s="3"/>
      <c r="AJ56" s="8"/>
      <c r="AK56" s="8"/>
      <c r="AL56" s="3"/>
      <c r="AM56" s="3"/>
      <c r="AN56" s="3"/>
      <c r="AO56" s="3"/>
      <c r="AP56" s="3"/>
      <c r="AQ56" s="8"/>
      <c r="AR56" s="8"/>
      <c r="AS56" s="3"/>
      <c r="AT56" s="3"/>
      <c r="AU56" s="3"/>
      <c r="AV56" s="3"/>
      <c r="AW56" s="3"/>
      <c r="AX56" s="8"/>
      <c r="AY56" s="8"/>
      <c r="AZ56" s="3"/>
      <c r="BA56" s="5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102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8"/>
      <c r="X57" s="3"/>
      <c r="Y57" s="3"/>
      <c r="Z57" s="3"/>
      <c r="AA57" s="3"/>
      <c r="AB57" s="3"/>
      <c r="AC57" s="8"/>
      <c r="AD57" s="8"/>
      <c r="AE57" s="3"/>
      <c r="AF57" s="3"/>
      <c r="AG57" s="3"/>
      <c r="AH57" s="3"/>
      <c r="AI57" s="3"/>
      <c r="AJ57" s="8"/>
      <c r="AK57" s="8"/>
      <c r="AL57" s="3"/>
      <c r="AM57" s="3"/>
      <c r="AN57" s="3"/>
      <c r="AO57" s="3"/>
      <c r="AP57" s="3"/>
      <c r="AQ57" s="8"/>
      <c r="AR57" s="8"/>
      <c r="AS57" s="3"/>
      <c r="AT57" s="3"/>
      <c r="AU57" s="3"/>
      <c r="AV57" s="3"/>
      <c r="AW57" s="3"/>
      <c r="AX57" s="8"/>
      <c r="AY57" s="8"/>
      <c r="AZ57" s="3"/>
      <c r="BA57" s="5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97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8"/>
      <c r="X58" s="3"/>
      <c r="Y58" s="3"/>
      <c r="Z58" s="3"/>
      <c r="AA58" s="3"/>
      <c r="AB58" s="3"/>
      <c r="AC58" s="8"/>
      <c r="AD58" s="8"/>
      <c r="AE58" s="3"/>
      <c r="AF58" s="3"/>
      <c r="AG58" s="3"/>
      <c r="AH58" s="3"/>
      <c r="AI58" s="3"/>
      <c r="AJ58" s="8"/>
      <c r="AK58" s="8"/>
      <c r="AL58" s="3"/>
      <c r="AM58" s="3"/>
      <c r="AN58" s="3"/>
      <c r="AO58" s="3"/>
      <c r="AP58" s="3"/>
      <c r="AQ58" s="8"/>
      <c r="AR58" s="8"/>
      <c r="AS58" s="3"/>
      <c r="AT58" s="3"/>
      <c r="AU58" s="3"/>
      <c r="AV58" s="3"/>
      <c r="AW58" s="3"/>
      <c r="AX58" s="8"/>
      <c r="AY58" s="8"/>
      <c r="AZ58" s="3"/>
      <c r="BA58" s="5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8"/>
      <c r="X59" s="3"/>
      <c r="Y59" s="3"/>
      <c r="Z59" s="3"/>
      <c r="AA59" s="3"/>
      <c r="AB59" s="3"/>
      <c r="AC59" s="8"/>
      <c r="AD59" s="8"/>
      <c r="AE59" s="3"/>
      <c r="AF59" s="3"/>
      <c r="AG59" s="3"/>
      <c r="AH59" s="3"/>
      <c r="AI59" s="3"/>
      <c r="AJ59" s="8"/>
      <c r="AK59" s="8"/>
      <c r="AL59" s="3"/>
      <c r="AM59" s="3"/>
      <c r="AN59" s="3"/>
      <c r="AO59" s="3"/>
      <c r="AP59" s="3"/>
      <c r="AQ59" s="8"/>
      <c r="AR59" s="8"/>
      <c r="AS59" s="3"/>
      <c r="AT59" s="3"/>
      <c r="AU59" s="3"/>
      <c r="AV59" s="3"/>
      <c r="AW59" s="3"/>
      <c r="AX59" s="8"/>
      <c r="AY59" s="8"/>
      <c r="AZ59" s="3"/>
      <c r="BA59" s="5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97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8"/>
      <c r="X60" s="3"/>
      <c r="Y60" s="3"/>
      <c r="Z60" s="3"/>
      <c r="AA60" s="3"/>
      <c r="AB60" s="3"/>
      <c r="AC60" s="8"/>
      <c r="AD60" s="8"/>
      <c r="AE60" s="3"/>
      <c r="AF60" s="3"/>
      <c r="AG60" s="3"/>
      <c r="AH60" s="3"/>
      <c r="AI60" s="3"/>
      <c r="AJ60" s="8"/>
      <c r="AK60" s="8"/>
      <c r="AL60" s="3"/>
      <c r="AM60" s="3"/>
      <c r="AN60" s="3"/>
      <c r="AO60" s="3"/>
      <c r="AP60" s="3"/>
      <c r="AQ60" s="8"/>
      <c r="AR60" s="8"/>
      <c r="AS60" s="3"/>
      <c r="AT60" s="3"/>
      <c r="AU60" s="3"/>
      <c r="AV60" s="3"/>
      <c r="AW60" s="3"/>
      <c r="AX60" s="8"/>
      <c r="AY60" s="8"/>
      <c r="AZ60" s="3"/>
      <c r="BA60" s="5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8"/>
      <c r="X61" s="3"/>
      <c r="Y61" s="3"/>
      <c r="Z61" s="3"/>
      <c r="AA61" s="3"/>
      <c r="AB61" s="3"/>
      <c r="AC61" s="8"/>
      <c r="AD61" s="8"/>
      <c r="AE61" s="3"/>
      <c r="AF61" s="3"/>
      <c r="AG61" s="3"/>
      <c r="AH61" s="3"/>
      <c r="AI61" s="3"/>
      <c r="AJ61" s="8"/>
      <c r="AK61" s="8"/>
      <c r="AL61" s="3"/>
      <c r="AM61" s="3"/>
      <c r="AN61" s="3"/>
      <c r="AO61" s="3"/>
      <c r="AP61" s="3"/>
      <c r="AQ61" s="8"/>
      <c r="AR61" s="8"/>
      <c r="AS61" s="3"/>
      <c r="AT61" s="3"/>
      <c r="AU61" s="3"/>
      <c r="AV61" s="3"/>
      <c r="AW61" s="3"/>
      <c r="AX61" s="8"/>
      <c r="AY61" s="8"/>
      <c r="AZ61" s="3"/>
      <c r="BA61" s="5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102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8"/>
      <c r="X62" s="3"/>
      <c r="Y62" s="3"/>
      <c r="Z62" s="3"/>
      <c r="AA62" s="3"/>
      <c r="AB62" s="3"/>
      <c r="AC62" s="8"/>
      <c r="AD62" s="8"/>
      <c r="AE62" s="3"/>
      <c r="AF62" s="3"/>
      <c r="AG62" s="3"/>
      <c r="AH62" s="3"/>
      <c r="AI62" s="3"/>
      <c r="AJ62" s="8"/>
      <c r="AK62" s="8"/>
      <c r="AL62" s="3"/>
      <c r="AM62" s="3"/>
      <c r="AN62" s="3"/>
      <c r="AO62" s="3"/>
      <c r="AP62" s="3"/>
      <c r="AQ62" s="8"/>
      <c r="AR62" s="8"/>
      <c r="AS62" s="3"/>
      <c r="AT62" s="3"/>
      <c r="AU62" s="3"/>
      <c r="AV62" s="3"/>
      <c r="AW62" s="3"/>
      <c r="AX62" s="8"/>
      <c r="AY62" s="8"/>
      <c r="AZ62" s="3"/>
      <c r="BA62" s="5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8"/>
      <c r="X63" s="3"/>
      <c r="Y63" s="3"/>
      <c r="Z63" s="3"/>
      <c r="AA63" s="3"/>
      <c r="AB63" s="3"/>
      <c r="AC63" s="8"/>
      <c r="AD63" s="8"/>
      <c r="AE63" s="3"/>
      <c r="AF63" s="3"/>
      <c r="AG63" s="3"/>
      <c r="AH63" s="3"/>
      <c r="AI63" s="3"/>
      <c r="AJ63" s="8"/>
      <c r="AK63" s="8"/>
      <c r="AL63" s="3"/>
      <c r="AM63" s="3"/>
      <c r="AN63" s="3"/>
      <c r="AO63" s="3"/>
      <c r="AP63" s="3"/>
      <c r="AQ63" s="8"/>
      <c r="AR63" s="8"/>
      <c r="AS63" s="3"/>
      <c r="AT63" s="3"/>
      <c r="AU63" s="3"/>
      <c r="AV63" s="3"/>
      <c r="AW63" s="3"/>
      <c r="AX63" s="8"/>
      <c r="AY63" s="8"/>
      <c r="AZ63" s="3"/>
      <c r="BA63" s="5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97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8"/>
      <c r="X64" s="3"/>
      <c r="Y64" s="3"/>
      <c r="Z64" s="3"/>
      <c r="AA64" s="3"/>
      <c r="AB64" s="3"/>
      <c r="AC64" s="8"/>
      <c r="AD64" s="8"/>
      <c r="AE64" s="3"/>
      <c r="AF64" s="3"/>
      <c r="AG64" s="3"/>
      <c r="AH64" s="3"/>
      <c r="AI64" s="3"/>
      <c r="AJ64" s="8"/>
      <c r="AK64" s="8"/>
      <c r="AL64" s="3"/>
      <c r="AM64" s="3"/>
      <c r="AN64" s="3"/>
      <c r="AO64" s="3"/>
      <c r="AP64" s="3"/>
      <c r="AQ64" s="8"/>
      <c r="AR64" s="8"/>
      <c r="AS64" s="3"/>
      <c r="AT64" s="3"/>
      <c r="AU64" s="3"/>
      <c r="AV64" s="3"/>
      <c r="AW64" s="3"/>
      <c r="AX64" s="8"/>
      <c r="AY64" s="8"/>
      <c r="AZ64" s="3"/>
      <c r="BA64" s="5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8"/>
      <c r="X65" s="3"/>
      <c r="Y65" s="3"/>
      <c r="Z65" s="3"/>
      <c r="AA65" s="3"/>
      <c r="AB65" s="3"/>
      <c r="AC65" s="8"/>
      <c r="AD65" s="8"/>
      <c r="AE65" s="3"/>
      <c r="AF65" s="3"/>
      <c r="AG65" s="3"/>
      <c r="AH65" s="3"/>
      <c r="AI65" s="3"/>
      <c r="AJ65" s="8"/>
      <c r="AK65" s="8"/>
      <c r="AL65" s="3"/>
      <c r="AM65" s="3"/>
      <c r="AN65" s="3"/>
      <c r="AO65" s="3"/>
      <c r="AP65" s="3"/>
      <c r="AQ65" s="8"/>
      <c r="AR65" s="8"/>
      <c r="AS65" s="3"/>
      <c r="AT65" s="3"/>
      <c r="AU65" s="3"/>
      <c r="AV65" s="3"/>
      <c r="AW65" s="3"/>
      <c r="AX65" s="8"/>
      <c r="AY65" s="8"/>
      <c r="AZ65" s="3"/>
      <c r="BA65" s="5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8"/>
      <c r="X66" s="3"/>
      <c r="Y66" s="3"/>
      <c r="Z66" s="3"/>
      <c r="AA66" s="3"/>
      <c r="AB66" s="3"/>
      <c r="AC66" s="8"/>
      <c r="AD66" s="8"/>
      <c r="AE66" s="3"/>
      <c r="AF66" s="3"/>
      <c r="AG66" s="3"/>
      <c r="AH66" s="3"/>
      <c r="AI66" s="3"/>
      <c r="AJ66" s="8"/>
      <c r="AK66" s="8"/>
      <c r="AL66" s="3"/>
      <c r="AM66" s="3"/>
      <c r="AN66" s="3"/>
      <c r="AO66" s="3"/>
      <c r="AP66" s="3"/>
      <c r="AQ66" s="8"/>
      <c r="AR66" s="8"/>
      <c r="AS66" s="3"/>
      <c r="AT66" s="3"/>
      <c r="AU66" s="3"/>
      <c r="AV66" s="3"/>
      <c r="AW66" s="3"/>
      <c r="AX66" s="8"/>
      <c r="AY66" s="8"/>
      <c r="AZ66" s="3"/>
      <c r="BA66" s="5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8"/>
      <c r="X67" s="3"/>
      <c r="Y67" s="3"/>
      <c r="Z67" s="3"/>
      <c r="AA67" s="3"/>
      <c r="AB67" s="3"/>
      <c r="AC67" s="8"/>
      <c r="AD67" s="8"/>
      <c r="AE67" s="3"/>
      <c r="AF67" s="3"/>
      <c r="AG67" s="3"/>
      <c r="AH67" s="3"/>
      <c r="AI67" s="3"/>
      <c r="AJ67" s="8"/>
      <c r="AK67" s="8"/>
      <c r="AL67" s="3"/>
      <c r="AM67" s="3"/>
      <c r="AN67" s="3"/>
      <c r="AO67" s="3"/>
      <c r="AP67" s="3"/>
      <c r="AQ67" s="8"/>
      <c r="AR67" s="8"/>
      <c r="AS67" s="3"/>
      <c r="AT67" s="3"/>
      <c r="AU67" s="3"/>
      <c r="AV67" s="3"/>
      <c r="AW67" s="3"/>
      <c r="AX67" s="8"/>
      <c r="AY67" s="8"/>
      <c r="AZ67" s="3"/>
      <c r="BA67" s="5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8"/>
      <c r="X68" s="3"/>
      <c r="Y68" s="3"/>
      <c r="Z68" s="3"/>
      <c r="AA68" s="3"/>
      <c r="AB68" s="3"/>
      <c r="AC68" s="8"/>
      <c r="AD68" s="8"/>
      <c r="AE68" s="3"/>
      <c r="AF68" s="3"/>
      <c r="AG68" s="3"/>
      <c r="AH68" s="3"/>
      <c r="AI68" s="3"/>
      <c r="AJ68" s="8"/>
      <c r="AK68" s="8"/>
      <c r="AL68" s="3"/>
      <c r="AM68" s="3"/>
      <c r="AN68" s="3"/>
      <c r="AO68" s="3"/>
      <c r="AP68" s="3"/>
      <c r="AQ68" s="8"/>
      <c r="AR68" s="8"/>
      <c r="AS68" s="3"/>
      <c r="AT68" s="3"/>
      <c r="AU68" s="3"/>
      <c r="AV68" s="3"/>
      <c r="AW68" s="3"/>
      <c r="AX68" s="8"/>
      <c r="AY68" s="8"/>
      <c r="AZ68" s="3"/>
      <c r="BA68" s="5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8"/>
      <c r="X69" s="3"/>
      <c r="Y69" s="3"/>
      <c r="Z69" s="3"/>
      <c r="AA69" s="3"/>
      <c r="AB69" s="3"/>
      <c r="AC69" s="8"/>
      <c r="AD69" s="8"/>
      <c r="AE69" s="3"/>
      <c r="AF69" s="3"/>
      <c r="AG69" s="3"/>
      <c r="AH69" s="3"/>
      <c r="AI69" s="3"/>
      <c r="AJ69" s="8"/>
      <c r="AK69" s="8"/>
      <c r="AL69" s="3"/>
      <c r="AM69" s="3"/>
      <c r="AN69" s="3"/>
      <c r="AO69" s="3"/>
      <c r="AP69" s="3"/>
      <c r="AQ69" s="8"/>
      <c r="AR69" s="8"/>
      <c r="AS69" s="3"/>
      <c r="AT69" s="3"/>
      <c r="AU69" s="3"/>
      <c r="AV69" s="3"/>
      <c r="AW69" s="3"/>
      <c r="AX69" s="8"/>
      <c r="AY69" s="8"/>
      <c r="AZ69" s="3"/>
      <c r="BA69" s="5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97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8"/>
      <c r="X70" s="3"/>
      <c r="Y70" s="3"/>
      <c r="Z70" s="3"/>
      <c r="AA70" s="3"/>
      <c r="AB70" s="3"/>
      <c r="AC70" s="8"/>
      <c r="AD70" s="8"/>
      <c r="AE70" s="3"/>
      <c r="AF70" s="3"/>
      <c r="AG70" s="3"/>
      <c r="AH70" s="3"/>
      <c r="AI70" s="3"/>
      <c r="AJ70" s="8"/>
      <c r="AK70" s="8"/>
      <c r="AL70" s="3"/>
      <c r="AM70" s="3"/>
      <c r="AN70" s="3"/>
      <c r="AO70" s="3"/>
      <c r="AP70" s="3"/>
      <c r="AQ70" s="8"/>
      <c r="AR70" s="8"/>
      <c r="AS70" s="3"/>
      <c r="AT70" s="3"/>
      <c r="AU70" s="3"/>
      <c r="AV70" s="3"/>
      <c r="AW70" s="3"/>
      <c r="AX70" s="8"/>
      <c r="AY70" s="8"/>
      <c r="AZ70" s="3"/>
      <c r="BA70" s="5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8"/>
      <c r="X71" s="3"/>
      <c r="Y71" s="3"/>
      <c r="Z71" s="3"/>
      <c r="AA71" s="3"/>
      <c r="AB71" s="3"/>
      <c r="AC71" s="8"/>
      <c r="AD71" s="8"/>
      <c r="AE71" s="3"/>
      <c r="AF71" s="3"/>
      <c r="AG71" s="3"/>
      <c r="AH71" s="3"/>
      <c r="AI71" s="3"/>
      <c r="AJ71" s="8"/>
      <c r="AK71" s="8"/>
      <c r="AL71" s="3"/>
      <c r="AM71" s="3"/>
      <c r="AN71" s="3"/>
      <c r="AO71" s="3"/>
      <c r="AP71" s="3"/>
      <c r="AQ71" s="8"/>
      <c r="AR71" s="8"/>
      <c r="AS71" s="3"/>
      <c r="AT71" s="3"/>
      <c r="AU71" s="3"/>
      <c r="AV71" s="3"/>
      <c r="AW71" s="3"/>
      <c r="AX71" s="8"/>
      <c r="AY71" s="8"/>
      <c r="AZ71" s="3"/>
      <c r="BA71" s="5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97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8"/>
      <c r="X72" s="3"/>
      <c r="Y72" s="3"/>
      <c r="Z72" s="3"/>
      <c r="AA72" s="3"/>
      <c r="AB72" s="3"/>
      <c r="AC72" s="8"/>
      <c r="AD72" s="8"/>
      <c r="AE72" s="3"/>
      <c r="AF72" s="3"/>
      <c r="AG72" s="3"/>
      <c r="AH72" s="3"/>
      <c r="AI72" s="3"/>
      <c r="AJ72" s="8"/>
      <c r="AK72" s="8"/>
      <c r="AL72" s="3"/>
      <c r="AM72" s="3"/>
      <c r="AN72" s="3"/>
      <c r="AO72" s="3"/>
      <c r="AP72" s="3"/>
      <c r="AQ72" s="8"/>
      <c r="AR72" s="8"/>
      <c r="AS72" s="3"/>
      <c r="AT72" s="3"/>
      <c r="AU72" s="3"/>
      <c r="AV72" s="3"/>
      <c r="AW72" s="3"/>
      <c r="AX72" s="8"/>
      <c r="AY72" s="8"/>
      <c r="AZ72" s="3"/>
      <c r="BA72" s="5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8"/>
      <c r="X73" s="3"/>
      <c r="Y73" s="3"/>
      <c r="Z73" s="3"/>
      <c r="AA73" s="3"/>
      <c r="AB73" s="3"/>
      <c r="AC73" s="8"/>
      <c r="AD73" s="8"/>
      <c r="AE73" s="3"/>
      <c r="AF73" s="3"/>
      <c r="AG73" s="3"/>
      <c r="AH73" s="3"/>
      <c r="AI73" s="3"/>
      <c r="AJ73" s="8"/>
      <c r="AK73" s="8"/>
      <c r="AL73" s="3"/>
      <c r="AM73" s="3"/>
      <c r="AN73" s="3"/>
      <c r="AO73" s="3"/>
      <c r="AP73" s="3"/>
      <c r="AQ73" s="8"/>
      <c r="AR73" s="8"/>
      <c r="AS73" s="3"/>
      <c r="AT73" s="3"/>
      <c r="AU73" s="3"/>
      <c r="AV73" s="3"/>
      <c r="AW73" s="3"/>
      <c r="AX73" s="8"/>
      <c r="AY73" s="8"/>
      <c r="AZ73" s="3"/>
      <c r="BA73" s="5"/>
      <c r="BB73" s="58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4"/>
        <v/>
      </c>
      <c r="H74" s="100" t="str">
        <f t="shared" si="5"/>
        <v/>
      </c>
      <c r="I74" s="101">
        <f t="shared" si="0"/>
        <v>0</v>
      </c>
      <c r="J74" s="100" t="str">
        <f t="shared" si="1"/>
        <v/>
      </c>
      <c r="K74" s="6" t="str">
        <f t="shared" si="6"/>
        <v/>
      </c>
      <c r="L74" s="6" t="str">
        <f t="shared" si="6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8"/>
      <c r="X74" s="3"/>
      <c r="Y74" s="3"/>
      <c r="Z74" s="3"/>
      <c r="AA74" s="3"/>
      <c r="AB74" s="3"/>
      <c r="AC74" s="8"/>
      <c r="AD74" s="8"/>
      <c r="AE74" s="3"/>
      <c r="AF74" s="3"/>
      <c r="AG74" s="3"/>
      <c r="AH74" s="3"/>
      <c r="AI74" s="3"/>
      <c r="AJ74" s="8"/>
      <c r="AK74" s="8"/>
      <c r="AL74" s="3"/>
      <c r="AM74" s="3"/>
      <c r="AN74" s="3"/>
      <c r="AO74" s="3"/>
      <c r="AP74" s="3"/>
      <c r="AQ74" s="8"/>
      <c r="AR74" s="8"/>
      <c r="AS74" s="3"/>
      <c r="AT74" s="3"/>
      <c r="AU74" s="3"/>
      <c r="AV74" s="3"/>
      <c r="AW74" s="3"/>
      <c r="AX74" s="8"/>
      <c r="AY74" s="8"/>
      <c r="AZ74" s="3"/>
      <c r="BA74" s="5"/>
      <c r="BB74" s="58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102">
        <v>64</v>
      </c>
      <c r="B75" s="103"/>
      <c r="C75" s="104"/>
      <c r="D75" s="1"/>
      <c r="E75" s="105"/>
      <c r="F75" s="105"/>
      <c r="G75" s="100" t="str">
        <f t="shared" si="4"/>
        <v/>
      </c>
      <c r="H75" s="100" t="str">
        <f t="shared" si="5"/>
        <v/>
      </c>
      <c r="I75" s="101">
        <f t="shared" si="0"/>
        <v>0</v>
      </c>
      <c r="J75" s="100" t="str">
        <f t="shared" si="1"/>
        <v/>
      </c>
      <c r="K75" s="6" t="str">
        <f t="shared" si="6"/>
        <v/>
      </c>
      <c r="L75" s="6" t="str">
        <f t="shared" si="6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8"/>
      <c r="X75" s="3"/>
      <c r="Y75" s="3"/>
      <c r="Z75" s="3"/>
      <c r="AA75" s="3"/>
      <c r="AB75" s="3"/>
      <c r="AC75" s="8"/>
      <c r="AD75" s="8"/>
      <c r="AE75" s="3"/>
      <c r="AF75" s="3"/>
      <c r="AG75" s="3"/>
      <c r="AH75" s="3"/>
      <c r="AI75" s="3"/>
      <c r="AJ75" s="8"/>
      <c r="AK75" s="8"/>
      <c r="AL75" s="3"/>
      <c r="AM75" s="3"/>
      <c r="AN75" s="3"/>
      <c r="AO75" s="3"/>
      <c r="AP75" s="3"/>
      <c r="AQ75" s="8"/>
      <c r="AR75" s="8"/>
      <c r="AS75" s="3"/>
      <c r="AT75" s="3"/>
      <c r="AU75" s="3"/>
      <c r="AV75" s="3"/>
      <c r="AW75" s="3"/>
      <c r="AX75" s="8"/>
      <c r="AY75" s="8"/>
      <c r="AZ75" s="3"/>
      <c r="BA75" s="5"/>
      <c r="BB75" s="58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97">
        <v>65</v>
      </c>
      <c r="B76" s="103"/>
      <c r="C76" s="104"/>
      <c r="D76" s="1"/>
      <c r="E76" s="105"/>
      <c r="F76" s="105"/>
      <c r="G76" s="100" t="str">
        <f t="shared" si="4"/>
        <v/>
      </c>
      <c r="H76" s="100" t="str">
        <f t="shared" si="5"/>
        <v/>
      </c>
      <c r="I76" s="101">
        <f t="shared" si="0"/>
        <v>0</v>
      </c>
      <c r="J76" s="100" t="str">
        <f t="shared" ref="J76:J110" si="14">IF(I76&gt;0,12,"")</f>
        <v/>
      </c>
      <c r="K76" s="6" t="str">
        <f t="shared" si="6"/>
        <v/>
      </c>
      <c r="L76" s="6" t="str">
        <f t="shared" si="6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8"/>
      <c r="X76" s="3"/>
      <c r="Y76" s="3"/>
      <c r="Z76" s="3"/>
      <c r="AA76" s="3"/>
      <c r="AB76" s="3"/>
      <c r="AC76" s="8"/>
      <c r="AD76" s="8"/>
      <c r="AE76" s="3"/>
      <c r="AF76" s="3"/>
      <c r="AG76" s="3"/>
      <c r="AH76" s="3"/>
      <c r="AI76" s="3"/>
      <c r="AJ76" s="8"/>
      <c r="AK76" s="8"/>
      <c r="AL76" s="3"/>
      <c r="AM76" s="3"/>
      <c r="AN76" s="3"/>
      <c r="AO76" s="3"/>
      <c r="AP76" s="3"/>
      <c r="AQ76" s="8"/>
      <c r="AR76" s="8"/>
      <c r="AS76" s="3"/>
      <c r="AT76" s="3"/>
      <c r="AU76" s="3"/>
      <c r="AV76" s="3"/>
      <c r="AW76" s="3"/>
      <c r="AX76" s="8"/>
      <c r="AY76" s="8"/>
      <c r="AZ76" s="3"/>
      <c r="BA76" s="5"/>
      <c r="BB76" s="58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4"/>
        <v/>
      </c>
      <c r="H77" s="100" t="str">
        <f t="shared" si="5"/>
        <v/>
      </c>
      <c r="I77" s="101">
        <f t="shared" si="0"/>
        <v>0</v>
      </c>
      <c r="J77" s="100" t="str">
        <f t="shared" si="14"/>
        <v/>
      </c>
      <c r="K77" s="6" t="str">
        <f t="shared" si="6"/>
        <v/>
      </c>
      <c r="L77" s="6" t="str">
        <f t="shared" si="6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8"/>
      <c r="X77" s="3"/>
      <c r="Y77" s="3"/>
      <c r="Z77" s="3"/>
      <c r="AA77" s="3"/>
      <c r="AB77" s="3"/>
      <c r="AC77" s="8"/>
      <c r="AD77" s="8"/>
      <c r="AE77" s="3"/>
      <c r="AF77" s="3"/>
      <c r="AG77" s="3"/>
      <c r="AH77" s="3"/>
      <c r="AI77" s="3"/>
      <c r="AJ77" s="8"/>
      <c r="AK77" s="8"/>
      <c r="AL77" s="3"/>
      <c r="AM77" s="3"/>
      <c r="AN77" s="3"/>
      <c r="AO77" s="3"/>
      <c r="AP77" s="3"/>
      <c r="AQ77" s="8"/>
      <c r="AR77" s="8"/>
      <c r="AS77" s="3"/>
      <c r="AT77" s="3"/>
      <c r="AU77" s="3"/>
      <c r="AV77" s="3"/>
      <c r="AW77" s="3"/>
      <c r="AX77" s="8"/>
      <c r="AY77" s="8"/>
      <c r="AZ77" s="3"/>
      <c r="BA77" s="5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97">
        <v>67</v>
      </c>
      <c r="B78" s="103"/>
      <c r="C78" s="104"/>
      <c r="D78" s="1"/>
      <c r="E78" s="105"/>
      <c r="F78" s="105"/>
      <c r="G78" s="100" t="str">
        <f t="shared" si="4"/>
        <v/>
      </c>
      <c r="H78" s="100" t="str">
        <f t="shared" si="5"/>
        <v/>
      </c>
      <c r="I78" s="101">
        <f t="shared" si="0"/>
        <v>0</v>
      </c>
      <c r="J78" s="100" t="str">
        <f t="shared" si="14"/>
        <v/>
      </c>
      <c r="K78" s="6" t="str">
        <f t="shared" si="6"/>
        <v/>
      </c>
      <c r="L78" s="6" t="str">
        <f t="shared" si="6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8"/>
      <c r="X78" s="3"/>
      <c r="Y78" s="3"/>
      <c r="Z78" s="3"/>
      <c r="AA78" s="3"/>
      <c r="AB78" s="3"/>
      <c r="AC78" s="8"/>
      <c r="AD78" s="8"/>
      <c r="AE78" s="3"/>
      <c r="AF78" s="3"/>
      <c r="AG78" s="3"/>
      <c r="AH78" s="3"/>
      <c r="AI78" s="3"/>
      <c r="AJ78" s="8"/>
      <c r="AK78" s="8"/>
      <c r="AL78" s="3"/>
      <c r="AM78" s="3"/>
      <c r="AN78" s="3"/>
      <c r="AO78" s="3"/>
      <c r="AP78" s="3"/>
      <c r="AQ78" s="8"/>
      <c r="AR78" s="8"/>
      <c r="AS78" s="3"/>
      <c r="AT78" s="3"/>
      <c r="AU78" s="3"/>
      <c r="AV78" s="3"/>
      <c r="AW78" s="3"/>
      <c r="AX78" s="8"/>
      <c r="AY78" s="8"/>
      <c r="AZ78" s="3"/>
      <c r="BA78" s="5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2"/>
      <c r="E79" s="105"/>
      <c r="F79" s="105"/>
      <c r="G79" s="100" t="str">
        <f t="shared" si="4"/>
        <v/>
      </c>
      <c r="H79" s="100" t="str">
        <f t="shared" si="5"/>
        <v/>
      </c>
      <c r="I79" s="101">
        <f t="shared" si="0"/>
        <v>0</v>
      </c>
      <c r="J79" s="100" t="str">
        <f t="shared" si="14"/>
        <v/>
      </c>
      <c r="K79" s="6" t="str">
        <f t="shared" si="6"/>
        <v/>
      </c>
      <c r="L79" s="6" t="str">
        <f t="shared" si="6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8"/>
      <c r="X79" s="3"/>
      <c r="Y79" s="3"/>
      <c r="Z79" s="3"/>
      <c r="AA79" s="3"/>
      <c r="AB79" s="3"/>
      <c r="AC79" s="8"/>
      <c r="AD79" s="8"/>
      <c r="AE79" s="3"/>
      <c r="AF79" s="3"/>
      <c r="AG79" s="3"/>
      <c r="AH79" s="3"/>
      <c r="AI79" s="3"/>
      <c r="AJ79" s="8"/>
      <c r="AK79" s="8"/>
      <c r="AL79" s="3"/>
      <c r="AM79" s="3"/>
      <c r="AN79" s="3"/>
      <c r="AO79" s="3"/>
      <c r="AP79" s="3"/>
      <c r="AQ79" s="8"/>
      <c r="AR79" s="8"/>
      <c r="AS79" s="3"/>
      <c r="AT79" s="3"/>
      <c r="AU79" s="3"/>
      <c r="AV79" s="3"/>
      <c r="AW79" s="3"/>
      <c r="AX79" s="8"/>
      <c r="AY79" s="8"/>
      <c r="AZ79" s="3"/>
      <c r="BA79" s="5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4"/>
        <v/>
      </c>
      <c r="H80" s="100" t="str">
        <f t="shared" si="5"/>
        <v/>
      </c>
      <c r="I80" s="101">
        <f t="shared" si="0"/>
        <v>0</v>
      </c>
      <c r="J80" s="100" t="str">
        <f t="shared" si="14"/>
        <v/>
      </c>
      <c r="K80" s="6" t="str">
        <f t="shared" si="6"/>
        <v/>
      </c>
      <c r="L80" s="6" t="str">
        <f t="shared" si="6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8"/>
      <c r="X80" s="3"/>
      <c r="Y80" s="3"/>
      <c r="Z80" s="3"/>
      <c r="AA80" s="3"/>
      <c r="AB80" s="3"/>
      <c r="AC80" s="8"/>
      <c r="AD80" s="8"/>
      <c r="AE80" s="3"/>
      <c r="AF80" s="3"/>
      <c r="AG80" s="3"/>
      <c r="AH80" s="3"/>
      <c r="AI80" s="3"/>
      <c r="AJ80" s="8"/>
      <c r="AK80" s="8"/>
      <c r="AL80" s="3"/>
      <c r="AM80" s="3"/>
      <c r="AN80" s="3"/>
      <c r="AO80" s="3"/>
      <c r="AP80" s="3"/>
      <c r="AQ80" s="8"/>
      <c r="AR80" s="8"/>
      <c r="AS80" s="3"/>
      <c r="AT80" s="3"/>
      <c r="AU80" s="3"/>
      <c r="AV80" s="3"/>
      <c r="AW80" s="3"/>
      <c r="AX80" s="8"/>
      <c r="AY80" s="8"/>
      <c r="AZ80" s="3"/>
      <c r="BA80" s="5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4"/>
        <v/>
      </c>
      <c r="H81" s="100" t="str">
        <f t="shared" si="5"/>
        <v/>
      </c>
      <c r="I81" s="101">
        <f t="shared" si="0"/>
        <v>0</v>
      </c>
      <c r="J81" s="100" t="str">
        <f t="shared" si="14"/>
        <v/>
      </c>
      <c r="K81" s="6" t="str">
        <f t="shared" si="6"/>
        <v/>
      </c>
      <c r="L81" s="6" t="str">
        <f t="shared" si="6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8"/>
      <c r="X81" s="3"/>
      <c r="Y81" s="3"/>
      <c r="Z81" s="3"/>
      <c r="AA81" s="3"/>
      <c r="AB81" s="3"/>
      <c r="AC81" s="8"/>
      <c r="AD81" s="8"/>
      <c r="AE81" s="3"/>
      <c r="AF81" s="3"/>
      <c r="AG81" s="3"/>
      <c r="AH81" s="3"/>
      <c r="AI81" s="3"/>
      <c r="AJ81" s="8"/>
      <c r="AK81" s="8"/>
      <c r="AL81" s="3"/>
      <c r="AM81" s="3"/>
      <c r="AN81" s="3"/>
      <c r="AO81" s="3"/>
      <c r="AP81" s="3"/>
      <c r="AQ81" s="8"/>
      <c r="AR81" s="8"/>
      <c r="AS81" s="3"/>
      <c r="AT81" s="3"/>
      <c r="AU81" s="3"/>
      <c r="AV81" s="3"/>
      <c r="AW81" s="3"/>
      <c r="AX81" s="8"/>
      <c r="AY81" s="8"/>
      <c r="AZ81" s="3"/>
      <c r="BA81" s="5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97">
        <v>71</v>
      </c>
      <c r="B82" s="103"/>
      <c r="C82" s="104"/>
      <c r="D82" s="1"/>
      <c r="E82" s="105"/>
      <c r="F82" s="105"/>
      <c r="G82" s="100" t="str">
        <f t="shared" si="4"/>
        <v/>
      </c>
      <c r="H82" s="100" t="str">
        <f t="shared" si="5"/>
        <v/>
      </c>
      <c r="I82" s="101">
        <f t="shared" si="0"/>
        <v>0</v>
      </c>
      <c r="J82" s="100" t="str">
        <f t="shared" si="14"/>
        <v/>
      </c>
      <c r="K82" s="6" t="str">
        <f t="shared" si="6"/>
        <v/>
      </c>
      <c r="L82" s="6" t="str">
        <f t="shared" si="6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8"/>
      <c r="X82" s="3"/>
      <c r="Y82" s="3"/>
      <c r="Z82" s="3"/>
      <c r="AA82" s="3"/>
      <c r="AB82" s="3"/>
      <c r="AC82" s="8"/>
      <c r="AD82" s="8"/>
      <c r="AE82" s="3"/>
      <c r="AF82" s="3"/>
      <c r="AG82" s="3"/>
      <c r="AH82" s="3"/>
      <c r="AI82" s="3"/>
      <c r="AJ82" s="8"/>
      <c r="AK82" s="8"/>
      <c r="AL82" s="3"/>
      <c r="AM82" s="3"/>
      <c r="AN82" s="3"/>
      <c r="AO82" s="3"/>
      <c r="AP82" s="3"/>
      <c r="AQ82" s="8"/>
      <c r="AR82" s="8"/>
      <c r="AS82" s="3"/>
      <c r="AT82" s="3"/>
      <c r="AU82" s="3"/>
      <c r="AV82" s="3"/>
      <c r="AW82" s="3"/>
      <c r="AX82" s="8"/>
      <c r="AY82" s="8"/>
      <c r="AZ82" s="3"/>
      <c r="BA82" s="5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2"/>
      <c r="E83" s="105"/>
      <c r="F83" s="105"/>
      <c r="G83" s="100" t="str">
        <f t="shared" si="4"/>
        <v/>
      </c>
      <c r="H83" s="100" t="str">
        <f t="shared" si="5"/>
        <v/>
      </c>
      <c r="I83" s="101">
        <f t="shared" si="0"/>
        <v>0</v>
      </c>
      <c r="J83" s="100" t="str">
        <f t="shared" si="14"/>
        <v/>
      </c>
      <c r="K83" s="6" t="str">
        <f t="shared" si="6"/>
        <v/>
      </c>
      <c r="L83" s="6" t="str">
        <f t="shared" si="6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8"/>
      <c r="X83" s="3"/>
      <c r="Y83" s="3"/>
      <c r="Z83" s="3"/>
      <c r="AA83" s="3"/>
      <c r="AB83" s="3"/>
      <c r="AC83" s="8"/>
      <c r="AD83" s="8"/>
      <c r="AE83" s="3"/>
      <c r="AF83" s="3"/>
      <c r="AG83" s="3"/>
      <c r="AH83" s="3"/>
      <c r="AI83" s="3"/>
      <c r="AJ83" s="8"/>
      <c r="AK83" s="8"/>
      <c r="AL83" s="3"/>
      <c r="AM83" s="3"/>
      <c r="AN83" s="3"/>
      <c r="AO83" s="3"/>
      <c r="AP83" s="3"/>
      <c r="AQ83" s="8"/>
      <c r="AR83" s="8"/>
      <c r="AS83" s="3"/>
      <c r="AT83" s="3"/>
      <c r="AU83" s="3"/>
      <c r="AV83" s="3"/>
      <c r="AW83" s="3"/>
      <c r="AX83" s="8"/>
      <c r="AY83" s="8"/>
      <c r="AZ83" s="3"/>
      <c r="BA83" s="5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8"/>
      <c r="X84" s="3"/>
      <c r="Y84" s="3"/>
      <c r="Z84" s="3"/>
      <c r="AA84" s="3"/>
      <c r="AB84" s="3"/>
      <c r="AC84" s="8"/>
      <c r="AD84" s="8"/>
      <c r="AE84" s="3"/>
      <c r="AF84" s="3"/>
      <c r="AG84" s="3"/>
      <c r="AH84" s="3"/>
      <c r="AI84" s="3"/>
      <c r="AJ84" s="8"/>
      <c r="AK84" s="8"/>
      <c r="AL84" s="3"/>
      <c r="AM84" s="3"/>
      <c r="AN84" s="3"/>
      <c r="AO84" s="3"/>
      <c r="AP84" s="3"/>
      <c r="AQ84" s="8"/>
      <c r="AR84" s="8"/>
      <c r="AS84" s="3"/>
      <c r="AT84" s="3"/>
      <c r="AU84" s="3"/>
      <c r="AV84" s="3"/>
      <c r="AW84" s="3"/>
      <c r="AX84" s="8"/>
      <c r="AY84" s="8"/>
      <c r="AZ84" s="3"/>
      <c r="BA84" s="5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8"/>
      <c r="X85" s="3"/>
      <c r="Y85" s="3"/>
      <c r="Z85" s="3"/>
      <c r="AA85" s="3"/>
      <c r="AB85" s="3"/>
      <c r="AC85" s="8"/>
      <c r="AD85" s="8"/>
      <c r="AE85" s="3"/>
      <c r="AF85" s="3"/>
      <c r="AG85" s="3"/>
      <c r="AH85" s="3"/>
      <c r="AI85" s="3"/>
      <c r="AJ85" s="8"/>
      <c r="AK85" s="8"/>
      <c r="AL85" s="3"/>
      <c r="AM85" s="3"/>
      <c r="AN85" s="3"/>
      <c r="AO85" s="3"/>
      <c r="AP85" s="3"/>
      <c r="AQ85" s="8"/>
      <c r="AR85" s="8"/>
      <c r="AS85" s="3"/>
      <c r="AT85" s="3"/>
      <c r="AU85" s="3"/>
      <c r="AV85" s="3"/>
      <c r="AW85" s="3"/>
      <c r="AX85" s="8"/>
      <c r="AY85" s="8"/>
      <c r="AZ85" s="3"/>
      <c r="BA85" s="5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8"/>
      <c r="X86" s="3"/>
      <c r="Y86" s="3"/>
      <c r="Z86" s="3"/>
      <c r="AA86" s="3"/>
      <c r="AB86" s="3"/>
      <c r="AC86" s="8"/>
      <c r="AD86" s="8"/>
      <c r="AE86" s="3"/>
      <c r="AF86" s="3"/>
      <c r="AG86" s="3"/>
      <c r="AH86" s="3"/>
      <c r="AI86" s="3"/>
      <c r="AJ86" s="8"/>
      <c r="AK86" s="8"/>
      <c r="AL86" s="3"/>
      <c r="AM86" s="3"/>
      <c r="AN86" s="3"/>
      <c r="AO86" s="3"/>
      <c r="AP86" s="3"/>
      <c r="AQ86" s="8"/>
      <c r="AR86" s="8"/>
      <c r="AS86" s="3"/>
      <c r="AT86" s="3"/>
      <c r="AU86" s="3"/>
      <c r="AV86" s="3"/>
      <c r="AW86" s="3"/>
      <c r="AX86" s="8"/>
      <c r="AY86" s="8"/>
      <c r="AZ86" s="3"/>
      <c r="BA86" s="5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8"/>
      <c r="X87" s="3"/>
      <c r="Y87" s="3"/>
      <c r="Z87" s="3"/>
      <c r="AA87" s="3"/>
      <c r="AB87" s="3"/>
      <c r="AC87" s="8"/>
      <c r="AD87" s="8"/>
      <c r="AE87" s="3"/>
      <c r="AF87" s="3"/>
      <c r="AG87" s="3"/>
      <c r="AH87" s="3"/>
      <c r="AI87" s="3"/>
      <c r="AJ87" s="8"/>
      <c r="AK87" s="8"/>
      <c r="AL87" s="3"/>
      <c r="AM87" s="3"/>
      <c r="AN87" s="3"/>
      <c r="AO87" s="3"/>
      <c r="AP87" s="3"/>
      <c r="AQ87" s="8"/>
      <c r="AR87" s="8"/>
      <c r="AS87" s="3"/>
      <c r="AT87" s="3"/>
      <c r="AU87" s="3"/>
      <c r="AV87" s="3"/>
      <c r="AW87" s="3"/>
      <c r="AX87" s="8"/>
      <c r="AY87" s="8"/>
      <c r="AZ87" s="3"/>
      <c r="BA87" s="5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GP87" s="54"/>
      <c r="GQ87" s="54"/>
    </row>
    <row r="88" spans="1:199" ht="15" hidden="1" customHeight="1" x14ac:dyDescent="0.25">
      <c r="A88" s="97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8"/>
      <c r="X88" s="3"/>
      <c r="Y88" s="3"/>
      <c r="Z88" s="3"/>
      <c r="AA88" s="3"/>
      <c r="AB88" s="3"/>
      <c r="AC88" s="8"/>
      <c r="AD88" s="8"/>
      <c r="AE88" s="3"/>
      <c r="AF88" s="3"/>
      <c r="AG88" s="3"/>
      <c r="AH88" s="3"/>
      <c r="AI88" s="3"/>
      <c r="AJ88" s="8"/>
      <c r="AK88" s="8"/>
      <c r="AL88" s="3"/>
      <c r="AM88" s="3"/>
      <c r="AN88" s="3"/>
      <c r="AO88" s="3"/>
      <c r="AP88" s="3"/>
      <c r="AQ88" s="8"/>
      <c r="AR88" s="8"/>
      <c r="AS88" s="3"/>
      <c r="AT88" s="3"/>
      <c r="AU88" s="3"/>
      <c r="AV88" s="3"/>
      <c r="AW88" s="3"/>
      <c r="AX88" s="8"/>
      <c r="AY88" s="8"/>
      <c r="AZ88" s="3"/>
      <c r="BA88" s="5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GP88" s="54"/>
      <c r="GQ88" s="54"/>
    </row>
    <row r="89" spans="1:199" ht="15" hidden="1" customHeight="1" x14ac:dyDescent="0.25">
      <c r="A89" s="102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8"/>
      <c r="X89" s="3"/>
      <c r="Y89" s="3"/>
      <c r="Z89" s="3"/>
      <c r="AA89" s="3"/>
      <c r="AB89" s="3"/>
      <c r="AC89" s="8"/>
      <c r="AD89" s="8"/>
      <c r="AE89" s="3"/>
      <c r="AF89" s="3"/>
      <c r="AG89" s="3"/>
      <c r="AH89" s="3"/>
      <c r="AI89" s="3"/>
      <c r="AJ89" s="8"/>
      <c r="AK89" s="8"/>
      <c r="AL89" s="3"/>
      <c r="AM89" s="3"/>
      <c r="AN89" s="3"/>
      <c r="AO89" s="3"/>
      <c r="AP89" s="3"/>
      <c r="AQ89" s="8"/>
      <c r="AR89" s="8"/>
      <c r="AS89" s="3"/>
      <c r="AT89" s="3"/>
      <c r="AU89" s="3"/>
      <c r="AV89" s="3"/>
      <c r="AW89" s="3"/>
      <c r="AX89" s="8"/>
      <c r="AY89" s="8"/>
      <c r="AZ89" s="3"/>
      <c r="BA89" s="5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GP89" s="54"/>
      <c r="GQ89" s="54"/>
    </row>
    <row r="90" spans="1:199" ht="15" hidden="1" customHeight="1" x14ac:dyDescent="0.25">
      <c r="A90" s="97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8"/>
      <c r="X90" s="3"/>
      <c r="Y90" s="3"/>
      <c r="Z90" s="3"/>
      <c r="AA90" s="3"/>
      <c r="AB90" s="3"/>
      <c r="AC90" s="8"/>
      <c r="AD90" s="8"/>
      <c r="AE90" s="3"/>
      <c r="AF90" s="3"/>
      <c r="AG90" s="3"/>
      <c r="AH90" s="3"/>
      <c r="AI90" s="3"/>
      <c r="AJ90" s="8"/>
      <c r="AK90" s="8"/>
      <c r="AL90" s="3"/>
      <c r="AM90" s="3"/>
      <c r="AN90" s="3"/>
      <c r="AO90" s="3"/>
      <c r="AP90" s="3"/>
      <c r="AQ90" s="8"/>
      <c r="AR90" s="8"/>
      <c r="AS90" s="3"/>
      <c r="AT90" s="3"/>
      <c r="AU90" s="3"/>
      <c r="AV90" s="3"/>
      <c r="AW90" s="3"/>
      <c r="AX90" s="8"/>
      <c r="AY90" s="8"/>
      <c r="AZ90" s="3"/>
      <c r="BA90" s="5"/>
      <c r="BB90" s="59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8"/>
      <c r="X91" s="3"/>
      <c r="Y91" s="3"/>
      <c r="Z91" s="3"/>
      <c r="AA91" s="3"/>
      <c r="AB91" s="3"/>
      <c r="AC91" s="8"/>
      <c r="AD91" s="8"/>
      <c r="AE91" s="3"/>
      <c r="AF91" s="3"/>
      <c r="AG91" s="3"/>
      <c r="AH91" s="3"/>
      <c r="AI91" s="3"/>
      <c r="AJ91" s="8"/>
      <c r="AK91" s="8"/>
      <c r="AL91" s="3"/>
      <c r="AM91" s="3"/>
      <c r="AN91" s="3"/>
      <c r="AO91" s="3"/>
      <c r="AP91" s="3"/>
      <c r="AQ91" s="8"/>
      <c r="AR91" s="8"/>
      <c r="AS91" s="3"/>
      <c r="AT91" s="3"/>
      <c r="AU91" s="3"/>
      <c r="AV91" s="3"/>
      <c r="AW91" s="3"/>
      <c r="AX91" s="8"/>
      <c r="AY91" s="8"/>
      <c r="AZ91" s="3"/>
      <c r="BA91" s="5"/>
      <c r="BB91" s="59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8"/>
      <c r="X92" s="3"/>
      <c r="Y92" s="3"/>
      <c r="Z92" s="3"/>
      <c r="AA92" s="3"/>
      <c r="AB92" s="3"/>
      <c r="AC92" s="8"/>
      <c r="AD92" s="8"/>
      <c r="AE92" s="3"/>
      <c r="AF92" s="3"/>
      <c r="AG92" s="3"/>
      <c r="AH92" s="3"/>
      <c r="AI92" s="3"/>
      <c r="AJ92" s="8"/>
      <c r="AK92" s="8"/>
      <c r="AL92" s="3"/>
      <c r="AM92" s="3"/>
      <c r="AN92" s="3"/>
      <c r="AO92" s="3"/>
      <c r="AP92" s="3"/>
      <c r="AQ92" s="8"/>
      <c r="AR92" s="8"/>
      <c r="AS92" s="3"/>
      <c r="AT92" s="3"/>
      <c r="AU92" s="3"/>
      <c r="AV92" s="3"/>
      <c r="AW92" s="3"/>
      <c r="AX92" s="8"/>
      <c r="AY92" s="8"/>
      <c r="AZ92" s="3"/>
      <c r="BA92" s="5"/>
      <c r="BB92" s="59"/>
      <c r="BC92" s="59"/>
      <c r="GP92" s="54"/>
      <c r="GQ92" s="54"/>
    </row>
    <row r="93" spans="1:199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8"/>
      <c r="X93" s="3"/>
      <c r="Y93" s="3"/>
      <c r="Z93" s="3"/>
      <c r="AA93" s="3"/>
      <c r="AB93" s="3"/>
      <c r="AC93" s="8"/>
      <c r="AD93" s="8"/>
      <c r="AE93" s="3"/>
      <c r="AF93" s="3"/>
      <c r="AG93" s="3"/>
      <c r="AH93" s="3"/>
      <c r="AI93" s="3"/>
      <c r="AJ93" s="8"/>
      <c r="AK93" s="8"/>
      <c r="AL93" s="3"/>
      <c r="AM93" s="3"/>
      <c r="AN93" s="3"/>
      <c r="AO93" s="3"/>
      <c r="AP93" s="3"/>
      <c r="AQ93" s="8"/>
      <c r="AR93" s="8"/>
      <c r="AS93" s="3"/>
      <c r="AT93" s="3"/>
      <c r="AU93" s="3"/>
      <c r="AV93" s="3"/>
      <c r="AW93" s="3"/>
      <c r="AX93" s="8"/>
      <c r="AY93" s="8"/>
      <c r="AZ93" s="3"/>
      <c r="BA93" s="5"/>
      <c r="BB93" s="58"/>
      <c r="BC93" s="59"/>
      <c r="GP93" s="54"/>
      <c r="GQ93" s="54"/>
    </row>
    <row r="94" spans="1:199" ht="15" hidden="1" customHeight="1" x14ac:dyDescent="0.25">
      <c r="A94" s="97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8"/>
      <c r="X94" s="3"/>
      <c r="Y94" s="3"/>
      <c r="Z94" s="3"/>
      <c r="AA94" s="3"/>
      <c r="AB94" s="3"/>
      <c r="AC94" s="8"/>
      <c r="AD94" s="8"/>
      <c r="AE94" s="3"/>
      <c r="AF94" s="3"/>
      <c r="AG94" s="3"/>
      <c r="AH94" s="3"/>
      <c r="AI94" s="3"/>
      <c r="AJ94" s="8"/>
      <c r="AK94" s="8"/>
      <c r="AL94" s="3"/>
      <c r="AM94" s="3"/>
      <c r="AN94" s="3"/>
      <c r="AO94" s="3"/>
      <c r="AP94" s="3"/>
      <c r="AQ94" s="8"/>
      <c r="AR94" s="8"/>
      <c r="AS94" s="3"/>
      <c r="AT94" s="3"/>
      <c r="AU94" s="3"/>
      <c r="AV94" s="3"/>
      <c r="AW94" s="3"/>
      <c r="AX94" s="8"/>
      <c r="AY94" s="8"/>
      <c r="AZ94" s="3"/>
      <c r="BA94" s="5"/>
      <c r="BB94" s="58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8"/>
      <c r="X95" s="3"/>
      <c r="Y95" s="3"/>
      <c r="Z95" s="3"/>
      <c r="AA95" s="3"/>
      <c r="AB95" s="3"/>
      <c r="AC95" s="8"/>
      <c r="AD95" s="8"/>
      <c r="AE95" s="3"/>
      <c r="AF95" s="3"/>
      <c r="AG95" s="3"/>
      <c r="AH95" s="3"/>
      <c r="AI95" s="3"/>
      <c r="AJ95" s="8"/>
      <c r="AK95" s="8"/>
      <c r="AL95" s="3"/>
      <c r="AM95" s="3"/>
      <c r="AN95" s="3"/>
      <c r="AO95" s="3"/>
      <c r="AP95" s="3"/>
      <c r="AQ95" s="8"/>
      <c r="AR95" s="8"/>
      <c r="AS95" s="3"/>
      <c r="AT95" s="3"/>
      <c r="AU95" s="3"/>
      <c r="AV95" s="3"/>
      <c r="AW95" s="3"/>
      <c r="AX95" s="8"/>
      <c r="AY95" s="8"/>
      <c r="AZ95" s="3"/>
      <c r="BA95" s="5"/>
      <c r="BB95" s="59"/>
      <c r="BC95" s="59"/>
      <c r="GP95" s="54"/>
      <c r="GQ95" s="54"/>
    </row>
    <row r="96" spans="1:199" ht="15" hidden="1" customHeight="1" x14ac:dyDescent="0.25">
      <c r="A96" s="97">
        <v>85</v>
      </c>
      <c r="B96" s="103"/>
      <c r="C96" s="104"/>
      <c r="D96" s="1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8"/>
      <c r="X96" s="3"/>
      <c r="Y96" s="3"/>
      <c r="Z96" s="3"/>
      <c r="AA96" s="3"/>
      <c r="AB96" s="3"/>
      <c r="AC96" s="8"/>
      <c r="AD96" s="8"/>
      <c r="AE96" s="3"/>
      <c r="AF96" s="3"/>
      <c r="AG96" s="3"/>
      <c r="AH96" s="3"/>
      <c r="AI96" s="3"/>
      <c r="AJ96" s="8"/>
      <c r="AK96" s="8"/>
      <c r="AL96" s="3"/>
      <c r="AM96" s="3"/>
      <c r="AN96" s="3"/>
      <c r="AO96" s="3"/>
      <c r="AP96" s="3"/>
      <c r="AQ96" s="8"/>
      <c r="AR96" s="8"/>
      <c r="AS96" s="3"/>
      <c r="AT96" s="3"/>
      <c r="AU96" s="3"/>
      <c r="AV96" s="3"/>
      <c r="AW96" s="3"/>
      <c r="AX96" s="8"/>
      <c r="AY96" s="8"/>
      <c r="AZ96" s="3"/>
      <c r="BA96" s="5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8"/>
      <c r="X97" s="3"/>
      <c r="Y97" s="3"/>
      <c r="Z97" s="3"/>
      <c r="AA97" s="3"/>
      <c r="AB97" s="3"/>
      <c r="AC97" s="8"/>
      <c r="AD97" s="8"/>
      <c r="AE97" s="3"/>
      <c r="AF97" s="3"/>
      <c r="AG97" s="3"/>
      <c r="AH97" s="3"/>
      <c r="AI97" s="3"/>
      <c r="AJ97" s="8"/>
      <c r="AK97" s="8"/>
      <c r="AL97" s="3"/>
      <c r="AM97" s="3"/>
      <c r="AN97" s="3"/>
      <c r="AO97" s="3"/>
      <c r="AP97" s="3"/>
      <c r="AQ97" s="8"/>
      <c r="AR97" s="8"/>
      <c r="AS97" s="3"/>
      <c r="AT97" s="3"/>
      <c r="AU97" s="3"/>
      <c r="AV97" s="3"/>
      <c r="AW97" s="3"/>
      <c r="AX97" s="8"/>
      <c r="AY97" s="8"/>
      <c r="AZ97" s="3"/>
      <c r="BA97" s="5"/>
      <c r="BB97" s="106"/>
      <c r="BC97" s="59"/>
      <c r="GP97" s="54"/>
      <c r="GQ97" s="54"/>
    </row>
    <row r="98" spans="1:199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8"/>
      <c r="X98" s="3"/>
      <c r="Y98" s="3"/>
      <c r="Z98" s="3"/>
      <c r="AA98" s="3"/>
      <c r="AB98" s="3"/>
      <c r="AC98" s="8"/>
      <c r="AD98" s="8"/>
      <c r="AE98" s="3"/>
      <c r="AF98" s="3"/>
      <c r="AG98" s="3"/>
      <c r="AH98" s="3"/>
      <c r="AI98" s="3"/>
      <c r="AJ98" s="8"/>
      <c r="AK98" s="8"/>
      <c r="AL98" s="3"/>
      <c r="AM98" s="3"/>
      <c r="AN98" s="3"/>
      <c r="AO98" s="3"/>
      <c r="AP98" s="3"/>
      <c r="AQ98" s="8"/>
      <c r="AR98" s="8"/>
      <c r="AS98" s="3"/>
      <c r="AT98" s="3"/>
      <c r="AU98" s="3"/>
      <c r="AV98" s="3"/>
      <c r="AW98" s="3"/>
      <c r="AX98" s="8"/>
      <c r="AY98" s="8"/>
      <c r="AZ98" s="3"/>
      <c r="BA98" s="5"/>
      <c r="BB98" s="59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8"/>
      <c r="X99" s="3"/>
      <c r="Y99" s="3"/>
      <c r="Z99" s="3"/>
      <c r="AA99" s="3"/>
      <c r="AB99" s="3"/>
      <c r="AC99" s="8"/>
      <c r="AD99" s="8"/>
      <c r="AE99" s="3"/>
      <c r="AF99" s="3"/>
      <c r="AG99" s="3"/>
      <c r="AH99" s="3"/>
      <c r="AI99" s="3"/>
      <c r="AJ99" s="8"/>
      <c r="AK99" s="8"/>
      <c r="AL99" s="3"/>
      <c r="AM99" s="3"/>
      <c r="AN99" s="3"/>
      <c r="AO99" s="3"/>
      <c r="AP99" s="3"/>
      <c r="AQ99" s="8"/>
      <c r="AR99" s="8"/>
      <c r="AS99" s="3"/>
      <c r="AT99" s="3"/>
      <c r="AU99" s="3"/>
      <c r="AV99" s="3"/>
      <c r="AW99" s="3"/>
      <c r="AX99" s="8"/>
      <c r="AY99" s="8"/>
      <c r="AZ99" s="3"/>
      <c r="BA99" s="5"/>
      <c r="BB99" s="59"/>
      <c r="BC99" s="59"/>
      <c r="GP99" s="54"/>
      <c r="GQ99" s="54"/>
    </row>
    <row r="100" spans="1:199" ht="15" hidden="1" customHeight="1" x14ac:dyDescent="0.25">
      <c r="A100" s="97">
        <v>89</v>
      </c>
      <c r="B100" s="103"/>
      <c r="C100" s="104"/>
      <c r="D100" s="2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8"/>
      <c r="X100" s="3"/>
      <c r="Y100" s="3"/>
      <c r="Z100" s="3"/>
      <c r="AA100" s="3"/>
      <c r="AB100" s="3"/>
      <c r="AC100" s="8"/>
      <c r="AD100" s="8"/>
      <c r="AE100" s="3"/>
      <c r="AF100" s="3"/>
      <c r="AG100" s="3"/>
      <c r="AH100" s="3"/>
      <c r="AI100" s="3"/>
      <c r="AJ100" s="8"/>
      <c r="AK100" s="8"/>
      <c r="AL100" s="3"/>
      <c r="AM100" s="3"/>
      <c r="AN100" s="3"/>
      <c r="AO100" s="3"/>
      <c r="AP100" s="3"/>
      <c r="AQ100" s="8"/>
      <c r="AR100" s="8"/>
      <c r="AS100" s="3"/>
      <c r="AT100" s="3"/>
      <c r="AU100" s="3"/>
      <c r="AV100" s="3"/>
      <c r="AW100" s="3"/>
      <c r="AX100" s="8"/>
      <c r="AY100" s="8"/>
      <c r="AZ100" s="3"/>
      <c r="BA100" s="5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8"/>
      <c r="X101" s="3"/>
      <c r="Y101" s="3"/>
      <c r="Z101" s="3"/>
      <c r="AA101" s="3"/>
      <c r="AB101" s="3"/>
      <c r="AC101" s="8"/>
      <c r="AD101" s="8"/>
      <c r="AE101" s="3"/>
      <c r="AF101" s="3"/>
      <c r="AG101" s="3"/>
      <c r="AH101" s="3"/>
      <c r="AI101" s="3"/>
      <c r="AJ101" s="8"/>
      <c r="AK101" s="8"/>
      <c r="AL101" s="3"/>
      <c r="AM101" s="3"/>
      <c r="AN101" s="3"/>
      <c r="AO101" s="3"/>
      <c r="AP101" s="3"/>
      <c r="AQ101" s="8"/>
      <c r="AR101" s="8"/>
      <c r="AS101" s="3"/>
      <c r="AT101" s="3"/>
      <c r="AU101" s="3"/>
      <c r="AV101" s="3"/>
      <c r="AW101" s="3"/>
      <c r="AX101" s="8"/>
      <c r="AY101" s="8"/>
      <c r="AZ101" s="3"/>
      <c r="BA101" s="5"/>
      <c r="BB101" s="59"/>
      <c r="BC101" s="59"/>
      <c r="GP101" s="54"/>
      <c r="GQ101" s="54"/>
    </row>
    <row r="102" spans="1:199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8"/>
      <c r="X102" s="3"/>
      <c r="Y102" s="3"/>
      <c r="Z102" s="3"/>
      <c r="AA102" s="3"/>
      <c r="AB102" s="3"/>
      <c r="AC102" s="8"/>
      <c r="AD102" s="8"/>
      <c r="AE102" s="3"/>
      <c r="AF102" s="3"/>
      <c r="AG102" s="3"/>
      <c r="AH102" s="3"/>
      <c r="AI102" s="3"/>
      <c r="AJ102" s="8"/>
      <c r="AK102" s="8"/>
      <c r="AL102" s="3"/>
      <c r="AM102" s="3"/>
      <c r="AN102" s="3"/>
      <c r="AO102" s="3"/>
      <c r="AP102" s="3"/>
      <c r="AQ102" s="8"/>
      <c r="AR102" s="8"/>
      <c r="AS102" s="3"/>
      <c r="AT102" s="3"/>
      <c r="AU102" s="3"/>
      <c r="AV102" s="3"/>
      <c r="AW102" s="3"/>
      <c r="AX102" s="8"/>
      <c r="AY102" s="8"/>
      <c r="AZ102" s="3"/>
      <c r="BA102" s="5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8"/>
      <c r="X103" s="3"/>
      <c r="Y103" s="3"/>
      <c r="Z103" s="3"/>
      <c r="AA103" s="3"/>
      <c r="AB103" s="3"/>
      <c r="AC103" s="8"/>
      <c r="AD103" s="8"/>
      <c r="AE103" s="3"/>
      <c r="AF103" s="3"/>
      <c r="AG103" s="3"/>
      <c r="AH103" s="3"/>
      <c r="AI103" s="3"/>
      <c r="AJ103" s="8"/>
      <c r="AK103" s="8"/>
      <c r="AL103" s="3"/>
      <c r="AM103" s="3"/>
      <c r="AN103" s="3"/>
      <c r="AO103" s="3"/>
      <c r="AP103" s="3"/>
      <c r="AQ103" s="8"/>
      <c r="AR103" s="8"/>
      <c r="AS103" s="3"/>
      <c r="AT103" s="3"/>
      <c r="AU103" s="3"/>
      <c r="AV103" s="3"/>
      <c r="AW103" s="3"/>
      <c r="AX103" s="8"/>
      <c r="AY103" s="8"/>
      <c r="AZ103" s="3"/>
      <c r="BA103" s="5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8"/>
      <c r="X104" s="3"/>
      <c r="Y104" s="3"/>
      <c r="Z104" s="3"/>
      <c r="AA104" s="3"/>
      <c r="AB104" s="3"/>
      <c r="AC104" s="8"/>
      <c r="AD104" s="8"/>
      <c r="AE104" s="3"/>
      <c r="AF104" s="3"/>
      <c r="AG104" s="3"/>
      <c r="AH104" s="3"/>
      <c r="AI104" s="3"/>
      <c r="AJ104" s="8"/>
      <c r="AK104" s="8"/>
      <c r="AL104" s="3"/>
      <c r="AM104" s="3"/>
      <c r="AN104" s="3"/>
      <c r="AO104" s="3"/>
      <c r="AP104" s="3"/>
      <c r="AQ104" s="8"/>
      <c r="AR104" s="8"/>
      <c r="AS104" s="3"/>
      <c r="AT104" s="3"/>
      <c r="AU104" s="3"/>
      <c r="AV104" s="3"/>
      <c r="AW104" s="3"/>
      <c r="AX104" s="8"/>
      <c r="AY104" s="8"/>
      <c r="AZ104" s="3"/>
      <c r="BA104" s="5"/>
      <c r="BB104" s="59"/>
      <c r="BC104" s="59"/>
      <c r="GP104" s="54"/>
      <c r="GQ104" s="54"/>
    </row>
    <row r="105" spans="1:199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8"/>
      <c r="X105" s="3"/>
      <c r="Y105" s="3"/>
      <c r="Z105" s="3"/>
      <c r="AA105" s="3"/>
      <c r="AB105" s="3"/>
      <c r="AC105" s="8"/>
      <c r="AD105" s="8"/>
      <c r="AE105" s="3"/>
      <c r="AF105" s="3"/>
      <c r="AG105" s="3"/>
      <c r="AH105" s="3"/>
      <c r="AI105" s="3"/>
      <c r="AJ105" s="8"/>
      <c r="AK105" s="8"/>
      <c r="AL105" s="3"/>
      <c r="AM105" s="3"/>
      <c r="AN105" s="3"/>
      <c r="AO105" s="3"/>
      <c r="AP105" s="3"/>
      <c r="AQ105" s="8"/>
      <c r="AR105" s="8"/>
      <c r="AS105" s="3"/>
      <c r="AT105" s="3"/>
      <c r="AU105" s="3"/>
      <c r="AV105" s="3"/>
      <c r="AW105" s="3"/>
      <c r="AX105" s="8"/>
      <c r="AY105" s="8"/>
      <c r="AZ105" s="3"/>
      <c r="BA105" s="5"/>
      <c r="BB105" s="59"/>
      <c r="BC105" s="59"/>
      <c r="GP105" s="54"/>
      <c r="GQ105" s="54"/>
    </row>
    <row r="106" spans="1:199" ht="15" hidden="1" customHeight="1" x14ac:dyDescent="0.25">
      <c r="A106" s="97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8"/>
      <c r="X106" s="3"/>
      <c r="Y106" s="3"/>
      <c r="Z106" s="3"/>
      <c r="AA106" s="3"/>
      <c r="AB106" s="3"/>
      <c r="AC106" s="8"/>
      <c r="AD106" s="8"/>
      <c r="AE106" s="3"/>
      <c r="AF106" s="3"/>
      <c r="AG106" s="3"/>
      <c r="AH106" s="3"/>
      <c r="AI106" s="3"/>
      <c r="AJ106" s="8"/>
      <c r="AK106" s="8"/>
      <c r="AL106" s="3"/>
      <c r="AM106" s="3"/>
      <c r="AN106" s="3"/>
      <c r="AO106" s="3"/>
      <c r="AP106" s="3"/>
      <c r="AQ106" s="8"/>
      <c r="AR106" s="8"/>
      <c r="AS106" s="3"/>
      <c r="AT106" s="3"/>
      <c r="AU106" s="3"/>
      <c r="AV106" s="3"/>
      <c r="AW106" s="3"/>
      <c r="AX106" s="8"/>
      <c r="AY106" s="8"/>
      <c r="AZ106" s="3"/>
      <c r="BA106" s="5"/>
      <c r="BB106" s="59"/>
      <c r="BC106" s="59"/>
      <c r="GP106" s="54"/>
      <c r="GQ106" s="54"/>
    </row>
    <row r="107" spans="1:199" ht="15" hidden="1" customHeight="1" x14ac:dyDescent="0.25">
      <c r="A107" s="102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8"/>
      <c r="X107" s="3"/>
      <c r="Y107" s="3"/>
      <c r="Z107" s="3"/>
      <c r="AA107" s="3"/>
      <c r="AB107" s="3"/>
      <c r="AC107" s="8"/>
      <c r="AD107" s="8"/>
      <c r="AE107" s="3"/>
      <c r="AF107" s="3"/>
      <c r="AG107" s="3"/>
      <c r="AH107" s="3"/>
      <c r="AI107" s="3"/>
      <c r="AJ107" s="8"/>
      <c r="AK107" s="8"/>
      <c r="AL107" s="3"/>
      <c r="AM107" s="3"/>
      <c r="AN107" s="3"/>
      <c r="AO107" s="3"/>
      <c r="AP107" s="3"/>
      <c r="AQ107" s="8"/>
      <c r="AR107" s="8"/>
      <c r="AS107" s="3"/>
      <c r="AT107" s="3"/>
      <c r="AU107" s="3"/>
      <c r="AV107" s="3"/>
      <c r="AW107" s="3"/>
      <c r="AX107" s="8"/>
      <c r="AY107" s="8"/>
      <c r="AZ107" s="3"/>
      <c r="BA107" s="5"/>
      <c r="BB107" s="59"/>
      <c r="BC107" s="59"/>
      <c r="GP107" s="54"/>
      <c r="GQ107" s="54"/>
    </row>
    <row r="108" spans="1:199" ht="15" hidden="1" customHeight="1" x14ac:dyDescent="0.25">
      <c r="A108" s="97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8"/>
      <c r="X108" s="3"/>
      <c r="Y108" s="3"/>
      <c r="Z108" s="3"/>
      <c r="AA108" s="3"/>
      <c r="AB108" s="3"/>
      <c r="AC108" s="8"/>
      <c r="AD108" s="8"/>
      <c r="AE108" s="3"/>
      <c r="AF108" s="3"/>
      <c r="AG108" s="3"/>
      <c r="AH108" s="3"/>
      <c r="AI108" s="3"/>
      <c r="AJ108" s="8"/>
      <c r="AK108" s="8"/>
      <c r="AL108" s="3"/>
      <c r="AM108" s="3"/>
      <c r="AN108" s="3"/>
      <c r="AO108" s="3"/>
      <c r="AP108" s="3"/>
      <c r="AQ108" s="8"/>
      <c r="AR108" s="8"/>
      <c r="AS108" s="3"/>
      <c r="AT108" s="3"/>
      <c r="AU108" s="3"/>
      <c r="AV108" s="3"/>
      <c r="AW108" s="3"/>
      <c r="AX108" s="8"/>
      <c r="AY108" s="8"/>
      <c r="AZ108" s="3"/>
      <c r="BA108" s="5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2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8"/>
      <c r="X109" s="3"/>
      <c r="Y109" s="3"/>
      <c r="Z109" s="3"/>
      <c r="AA109" s="3"/>
      <c r="AB109" s="3"/>
      <c r="AC109" s="8"/>
      <c r="AD109" s="8"/>
      <c r="AE109" s="3"/>
      <c r="AF109" s="3"/>
      <c r="AG109" s="3"/>
      <c r="AH109" s="3"/>
      <c r="AI109" s="3"/>
      <c r="AJ109" s="8"/>
      <c r="AK109" s="8"/>
      <c r="AL109" s="3"/>
      <c r="AM109" s="3"/>
      <c r="AN109" s="3"/>
      <c r="AO109" s="3"/>
      <c r="AP109" s="3"/>
      <c r="AQ109" s="8"/>
      <c r="AR109" s="8"/>
      <c r="AS109" s="3"/>
      <c r="AT109" s="3"/>
      <c r="AU109" s="3"/>
      <c r="AV109" s="3"/>
      <c r="AW109" s="3"/>
      <c r="AX109" s="8"/>
      <c r="AY109" s="8"/>
      <c r="AZ109" s="3"/>
      <c r="BA109" s="5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8"/>
      <c r="X110" s="3"/>
      <c r="Y110" s="3"/>
      <c r="Z110" s="3"/>
      <c r="AA110" s="3"/>
      <c r="AB110" s="3"/>
      <c r="AC110" s="8"/>
      <c r="AD110" s="8"/>
      <c r="AE110" s="3"/>
      <c r="AF110" s="3"/>
      <c r="AG110" s="3"/>
      <c r="AH110" s="3"/>
      <c r="AI110" s="3"/>
      <c r="AJ110" s="8"/>
      <c r="AK110" s="8"/>
      <c r="AL110" s="3"/>
      <c r="AM110" s="3"/>
      <c r="AN110" s="3"/>
      <c r="AO110" s="3"/>
      <c r="AP110" s="3"/>
      <c r="AQ110" s="8"/>
      <c r="AR110" s="8"/>
      <c r="AS110" s="3"/>
      <c r="AT110" s="3"/>
      <c r="AU110" s="3"/>
      <c r="AV110" s="3"/>
      <c r="AW110" s="3"/>
      <c r="AX110" s="8"/>
      <c r="AY110" s="8"/>
      <c r="AZ110" s="3"/>
      <c r="BA110" s="5"/>
      <c r="BB110" s="59"/>
      <c r="BC110" s="59"/>
      <c r="GP110" s="54"/>
      <c r="GQ110" s="54"/>
    </row>
    <row r="111" spans="1:199" ht="15" hidden="1" customHeight="1" thickBot="1" x14ac:dyDescent="0.3">
      <c r="A111" s="102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8"/>
      <c r="X111" s="3"/>
      <c r="Y111" s="3"/>
      <c r="Z111" s="3"/>
      <c r="AA111" s="3"/>
      <c r="AB111" s="3"/>
      <c r="AC111" s="8"/>
      <c r="AD111" s="8"/>
      <c r="AE111" s="3"/>
      <c r="AF111" s="3"/>
      <c r="AG111" s="3"/>
      <c r="AH111" s="3"/>
      <c r="AI111" s="3"/>
      <c r="AJ111" s="8"/>
      <c r="AK111" s="8"/>
      <c r="AL111" s="3"/>
      <c r="AM111" s="3"/>
      <c r="AN111" s="3"/>
      <c r="AO111" s="3"/>
      <c r="AP111" s="3"/>
      <c r="AQ111" s="8"/>
      <c r="AR111" s="8"/>
      <c r="AS111" s="3"/>
      <c r="AT111" s="3"/>
      <c r="AU111" s="3"/>
      <c r="AV111" s="3"/>
      <c r="AW111" s="3"/>
      <c r="AX111" s="8"/>
      <c r="AY111" s="8"/>
      <c r="AZ111" s="3"/>
      <c r="BA111" s="5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39" priority="2" operator="lessThan">
      <formula>2</formula>
    </cfRule>
  </conditionalFormatting>
  <conditionalFormatting sqref="I12:I111">
    <cfRule type="cellIs" dxfId="38" priority="1" operator="lessThan">
      <formula>10</formula>
    </cfRule>
  </conditionalFormatting>
  <conditionalFormatting sqref="J12:J111">
    <cfRule type="cellIs" dxfId="37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5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55F00E67-76CB-4B29-B99F-A92B115FE2FE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P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2" width="4.88671875" style="120" customWidth="1"/>
    <col min="53" max="53" width="3" style="121" customWidth="1"/>
    <col min="54" max="54" width="33.88671875" style="54" customWidth="1"/>
    <col min="55" max="55" width="11.44140625" style="58"/>
    <col min="56" max="56" width="7.88671875" style="58" customWidth="1"/>
    <col min="57" max="57" width="6.109375" style="58" customWidth="1"/>
    <col min="58" max="58" width="4.88671875" style="58" customWidth="1"/>
    <col min="59" max="59" width="5.88671875" style="58" customWidth="1"/>
    <col min="60" max="60" width="6.109375" style="58" customWidth="1"/>
    <col min="61" max="61" width="5.88671875" style="58" customWidth="1"/>
    <col min="62" max="62" width="5.109375" style="58" customWidth="1"/>
    <col min="63" max="63" width="6.44140625" style="58" customWidth="1"/>
    <col min="64" max="64" width="5.44140625" style="58" customWidth="1"/>
    <col min="65" max="65" width="6.109375" style="58" customWidth="1"/>
    <col min="66" max="198" width="11.44140625" style="58"/>
    <col min="199" max="16384" width="11.44140625" style="54"/>
  </cols>
  <sheetData>
    <row r="1" spans="1:198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15"/>
      <c r="BB1" s="58"/>
      <c r="BD1" s="59"/>
    </row>
    <row r="2" spans="1:198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17"/>
      <c r="BB2" s="61"/>
      <c r="BC2" s="61"/>
      <c r="BD2" s="62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</row>
    <row r="3" spans="1:198" s="63" customFormat="1" ht="16.8" thickTop="1" thickBot="1" x14ac:dyDescent="0.35">
      <c r="A3" s="64" t="s">
        <v>34</v>
      </c>
      <c r="B3" s="65"/>
      <c r="C3" s="122">
        <v>46113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17"/>
      <c r="BB3" s="61"/>
      <c r="BC3" s="61"/>
      <c r="BD3" s="62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</row>
    <row r="4" spans="1:198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17"/>
      <c r="BB4" s="61"/>
      <c r="BC4" s="61"/>
      <c r="BD4" s="62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</row>
    <row r="5" spans="1:198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17"/>
      <c r="BB5" s="61"/>
      <c r="BC5" s="61"/>
      <c r="BD5" s="62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</row>
    <row r="6" spans="1:198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17"/>
      <c r="BB6" s="61"/>
      <c r="BC6" s="61"/>
      <c r="BD6" s="62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</row>
    <row r="7" spans="1:198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7"/>
      <c r="BB7" s="61"/>
      <c r="BC7" s="61"/>
      <c r="BD7" s="62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</row>
    <row r="8" spans="1:198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7"/>
      <c r="BB8" s="61"/>
      <c r="BC8" s="61"/>
      <c r="BD8" s="62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</row>
    <row r="9" spans="1:198" s="63" customFormat="1" ht="16.8" thickTop="1" thickBot="1" x14ac:dyDescent="0.35">
      <c r="A9" s="83" t="s">
        <v>78</v>
      </c>
      <c r="B9" s="84"/>
      <c r="C9" s="85" t="str">
        <f>Jahresübersicht!E12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7"/>
      <c r="BB9" s="61"/>
      <c r="BC9" s="61"/>
      <c r="BD9" s="62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</row>
    <row r="10" spans="1:198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7"/>
      <c r="BB10" s="61"/>
      <c r="BC10" s="61"/>
      <c r="BD10" s="62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</row>
    <row r="11" spans="1:198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59"/>
      <c r="BB11" s="96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GO11" s="54"/>
      <c r="GP11" s="54"/>
    </row>
    <row r="12" spans="1:198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>(IF(O12="hT",4,0))+(IF(P12="hT",4,0))+(IF(Q12="hT",4,0))+(IF(R12="hT",4,0))+(IF(S12="hT",4,0))+T12+(COUNTIF(W12:AZ12,"hT"))</f>
        <v>0</v>
      </c>
      <c r="N12" s="7">
        <f>(IF(O12="x",4,0))+(IF(P12="x",4,0))+(IF(Q12="x",4,0))+(IF(R12="x",4,0))+(IF(S12="x",4,0))+U12+(COUNTIF(W12:AZ12,"x"))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4"/>
      <c r="X12" s="10"/>
      <c r="Y12" s="10"/>
      <c r="Z12" s="11"/>
      <c r="AA12" s="11"/>
      <c r="AB12" s="10"/>
      <c r="AC12" s="10"/>
      <c r="AD12" s="10"/>
      <c r="AE12" s="10"/>
      <c r="AF12" s="10"/>
      <c r="AG12" s="11"/>
      <c r="AH12" s="11"/>
      <c r="AI12" s="10"/>
      <c r="AJ12" s="10"/>
      <c r="AK12" s="10"/>
      <c r="AL12" s="10"/>
      <c r="AM12" s="10"/>
      <c r="AN12" s="11"/>
      <c r="AO12" s="11"/>
      <c r="AP12" s="10"/>
      <c r="AQ12" s="10"/>
      <c r="AR12" s="3"/>
      <c r="AS12" s="10"/>
      <c r="AT12" s="3"/>
      <c r="AU12" s="11"/>
      <c r="AV12" s="11"/>
      <c r="AW12" s="10"/>
      <c r="AX12" s="3"/>
      <c r="AY12" s="128"/>
      <c r="AZ12" s="5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GO12" s="54"/>
      <c r="GP12" s="54"/>
    </row>
    <row r="13" spans="1:198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2">IF(ISBLANK(E13),"",E13*10)</f>
        <v/>
      </c>
      <c r="H13" s="100" t="str">
        <f t="shared" ref="H13:H111" si="3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4">IF(M13=E13,"","X")</f>
        <v/>
      </c>
      <c r="L13" s="6" t="str">
        <f t="shared" si="4"/>
        <v/>
      </c>
      <c r="M13" s="6">
        <f t="shared" ref="M13:M76" si="5">(IF(O13="hT",4,0))+(IF(P13="hT",4,0))+(IF(Q13="hT",4,0))+(IF(R13="hT",4,0))+(IF(S13="hT",4,0))+T13+(COUNTIF(W13:AZ13,"hT"))</f>
        <v>0</v>
      </c>
      <c r="N13" s="7">
        <f t="shared" ref="N13:N76" si="6">(IF(O13="x",4,0))+(IF(P13="x",4,0))+(IF(Q13="x",4,0))+(IF(R13="x",4,0))+(IF(S13="x",4,0))+U13+(COUNTIF(W13:AZ13,"x"))</f>
        <v>0</v>
      </c>
      <c r="O13" s="4"/>
      <c r="P13" s="3"/>
      <c r="Q13" s="3"/>
      <c r="R13" s="3"/>
      <c r="S13" s="3"/>
      <c r="T13" s="3"/>
      <c r="U13" s="5"/>
      <c r="V13" s="125"/>
      <c r="W13" s="4"/>
      <c r="X13" s="3"/>
      <c r="Y13" s="3"/>
      <c r="Z13" s="8"/>
      <c r="AA13" s="8"/>
      <c r="AB13" s="3"/>
      <c r="AC13" s="3"/>
      <c r="AD13" s="3"/>
      <c r="AE13" s="3"/>
      <c r="AF13" s="3"/>
      <c r="AG13" s="8"/>
      <c r="AH13" s="8"/>
      <c r="AI13" s="3"/>
      <c r="AJ13" s="3"/>
      <c r="AK13" s="3"/>
      <c r="AL13" s="3"/>
      <c r="AM13" s="3"/>
      <c r="AN13" s="8"/>
      <c r="AO13" s="8"/>
      <c r="AP13" s="3"/>
      <c r="AQ13" s="3"/>
      <c r="AR13" s="3"/>
      <c r="AS13" s="3"/>
      <c r="AT13" s="3"/>
      <c r="AU13" s="8"/>
      <c r="AV13" s="8"/>
      <c r="AW13" s="3"/>
      <c r="AX13" s="3"/>
      <c r="AY13" s="128"/>
      <c r="AZ13" s="5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GO13" s="54"/>
      <c r="GP13" s="54"/>
    </row>
    <row r="14" spans="1:198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2"/>
        <v/>
      </c>
      <c r="H14" s="100" t="str">
        <f t="shared" si="3"/>
        <v/>
      </c>
      <c r="I14" s="101">
        <f t="shared" si="0"/>
        <v>0</v>
      </c>
      <c r="J14" s="100" t="str">
        <f t="shared" si="1"/>
        <v/>
      </c>
      <c r="K14" s="6" t="str">
        <f t="shared" si="4"/>
        <v/>
      </c>
      <c r="L14" s="6" t="str">
        <f t="shared" si="4"/>
        <v/>
      </c>
      <c r="M14" s="6">
        <f t="shared" si="5"/>
        <v>0</v>
      </c>
      <c r="N14" s="7">
        <f t="shared" si="6"/>
        <v>0</v>
      </c>
      <c r="O14" s="4"/>
      <c r="P14" s="3"/>
      <c r="Q14" s="3"/>
      <c r="R14" s="3"/>
      <c r="S14" s="3"/>
      <c r="T14" s="3"/>
      <c r="U14" s="5"/>
      <c r="V14" s="125"/>
      <c r="W14" s="4"/>
      <c r="X14" s="3"/>
      <c r="Y14" s="3"/>
      <c r="Z14" s="8"/>
      <c r="AA14" s="8"/>
      <c r="AB14" s="3"/>
      <c r="AC14" s="3"/>
      <c r="AD14" s="3"/>
      <c r="AE14" s="3"/>
      <c r="AF14" s="3"/>
      <c r="AG14" s="8"/>
      <c r="AH14" s="8"/>
      <c r="AI14" s="3"/>
      <c r="AJ14" s="3"/>
      <c r="AK14" s="3"/>
      <c r="AL14" s="3"/>
      <c r="AM14" s="3"/>
      <c r="AN14" s="8"/>
      <c r="AO14" s="8"/>
      <c r="AP14" s="3"/>
      <c r="AQ14" s="3"/>
      <c r="AR14" s="3"/>
      <c r="AS14" s="3"/>
      <c r="AT14" s="3"/>
      <c r="AU14" s="8"/>
      <c r="AV14" s="8"/>
      <c r="AW14" s="3"/>
      <c r="AX14" s="3"/>
      <c r="AY14" s="128"/>
      <c r="AZ14" s="5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GO14" s="54"/>
      <c r="GP14" s="54"/>
    </row>
    <row r="15" spans="1:198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2"/>
        <v/>
      </c>
      <c r="H15" s="100" t="str">
        <f t="shared" si="3"/>
        <v/>
      </c>
      <c r="I15" s="101">
        <f t="shared" si="0"/>
        <v>0</v>
      </c>
      <c r="J15" s="100" t="str">
        <f t="shared" si="1"/>
        <v/>
      </c>
      <c r="K15" s="6" t="str">
        <f t="shared" si="4"/>
        <v/>
      </c>
      <c r="L15" s="6" t="str">
        <f t="shared" si="4"/>
        <v/>
      </c>
      <c r="M15" s="6">
        <f t="shared" si="5"/>
        <v>0</v>
      </c>
      <c r="N15" s="7">
        <f t="shared" si="6"/>
        <v>0</v>
      </c>
      <c r="O15" s="4"/>
      <c r="P15" s="3"/>
      <c r="Q15" s="3"/>
      <c r="R15" s="3"/>
      <c r="S15" s="3"/>
      <c r="T15" s="3"/>
      <c r="U15" s="5"/>
      <c r="V15" s="125"/>
      <c r="W15" s="4"/>
      <c r="X15" s="3"/>
      <c r="Y15" s="3"/>
      <c r="Z15" s="8"/>
      <c r="AA15" s="8"/>
      <c r="AB15" s="3"/>
      <c r="AC15" s="3"/>
      <c r="AD15" s="3"/>
      <c r="AE15" s="3"/>
      <c r="AF15" s="3"/>
      <c r="AG15" s="8"/>
      <c r="AH15" s="8"/>
      <c r="AI15" s="3"/>
      <c r="AJ15" s="3"/>
      <c r="AK15" s="3"/>
      <c r="AL15" s="3"/>
      <c r="AM15" s="3"/>
      <c r="AN15" s="8"/>
      <c r="AO15" s="8"/>
      <c r="AP15" s="3"/>
      <c r="AQ15" s="3"/>
      <c r="AR15" s="3"/>
      <c r="AS15" s="3"/>
      <c r="AT15" s="3"/>
      <c r="AU15" s="8"/>
      <c r="AV15" s="8"/>
      <c r="AW15" s="3"/>
      <c r="AX15" s="3"/>
      <c r="AY15" s="128"/>
      <c r="AZ15" s="5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GO15" s="54"/>
      <c r="GP15" s="54"/>
    </row>
    <row r="16" spans="1:198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2"/>
        <v/>
      </c>
      <c r="H16" s="100" t="str">
        <f t="shared" si="3"/>
        <v/>
      </c>
      <c r="I16" s="101">
        <f t="shared" si="0"/>
        <v>0</v>
      </c>
      <c r="J16" s="100" t="str">
        <f t="shared" si="1"/>
        <v/>
      </c>
      <c r="K16" s="6" t="str">
        <f t="shared" si="4"/>
        <v/>
      </c>
      <c r="L16" s="6" t="str">
        <f t="shared" si="4"/>
        <v/>
      </c>
      <c r="M16" s="6">
        <f t="shared" si="5"/>
        <v>0</v>
      </c>
      <c r="N16" s="7">
        <f t="shared" si="6"/>
        <v>0</v>
      </c>
      <c r="O16" s="4"/>
      <c r="P16" s="3"/>
      <c r="Q16" s="3"/>
      <c r="R16" s="3"/>
      <c r="S16" s="3"/>
      <c r="T16" s="3"/>
      <c r="U16" s="5"/>
      <c r="V16" s="125"/>
      <c r="W16" s="4"/>
      <c r="X16" s="3"/>
      <c r="Y16" s="3"/>
      <c r="Z16" s="8"/>
      <c r="AA16" s="8"/>
      <c r="AB16" s="3"/>
      <c r="AC16" s="3"/>
      <c r="AD16" s="3"/>
      <c r="AE16" s="3"/>
      <c r="AF16" s="3"/>
      <c r="AG16" s="8"/>
      <c r="AH16" s="8"/>
      <c r="AI16" s="3"/>
      <c r="AJ16" s="3"/>
      <c r="AK16" s="3"/>
      <c r="AL16" s="3"/>
      <c r="AM16" s="3"/>
      <c r="AN16" s="8"/>
      <c r="AO16" s="8"/>
      <c r="AP16" s="3"/>
      <c r="AQ16" s="3"/>
      <c r="AR16" s="3"/>
      <c r="AS16" s="3"/>
      <c r="AT16" s="3"/>
      <c r="AU16" s="8"/>
      <c r="AV16" s="8"/>
      <c r="AW16" s="3"/>
      <c r="AX16" s="3"/>
      <c r="AY16" s="128"/>
      <c r="AZ16" s="5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GO16" s="54"/>
      <c r="GP16" s="54"/>
    </row>
    <row r="17" spans="1:198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2"/>
        <v/>
      </c>
      <c r="H17" s="100" t="str">
        <f t="shared" si="3"/>
        <v/>
      </c>
      <c r="I17" s="101">
        <f t="shared" si="0"/>
        <v>0</v>
      </c>
      <c r="J17" s="100" t="str">
        <f t="shared" si="1"/>
        <v/>
      </c>
      <c r="K17" s="6" t="str">
        <f t="shared" si="4"/>
        <v/>
      </c>
      <c r="L17" s="6" t="str">
        <f t="shared" si="4"/>
        <v/>
      </c>
      <c r="M17" s="6">
        <f t="shared" si="5"/>
        <v>0</v>
      </c>
      <c r="N17" s="7">
        <f t="shared" si="6"/>
        <v>0</v>
      </c>
      <c r="O17" s="4"/>
      <c r="P17" s="3"/>
      <c r="Q17" s="3"/>
      <c r="R17" s="3"/>
      <c r="S17" s="3"/>
      <c r="T17" s="3"/>
      <c r="U17" s="5"/>
      <c r="V17" s="125"/>
      <c r="W17" s="4"/>
      <c r="X17" s="3"/>
      <c r="Y17" s="3"/>
      <c r="Z17" s="8"/>
      <c r="AA17" s="8"/>
      <c r="AB17" s="3"/>
      <c r="AC17" s="3"/>
      <c r="AD17" s="3"/>
      <c r="AE17" s="3"/>
      <c r="AF17" s="3"/>
      <c r="AG17" s="8"/>
      <c r="AH17" s="8"/>
      <c r="AI17" s="3"/>
      <c r="AJ17" s="3"/>
      <c r="AK17" s="3"/>
      <c r="AL17" s="3"/>
      <c r="AM17" s="3"/>
      <c r="AN17" s="8"/>
      <c r="AO17" s="8"/>
      <c r="AP17" s="3"/>
      <c r="AQ17" s="3"/>
      <c r="AR17" s="3"/>
      <c r="AS17" s="3"/>
      <c r="AT17" s="3"/>
      <c r="AU17" s="8"/>
      <c r="AV17" s="8"/>
      <c r="AW17" s="3"/>
      <c r="AX17" s="3"/>
      <c r="AY17" s="128"/>
      <c r="AZ17" s="5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GO17" s="54"/>
      <c r="GP17" s="54"/>
    </row>
    <row r="18" spans="1:198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2"/>
        <v/>
      </c>
      <c r="H18" s="100" t="str">
        <f t="shared" si="3"/>
        <v/>
      </c>
      <c r="I18" s="101">
        <f t="shared" si="0"/>
        <v>0</v>
      </c>
      <c r="J18" s="100" t="str">
        <f t="shared" si="1"/>
        <v/>
      </c>
      <c r="K18" s="6" t="str">
        <f t="shared" si="4"/>
        <v/>
      </c>
      <c r="L18" s="6" t="str">
        <f t="shared" si="4"/>
        <v/>
      </c>
      <c r="M18" s="6">
        <f t="shared" si="5"/>
        <v>0</v>
      </c>
      <c r="N18" s="7">
        <f t="shared" si="6"/>
        <v>0</v>
      </c>
      <c r="O18" s="4"/>
      <c r="P18" s="3"/>
      <c r="Q18" s="3"/>
      <c r="R18" s="3"/>
      <c r="S18" s="3"/>
      <c r="T18" s="3"/>
      <c r="U18" s="5"/>
      <c r="V18" s="125"/>
      <c r="W18" s="4"/>
      <c r="X18" s="3"/>
      <c r="Y18" s="3"/>
      <c r="Z18" s="8"/>
      <c r="AA18" s="8"/>
      <c r="AB18" s="3"/>
      <c r="AC18" s="3"/>
      <c r="AD18" s="3"/>
      <c r="AE18" s="3"/>
      <c r="AF18" s="3"/>
      <c r="AG18" s="8"/>
      <c r="AH18" s="8"/>
      <c r="AI18" s="3"/>
      <c r="AJ18" s="3"/>
      <c r="AK18" s="3"/>
      <c r="AL18" s="3"/>
      <c r="AM18" s="3"/>
      <c r="AN18" s="8"/>
      <c r="AO18" s="8"/>
      <c r="AP18" s="3"/>
      <c r="AQ18" s="3"/>
      <c r="AR18" s="3"/>
      <c r="AS18" s="3"/>
      <c r="AT18" s="3"/>
      <c r="AU18" s="8"/>
      <c r="AV18" s="8"/>
      <c r="AW18" s="3"/>
      <c r="AX18" s="3"/>
      <c r="AY18" s="128"/>
      <c r="AZ18" s="5"/>
      <c r="BA18" s="58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GO18" s="54"/>
      <c r="GP18" s="54"/>
    </row>
    <row r="19" spans="1:198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2"/>
        <v/>
      </c>
      <c r="H19" s="100" t="str">
        <f t="shared" si="3"/>
        <v/>
      </c>
      <c r="I19" s="101">
        <f t="shared" si="0"/>
        <v>0</v>
      </c>
      <c r="J19" s="100" t="str">
        <f t="shared" si="1"/>
        <v/>
      </c>
      <c r="K19" s="6" t="str">
        <f t="shared" si="4"/>
        <v/>
      </c>
      <c r="L19" s="6" t="str">
        <f t="shared" si="4"/>
        <v/>
      </c>
      <c r="M19" s="6">
        <f t="shared" si="5"/>
        <v>0</v>
      </c>
      <c r="N19" s="7">
        <f t="shared" si="6"/>
        <v>0</v>
      </c>
      <c r="O19" s="4"/>
      <c r="P19" s="3"/>
      <c r="Q19" s="3"/>
      <c r="R19" s="3"/>
      <c r="S19" s="3"/>
      <c r="T19" s="3"/>
      <c r="U19" s="5"/>
      <c r="V19" s="125"/>
      <c r="W19" s="4"/>
      <c r="X19" s="3"/>
      <c r="Y19" s="3"/>
      <c r="Z19" s="8"/>
      <c r="AA19" s="8"/>
      <c r="AB19" s="3"/>
      <c r="AC19" s="3"/>
      <c r="AD19" s="3"/>
      <c r="AE19" s="3"/>
      <c r="AF19" s="3"/>
      <c r="AG19" s="8"/>
      <c r="AH19" s="8"/>
      <c r="AI19" s="3"/>
      <c r="AJ19" s="3"/>
      <c r="AK19" s="3"/>
      <c r="AL19" s="3"/>
      <c r="AM19" s="3"/>
      <c r="AN19" s="8"/>
      <c r="AO19" s="8"/>
      <c r="AP19" s="3"/>
      <c r="AQ19" s="3"/>
      <c r="AR19" s="3"/>
      <c r="AS19" s="3"/>
      <c r="AT19" s="3"/>
      <c r="AU19" s="8"/>
      <c r="AV19" s="8"/>
      <c r="AW19" s="3"/>
      <c r="AX19" s="3"/>
      <c r="AY19" s="128"/>
      <c r="AZ19" s="5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GO19" s="54"/>
      <c r="GP19" s="54"/>
    </row>
    <row r="20" spans="1:198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2"/>
        <v/>
      </c>
      <c r="H20" s="100" t="str">
        <f t="shared" si="3"/>
        <v/>
      </c>
      <c r="I20" s="101">
        <f t="shared" si="0"/>
        <v>0</v>
      </c>
      <c r="J20" s="100" t="str">
        <f t="shared" si="1"/>
        <v/>
      </c>
      <c r="K20" s="6" t="str">
        <f t="shared" si="4"/>
        <v/>
      </c>
      <c r="L20" s="6" t="str">
        <f t="shared" si="4"/>
        <v/>
      </c>
      <c r="M20" s="6">
        <f t="shared" si="5"/>
        <v>0</v>
      </c>
      <c r="N20" s="7">
        <f t="shared" si="6"/>
        <v>0</v>
      </c>
      <c r="O20" s="4"/>
      <c r="P20" s="3"/>
      <c r="Q20" s="3"/>
      <c r="R20" s="3"/>
      <c r="S20" s="3"/>
      <c r="T20" s="3"/>
      <c r="U20" s="5"/>
      <c r="V20" s="125"/>
      <c r="W20" s="4"/>
      <c r="X20" s="3"/>
      <c r="Y20" s="3"/>
      <c r="Z20" s="8"/>
      <c r="AA20" s="8"/>
      <c r="AB20" s="3"/>
      <c r="AC20" s="3"/>
      <c r="AD20" s="3"/>
      <c r="AE20" s="3"/>
      <c r="AF20" s="3"/>
      <c r="AG20" s="8"/>
      <c r="AH20" s="8"/>
      <c r="AI20" s="3"/>
      <c r="AJ20" s="3"/>
      <c r="AK20" s="3"/>
      <c r="AL20" s="3"/>
      <c r="AM20" s="3"/>
      <c r="AN20" s="8"/>
      <c r="AO20" s="8"/>
      <c r="AP20" s="3"/>
      <c r="AQ20" s="3"/>
      <c r="AR20" s="3"/>
      <c r="AS20" s="3"/>
      <c r="AT20" s="3"/>
      <c r="AU20" s="8"/>
      <c r="AV20" s="8"/>
      <c r="AW20" s="3"/>
      <c r="AX20" s="3"/>
      <c r="AY20" s="128"/>
      <c r="AZ20" s="5"/>
      <c r="BA20" s="58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GO20" s="54"/>
      <c r="GP20" s="54"/>
    </row>
    <row r="21" spans="1:198" ht="15" customHeight="1" thickBot="1" x14ac:dyDescent="0.3">
      <c r="A21" s="97">
        <v>10</v>
      </c>
      <c r="B21" s="103"/>
      <c r="C21" s="104"/>
      <c r="D21" s="1"/>
      <c r="E21" s="105"/>
      <c r="F21" s="105"/>
      <c r="G21" s="100" t="str">
        <f t="shared" ref="G21:G80" si="7">IF(ISBLANK(E21),"",E21*10)</f>
        <v/>
      </c>
      <c r="H21" s="100" t="str">
        <f t="shared" ref="H21:H80" si="8">IF(ISBLANK(F21),"",F21*20)</f>
        <v/>
      </c>
      <c r="I21" s="101">
        <f t="shared" ref="I21:I80" si="9">SUM(G21,H21)</f>
        <v>0</v>
      </c>
      <c r="J21" s="100" t="str">
        <f t="shared" si="1"/>
        <v/>
      </c>
      <c r="K21" s="6" t="str">
        <f t="shared" ref="K21:K80" si="10">IF(M21=E21,"","X")</f>
        <v/>
      </c>
      <c r="L21" s="6" t="str">
        <f t="shared" ref="L21:L80" si="11">IF(N21=F21,"","X")</f>
        <v/>
      </c>
      <c r="M21" s="6">
        <f t="shared" si="5"/>
        <v>0</v>
      </c>
      <c r="N21" s="7">
        <f t="shared" si="6"/>
        <v>0</v>
      </c>
      <c r="O21" s="4"/>
      <c r="P21" s="3"/>
      <c r="Q21" s="3"/>
      <c r="R21" s="3"/>
      <c r="S21" s="3"/>
      <c r="T21" s="3"/>
      <c r="U21" s="5"/>
      <c r="V21" s="125"/>
      <c r="W21" s="4"/>
      <c r="X21" s="3"/>
      <c r="Y21" s="3"/>
      <c r="Z21" s="8"/>
      <c r="AA21" s="8"/>
      <c r="AB21" s="3"/>
      <c r="AC21" s="3"/>
      <c r="AD21" s="3"/>
      <c r="AE21" s="3"/>
      <c r="AF21" s="3"/>
      <c r="AG21" s="8"/>
      <c r="AH21" s="8"/>
      <c r="AI21" s="3"/>
      <c r="AJ21" s="3"/>
      <c r="AK21" s="3"/>
      <c r="AL21" s="3"/>
      <c r="AM21" s="3"/>
      <c r="AN21" s="8"/>
      <c r="AO21" s="8"/>
      <c r="AP21" s="3"/>
      <c r="AQ21" s="3"/>
      <c r="AR21" s="3"/>
      <c r="AS21" s="3"/>
      <c r="AT21" s="3"/>
      <c r="AU21" s="8"/>
      <c r="AV21" s="8"/>
      <c r="AW21" s="3"/>
      <c r="AX21" s="3"/>
      <c r="AY21" s="128"/>
      <c r="AZ21" s="5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GO21" s="54"/>
      <c r="GP21" s="54"/>
    </row>
    <row r="22" spans="1:198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5"/>
        <v>0</v>
      </c>
      <c r="N22" s="7">
        <f t="shared" si="6"/>
        <v>0</v>
      </c>
      <c r="O22" s="4"/>
      <c r="P22" s="3"/>
      <c r="Q22" s="3"/>
      <c r="R22" s="3"/>
      <c r="S22" s="3"/>
      <c r="T22" s="3"/>
      <c r="U22" s="5"/>
      <c r="V22" s="125"/>
      <c r="W22" s="4"/>
      <c r="X22" s="3"/>
      <c r="Y22" s="3"/>
      <c r="Z22" s="8"/>
      <c r="AA22" s="8"/>
      <c r="AB22" s="3"/>
      <c r="AC22" s="3"/>
      <c r="AD22" s="3"/>
      <c r="AE22" s="3"/>
      <c r="AF22" s="3"/>
      <c r="AG22" s="8"/>
      <c r="AH22" s="8"/>
      <c r="AI22" s="3"/>
      <c r="AJ22" s="3"/>
      <c r="AK22" s="3"/>
      <c r="AL22" s="3"/>
      <c r="AM22" s="3"/>
      <c r="AN22" s="8"/>
      <c r="AO22" s="8"/>
      <c r="AP22" s="3"/>
      <c r="AQ22" s="3"/>
      <c r="AR22" s="3"/>
      <c r="AS22" s="3"/>
      <c r="AT22" s="3"/>
      <c r="AU22" s="8"/>
      <c r="AV22" s="8"/>
      <c r="AW22" s="3"/>
      <c r="AX22" s="3"/>
      <c r="AY22" s="128"/>
      <c r="AZ22" s="5"/>
      <c r="BA22" s="58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GO22" s="54"/>
      <c r="GP22" s="54"/>
    </row>
    <row r="23" spans="1:198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5"/>
        <v>0</v>
      </c>
      <c r="N23" s="7">
        <f t="shared" si="6"/>
        <v>0</v>
      </c>
      <c r="O23" s="4"/>
      <c r="P23" s="3"/>
      <c r="Q23" s="3"/>
      <c r="R23" s="3"/>
      <c r="S23" s="3"/>
      <c r="T23" s="3"/>
      <c r="U23" s="5"/>
      <c r="V23" s="125"/>
      <c r="W23" s="4"/>
      <c r="X23" s="3"/>
      <c r="Y23" s="3"/>
      <c r="Z23" s="8"/>
      <c r="AA23" s="8"/>
      <c r="AB23" s="3"/>
      <c r="AC23" s="3"/>
      <c r="AD23" s="3"/>
      <c r="AE23" s="3"/>
      <c r="AF23" s="3"/>
      <c r="AG23" s="8"/>
      <c r="AH23" s="8"/>
      <c r="AI23" s="3"/>
      <c r="AJ23" s="3"/>
      <c r="AK23" s="3"/>
      <c r="AL23" s="3"/>
      <c r="AM23" s="3"/>
      <c r="AN23" s="8"/>
      <c r="AO23" s="8"/>
      <c r="AP23" s="3"/>
      <c r="AQ23" s="3"/>
      <c r="AR23" s="3"/>
      <c r="AS23" s="3"/>
      <c r="AT23" s="3"/>
      <c r="AU23" s="8"/>
      <c r="AV23" s="8"/>
      <c r="AW23" s="3"/>
      <c r="AX23" s="3"/>
      <c r="AY23" s="128"/>
      <c r="AZ23" s="5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GO23" s="54"/>
      <c r="GP23" s="54"/>
    </row>
    <row r="24" spans="1:198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5"/>
        <v>0</v>
      </c>
      <c r="N24" s="7">
        <f t="shared" si="6"/>
        <v>0</v>
      </c>
      <c r="O24" s="4"/>
      <c r="P24" s="3"/>
      <c r="Q24" s="3"/>
      <c r="R24" s="3"/>
      <c r="S24" s="3"/>
      <c r="T24" s="3"/>
      <c r="U24" s="5"/>
      <c r="V24" s="125"/>
      <c r="W24" s="4"/>
      <c r="X24" s="3"/>
      <c r="Y24" s="3"/>
      <c r="Z24" s="8"/>
      <c r="AA24" s="8"/>
      <c r="AB24" s="3"/>
      <c r="AC24" s="3"/>
      <c r="AD24" s="3"/>
      <c r="AE24" s="3"/>
      <c r="AF24" s="3"/>
      <c r="AG24" s="8"/>
      <c r="AH24" s="8"/>
      <c r="AI24" s="3"/>
      <c r="AJ24" s="3"/>
      <c r="AK24" s="3"/>
      <c r="AL24" s="3"/>
      <c r="AM24" s="3"/>
      <c r="AN24" s="8"/>
      <c r="AO24" s="8"/>
      <c r="AP24" s="3"/>
      <c r="AQ24" s="3"/>
      <c r="AR24" s="3"/>
      <c r="AS24" s="3"/>
      <c r="AT24" s="3"/>
      <c r="AU24" s="8"/>
      <c r="AV24" s="8"/>
      <c r="AW24" s="3"/>
      <c r="AX24" s="3"/>
      <c r="AY24" s="128"/>
      <c r="AZ24" s="5"/>
      <c r="BA24" s="58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GO24" s="54"/>
      <c r="GP24" s="54"/>
    </row>
    <row r="25" spans="1:198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5"/>
        <v>0</v>
      </c>
      <c r="N25" s="7">
        <f t="shared" si="6"/>
        <v>0</v>
      </c>
      <c r="O25" s="4"/>
      <c r="P25" s="3"/>
      <c r="Q25" s="3"/>
      <c r="R25" s="3"/>
      <c r="S25" s="3"/>
      <c r="T25" s="3"/>
      <c r="U25" s="5"/>
      <c r="V25" s="125"/>
      <c r="W25" s="4"/>
      <c r="X25" s="3"/>
      <c r="Y25" s="3"/>
      <c r="Z25" s="8"/>
      <c r="AA25" s="8"/>
      <c r="AB25" s="3"/>
      <c r="AC25" s="3"/>
      <c r="AD25" s="3"/>
      <c r="AE25" s="3"/>
      <c r="AF25" s="3"/>
      <c r="AG25" s="8"/>
      <c r="AH25" s="8"/>
      <c r="AI25" s="3"/>
      <c r="AJ25" s="3"/>
      <c r="AK25" s="3"/>
      <c r="AL25" s="3"/>
      <c r="AM25" s="3"/>
      <c r="AN25" s="8"/>
      <c r="AO25" s="8"/>
      <c r="AP25" s="3"/>
      <c r="AQ25" s="3"/>
      <c r="AR25" s="3"/>
      <c r="AS25" s="3"/>
      <c r="AT25" s="3"/>
      <c r="AU25" s="8"/>
      <c r="AV25" s="8"/>
      <c r="AW25" s="3"/>
      <c r="AX25" s="3"/>
      <c r="AY25" s="128"/>
      <c r="AZ25" s="5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GO25" s="54"/>
      <c r="GP25" s="54"/>
    </row>
    <row r="26" spans="1:198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5"/>
        <v>0</v>
      </c>
      <c r="N26" s="7">
        <f t="shared" si="6"/>
        <v>0</v>
      </c>
      <c r="O26" s="4"/>
      <c r="P26" s="3"/>
      <c r="Q26" s="3"/>
      <c r="R26" s="3"/>
      <c r="S26" s="3"/>
      <c r="T26" s="3"/>
      <c r="U26" s="5"/>
      <c r="V26" s="125"/>
      <c r="W26" s="4"/>
      <c r="X26" s="3"/>
      <c r="Y26" s="3"/>
      <c r="Z26" s="8"/>
      <c r="AA26" s="8"/>
      <c r="AB26" s="3"/>
      <c r="AC26" s="3"/>
      <c r="AD26" s="3"/>
      <c r="AE26" s="3"/>
      <c r="AF26" s="3"/>
      <c r="AG26" s="8"/>
      <c r="AH26" s="8"/>
      <c r="AI26" s="3"/>
      <c r="AJ26" s="3"/>
      <c r="AK26" s="3"/>
      <c r="AL26" s="3"/>
      <c r="AM26" s="3"/>
      <c r="AN26" s="8"/>
      <c r="AO26" s="8"/>
      <c r="AP26" s="3"/>
      <c r="AQ26" s="3"/>
      <c r="AR26" s="3"/>
      <c r="AS26" s="3"/>
      <c r="AT26" s="3"/>
      <c r="AU26" s="8"/>
      <c r="AV26" s="8"/>
      <c r="AW26" s="3"/>
      <c r="AX26" s="3"/>
      <c r="AY26" s="128"/>
      <c r="AZ26" s="5"/>
      <c r="BA26" s="58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GO26" s="54"/>
      <c r="GP26" s="54"/>
    </row>
    <row r="27" spans="1:198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5"/>
        <v>0</v>
      </c>
      <c r="N27" s="7">
        <f t="shared" si="6"/>
        <v>0</v>
      </c>
      <c r="O27" s="4"/>
      <c r="P27" s="3"/>
      <c r="Q27" s="3"/>
      <c r="R27" s="3"/>
      <c r="S27" s="3"/>
      <c r="T27" s="3"/>
      <c r="U27" s="5"/>
      <c r="V27" s="125"/>
      <c r="W27" s="4"/>
      <c r="X27" s="3"/>
      <c r="Y27" s="3"/>
      <c r="Z27" s="8"/>
      <c r="AA27" s="8"/>
      <c r="AB27" s="3"/>
      <c r="AC27" s="3"/>
      <c r="AD27" s="3"/>
      <c r="AE27" s="3"/>
      <c r="AF27" s="3"/>
      <c r="AG27" s="8"/>
      <c r="AH27" s="8"/>
      <c r="AI27" s="3"/>
      <c r="AJ27" s="3"/>
      <c r="AK27" s="3"/>
      <c r="AL27" s="3"/>
      <c r="AM27" s="3"/>
      <c r="AN27" s="8"/>
      <c r="AO27" s="8"/>
      <c r="AP27" s="3"/>
      <c r="AQ27" s="3"/>
      <c r="AR27" s="3"/>
      <c r="AS27" s="3"/>
      <c r="AT27" s="3"/>
      <c r="AU27" s="8"/>
      <c r="AV27" s="8"/>
      <c r="AW27" s="3"/>
      <c r="AX27" s="3"/>
      <c r="AY27" s="128"/>
      <c r="AZ27" s="5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GO27" s="54"/>
      <c r="GP27" s="54"/>
    </row>
    <row r="28" spans="1:198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5"/>
        <v>0</v>
      </c>
      <c r="N28" s="7">
        <f t="shared" si="6"/>
        <v>0</v>
      </c>
      <c r="O28" s="4"/>
      <c r="P28" s="3"/>
      <c r="Q28" s="3"/>
      <c r="R28" s="3"/>
      <c r="S28" s="3"/>
      <c r="T28" s="3"/>
      <c r="U28" s="5"/>
      <c r="V28" s="125"/>
      <c r="W28" s="4"/>
      <c r="X28" s="3"/>
      <c r="Y28" s="3"/>
      <c r="Z28" s="8"/>
      <c r="AA28" s="8"/>
      <c r="AB28" s="3"/>
      <c r="AC28" s="3"/>
      <c r="AD28" s="3"/>
      <c r="AE28" s="3"/>
      <c r="AF28" s="3"/>
      <c r="AG28" s="8"/>
      <c r="AH28" s="8"/>
      <c r="AI28" s="3"/>
      <c r="AJ28" s="3"/>
      <c r="AK28" s="3"/>
      <c r="AL28" s="3"/>
      <c r="AM28" s="3"/>
      <c r="AN28" s="8"/>
      <c r="AO28" s="8"/>
      <c r="AP28" s="3"/>
      <c r="AQ28" s="3"/>
      <c r="AR28" s="3"/>
      <c r="AS28" s="3"/>
      <c r="AT28" s="3"/>
      <c r="AU28" s="8"/>
      <c r="AV28" s="8"/>
      <c r="AW28" s="3"/>
      <c r="AX28" s="3"/>
      <c r="AY28" s="128"/>
      <c r="AZ28" s="5"/>
      <c r="BA28" s="58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GO28" s="54"/>
      <c r="GP28" s="54"/>
    </row>
    <row r="29" spans="1:198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5"/>
        <v>0</v>
      </c>
      <c r="N29" s="7">
        <f t="shared" si="6"/>
        <v>0</v>
      </c>
      <c r="O29" s="4"/>
      <c r="P29" s="3"/>
      <c r="Q29" s="3"/>
      <c r="R29" s="3"/>
      <c r="S29" s="3"/>
      <c r="T29" s="3"/>
      <c r="U29" s="5"/>
      <c r="V29" s="125"/>
      <c r="W29" s="4"/>
      <c r="X29" s="3"/>
      <c r="Y29" s="3"/>
      <c r="Z29" s="8"/>
      <c r="AA29" s="8"/>
      <c r="AB29" s="3"/>
      <c r="AC29" s="3"/>
      <c r="AD29" s="3"/>
      <c r="AE29" s="3"/>
      <c r="AF29" s="3"/>
      <c r="AG29" s="8"/>
      <c r="AH29" s="8"/>
      <c r="AI29" s="3"/>
      <c r="AJ29" s="3"/>
      <c r="AK29" s="3"/>
      <c r="AL29" s="3"/>
      <c r="AM29" s="3"/>
      <c r="AN29" s="8"/>
      <c r="AO29" s="8"/>
      <c r="AP29" s="3"/>
      <c r="AQ29" s="3"/>
      <c r="AR29" s="3"/>
      <c r="AS29" s="3"/>
      <c r="AT29" s="3"/>
      <c r="AU29" s="8"/>
      <c r="AV29" s="8"/>
      <c r="AW29" s="3"/>
      <c r="AX29" s="3"/>
      <c r="AY29" s="128"/>
      <c r="AZ29" s="5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GO29" s="54"/>
      <c r="GP29" s="54"/>
    </row>
    <row r="30" spans="1:198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5"/>
        <v>0</v>
      </c>
      <c r="N30" s="7">
        <f t="shared" si="6"/>
        <v>0</v>
      </c>
      <c r="O30" s="4"/>
      <c r="P30" s="3"/>
      <c r="Q30" s="3"/>
      <c r="R30" s="3"/>
      <c r="S30" s="3"/>
      <c r="T30" s="3"/>
      <c r="U30" s="5"/>
      <c r="V30" s="125"/>
      <c r="W30" s="4"/>
      <c r="X30" s="3"/>
      <c r="Y30" s="3"/>
      <c r="Z30" s="8"/>
      <c r="AA30" s="8"/>
      <c r="AB30" s="3"/>
      <c r="AC30" s="3"/>
      <c r="AD30" s="3"/>
      <c r="AE30" s="3"/>
      <c r="AF30" s="3"/>
      <c r="AG30" s="8"/>
      <c r="AH30" s="8"/>
      <c r="AI30" s="3"/>
      <c r="AJ30" s="3"/>
      <c r="AK30" s="3"/>
      <c r="AL30" s="3"/>
      <c r="AM30" s="3"/>
      <c r="AN30" s="8"/>
      <c r="AO30" s="8"/>
      <c r="AP30" s="3"/>
      <c r="AQ30" s="3"/>
      <c r="AR30" s="3"/>
      <c r="AS30" s="3"/>
      <c r="AT30" s="3"/>
      <c r="AU30" s="8"/>
      <c r="AV30" s="8"/>
      <c r="AW30" s="3"/>
      <c r="AX30" s="3"/>
      <c r="AY30" s="128"/>
      <c r="AZ30" s="5"/>
      <c r="BA30" s="58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GO30" s="54"/>
      <c r="GP30" s="54"/>
    </row>
    <row r="31" spans="1:198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5"/>
        <v>0</v>
      </c>
      <c r="N31" s="7">
        <f t="shared" si="6"/>
        <v>0</v>
      </c>
      <c r="O31" s="4"/>
      <c r="P31" s="3"/>
      <c r="Q31" s="3"/>
      <c r="R31" s="3"/>
      <c r="S31" s="3"/>
      <c r="T31" s="3"/>
      <c r="U31" s="5"/>
      <c r="V31" s="125"/>
      <c r="W31" s="4"/>
      <c r="X31" s="3"/>
      <c r="Y31" s="3"/>
      <c r="Z31" s="8"/>
      <c r="AA31" s="8"/>
      <c r="AB31" s="3"/>
      <c r="AC31" s="3"/>
      <c r="AD31" s="3"/>
      <c r="AE31" s="3"/>
      <c r="AF31" s="3"/>
      <c r="AG31" s="8"/>
      <c r="AH31" s="8"/>
      <c r="AI31" s="3"/>
      <c r="AJ31" s="3"/>
      <c r="AK31" s="3"/>
      <c r="AL31" s="3"/>
      <c r="AM31" s="3"/>
      <c r="AN31" s="8"/>
      <c r="AO31" s="8"/>
      <c r="AP31" s="3"/>
      <c r="AQ31" s="3"/>
      <c r="AR31" s="3"/>
      <c r="AS31" s="3"/>
      <c r="AT31" s="3"/>
      <c r="AU31" s="8"/>
      <c r="AV31" s="8"/>
      <c r="AW31" s="3"/>
      <c r="AX31" s="3"/>
      <c r="AY31" s="128"/>
      <c r="AZ31" s="5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GO31" s="54"/>
      <c r="GP31" s="54"/>
    </row>
    <row r="32" spans="1:198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5"/>
        <v>0</v>
      </c>
      <c r="N32" s="7">
        <f t="shared" si="6"/>
        <v>0</v>
      </c>
      <c r="O32" s="4"/>
      <c r="P32" s="3"/>
      <c r="Q32" s="3"/>
      <c r="R32" s="3"/>
      <c r="S32" s="3"/>
      <c r="T32" s="3"/>
      <c r="U32" s="5"/>
      <c r="V32" s="125"/>
      <c r="W32" s="4"/>
      <c r="X32" s="3"/>
      <c r="Y32" s="3"/>
      <c r="Z32" s="8"/>
      <c r="AA32" s="8"/>
      <c r="AB32" s="3"/>
      <c r="AC32" s="3"/>
      <c r="AD32" s="3"/>
      <c r="AE32" s="3"/>
      <c r="AF32" s="3"/>
      <c r="AG32" s="8"/>
      <c r="AH32" s="8"/>
      <c r="AI32" s="3"/>
      <c r="AJ32" s="3"/>
      <c r="AK32" s="3"/>
      <c r="AL32" s="3"/>
      <c r="AM32" s="3"/>
      <c r="AN32" s="8"/>
      <c r="AO32" s="8"/>
      <c r="AP32" s="3"/>
      <c r="AQ32" s="3"/>
      <c r="AR32" s="3"/>
      <c r="AS32" s="3"/>
      <c r="AT32" s="3"/>
      <c r="AU32" s="8"/>
      <c r="AV32" s="8"/>
      <c r="AW32" s="3"/>
      <c r="AX32" s="3"/>
      <c r="AY32" s="128"/>
      <c r="AZ32" s="5"/>
      <c r="BA32" s="58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GO32" s="54"/>
      <c r="GP32" s="54"/>
    </row>
    <row r="33" spans="1:198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5"/>
        <v>0</v>
      </c>
      <c r="N33" s="7">
        <f t="shared" si="6"/>
        <v>0</v>
      </c>
      <c r="O33" s="4"/>
      <c r="P33" s="3"/>
      <c r="Q33" s="3"/>
      <c r="R33" s="3"/>
      <c r="S33" s="3"/>
      <c r="T33" s="3"/>
      <c r="U33" s="5"/>
      <c r="V33" s="125"/>
      <c r="W33" s="4"/>
      <c r="X33" s="3"/>
      <c r="Y33" s="3"/>
      <c r="Z33" s="8"/>
      <c r="AA33" s="8"/>
      <c r="AB33" s="3"/>
      <c r="AC33" s="3"/>
      <c r="AD33" s="3"/>
      <c r="AE33" s="3"/>
      <c r="AF33" s="3"/>
      <c r="AG33" s="8"/>
      <c r="AH33" s="8"/>
      <c r="AI33" s="3"/>
      <c r="AJ33" s="3"/>
      <c r="AK33" s="3"/>
      <c r="AL33" s="3"/>
      <c r="AM33" s="3"/>
      <c r="AN33" s="8"/>
      <c r="AO33" s="8"/>
      <c r="AP33" s="3"/>
      <c r="AQ33" s="3"/>
      <c r="AR33" s="3"/>
      <c r="AS33" s="3"/>
      <c r="AT33" s="3"/>
      <c r="AU33" s="8"/>
      <c r="AV33" s="8"/>
      <c r="AW33" s="3"/>
      <c r="AX33" s="3"/>
      <c r="AY33" s="128"/>
      <c r="AZ33" s="5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GO33" s="54"/>
      <c r="GP33" s="54"/>
    </row>
    <row r="34" spans="1:198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5"/>
        <v>0</v>
      </c>
      <c r="N34" s="7">
        <f t="shared" si="6"/>
        <v>0</v>
      </c>
      <c r="O34" s="4"/>
      <c r="P34" s="3"/>
      <c r="Q34" s="3"/>
      <c r="R34" s="3"/>
      <c r="S34" s="3"/>
      <c r="T34" s="3"/>
      <c r="U34" s="5"/>
      <c r="V34" s="125"/>
      <c r="W34" s="4"/>
      <c r="X34" s="3"/>
      <c r="Y34" s="3"/>
      <c r="Z34" s="8"/>
      <c r="AA34" s="8"/>
      <c r="AB34" s="3"/>
      <c r="AC34" s="3"/>
      <c r="AD34" s="3"/>
      <c r="AE34" s="3"/>
      <c r="AF34" s="3"/>
      <c r="AG34" s="8"/>
      <c r="AH34" s="8"/>
      <c r="AI34" s="3"/>
      <c r="AJ34" s="3"/>
      <c r="AK34" s="3"/>
      <c r="AL34" s="3"/>
      <c r="AM34" s="3"/>
      <c r="AN34" s="8"/>
      <c r="AO34" s="8"/>
      <c r="AP34" s="3"/>
      <c r="AQ34" s="3"/>
      <c r="AR34" s="3"/>
      <c r="AS34" s="3"/>
      <c r="AT34" s="3"/>
      <c r="AU34" s="8"/>
      <c r="AV34" s="8"/>
      <c r="AW34" s="3"/>
      <c r="AX34" s="3"/>
      <c r="AY34" s="128"/>
      <c r="AZ34" s="5"/>
      <c r="BA34" s="58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GO34" s="54"/>
      <c r="GP34" s="54"/>
    </row>
    <row r="35" spans="1:198" ht="15" hidden="1" customHeight="1" x14ac:dyDescent="0.25">
      <c r="A35" s="97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5"/>
        <v>0</v>
      </c>
      <c r="N35" s="7">
        <f t="shared" si="6"/>
        <v>0</v>
      </c>
      <c r="O35" s="4"/>
      <c r="P35" s="3"/>
      <c r="Q35" s="3"/>
      <c r="R35" s="3"/>
      <c r="S35" s="3"/>
      <c r="T35" s="3"/>
      <c r="U35" s="5"/>
      <c r="V35" s="125"/>
      <c r="W35" s="4"/>
      <c r="X35" s="3"/>
      <c r="Y35" s="3"/>
      <c r="Z35" s="8"/>
      <c r="AA35" s="8"/>
      <c r="AB35" s="3"/>
      <c r="AC35" s="3"/>
      <c r="AD35" s="3"/>
      <c r="AE35" s="3"/>
      <c r="AF35" s="3"/>
      <c r="AG35" s="8"/>
      <c r="AH35" s="8"/>
      <c r="AI35" s="3"/>
      <c r="AJ35" s="3"/>
      <c r="AK35" s="3"/>
      <c r="AL35" s="3"/>
      <c r="AM35" s="3"/>
      <c r="AN35" s="8"/>
      <c r="AO35" s="8"/>
      <c r="AP35" s="3"/>
      <c r="AQ35" s="3"/>
      <c r="AR35" s="3"/>
      <c r="AS35" s="3"/>
      <c r="AT35" s="3"/>
      <c r="AU35" s="8"/>
      <c r="AV35" s="8"/>
      <c r="AW35" s="3"/>
      <c r="AX35" s="3"/>
      <c r="AY35" s="128"/>
      <c r="AZ35" s="5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GO35" s="54"/>
      <c r="GP35" s="54"/>
    </row>
    <row r="36" spans="1:198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5"/>
        <v>0</v>
      </c>
      <c r="N36" s="7">
        <f t="shared" si="6"/>
        <v>0</v>
      </c>
      <c r="O36" s="4"/>
      <c r="P36" s="3"/>
      <c r="Q36" s="3"/>
      <c r="R36" s="3"/>
      <c r="S36" s="3"/>
      <c r="T36" s="3"/>
      <c r="U36" s="5"/>
      <c r="V36" s="125"/>
      <c r="W36" s="4"/>
      <c r="X36" s="3"/>
      <c r="Y36" s="3"/>
      <c r="Z36" s="8"/>
      <c r="AA36" s="8"/>
      <c r="AB36" s="3"/>
      <c r="AC36" s="3"/>
      <c r="AD36" s="3"/>
      <c r="AE36" s="3"/>
      <c r="AF36" s="3"/>
      <c r="AG36" s="8"/>
      <c r="AH36" s="8"/>
      <c r="AI36" s="3"/>
      <c r="AJ36" s="3"/>
      <c r="AK36" s="3"/>
      <c r="AL36" s="3"/>
      <c r="AM36" s="3"/>
      <c r="AN36" s="8"/>
      <c r="AO36" s="8"/>
      <c r="AP36" s="3"/>
      <c r="AQ36" s="3"/>
      <c r="AR36" s="3"/>
      <c r="AS36" s="3"/>
      <c r="AT36" s="3"/>
      <c r="AU36" s="8"/>
      <c r="AV36" s="8"/>
      <c r="AW36" s="3"/>
      <c r="AX36" s="3"/>
      <c r="AY36" s="128"/>
      <c r="AZ36" s="5"/>
      <c r="BA36" s="58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GO36" s="54"/>
      <c r="GP36" s="54"/>
    </row>
    <row r="37" spans="1:198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5"/>
        <v>0</v>
      </c>
      <c r="N37" s="7">
        <f t="shared" si="6"/>
        <v>0</v>
      </c>
      <c r="O37" s="4"/>
      <c r="P37" s="3"/>
      <c r="Q37" s="3"/>
      <c r="R37" s="3"/>
      <c r="S37" s="3"/>
      <c r="T37" s="3"/>
      <c r="U37" s="5"/>
      <c r="V37" s="125"/>
      <c r="W37" s="4"/>
      <c r="X37" s="3"/>
      <c r="Y37" s="3"/>
      <c r="Z37" s="8"/>
      <c r="AA37" s="8"/>
      <c r="AB37" s="3"/>
      <c r="AC37" s="3"/>
      <c r="AD37" s="3"/>
      <c r="AE37" s="3"/>
      <c r="AF37" s="3"/>
      <c r="AG37" s="8"/>
      <c r="AH37" s="8"/>
      <c r="AI37" s="3"/>
      <c r="AJ37" s="3"/>
      <c r="AK37" s="3"/>
      <c r="AL37" s="3"/>
      <c r="AM37" s="3"/>
      <c r="AN37" s="8"/>
      <c r="AO37" s="8"/>
      <c r="AP37" s="3"/>
      <c r="AQ37" s="3"/>
      <c r="AR37" s="3"/>
      <c r="AS37" s="3"/>
      <c r="AT37" s="3"/>
      <c r="AU37" s="8"/>
      <c r="AV37" s="8"/>
      <c r="AW37" s="3"/>
      <c r="AX37" s="3"/>
      <c r="AY37" s="128"/>
      <c r="AZ37" s="5"/>
      <c r="BA37" s="58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GO37" s="54"/>
      <c r="GP37" s="54"/>
    </row>
    <row r="38" spans="1:198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5"/>
        <v>0</v>
      </c>
      <c r="N38" s="7">
        <f t="shared" si="6"/>
        <v>0</v>
      </c>
      <c r="O38" s="4"/>
      <c r="P38" s="3"/>
      <c r="Q38" s="3"/>
      <c r="R38" s="3"/>
      <c r="S38" s="3"/>
      <c r="T38" s="3"/>
      <c r="U38" s="5"/>
      <c r="V38" s="125"/>
      <c r="W38" s="4"/>
      <c r="X38" s="3"/>
      <c r="Y38" s="3"/>
      <c r="Z38" s="8"/>
      <c r="AA38" s="8"/>
      <c r="AB38" s="3"/>
      <c r="AC38" s="3"/>
      <c r="AD38" s="3"/>
      <c r="AE38" s="3"/>
      <c r="AF38" s="3"/>
      <c r="AG38" s="8"/>
      <c r="AH38" s="8"/>
      <c r="AI38" s="3"/>
      <c r="AJ38" s="3"/>
      <c r="AK38" s="3"/>
      <c r="AL38" s="3"/>
      <c r="AM38" s="3"/>
      <c r="AN38" s="8"/>
      <c r="AO38" s="8"/>
      <c r="AP38" s="3"/>
      <c r="AQ38" s="3"/>
      <c r="AR38" s="3"/>
      <c r="AS38" s="3"/>
      <c r="AT38" s="3"/>
      <c r="AU38" s="8"/>
      <c r="AV38" s="8"/>
      <c r="AW38" s="3"/>
      <c r="AX38" s="3"/>
      <c r="AY38" s="128"/>
      <c r="AZ38" s="5"/>
      <c r="BA38" s="58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GO38" s="54"/>
      <c r="GP38" s="54"/>
    </row>
    <row r="39" spans="1:198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5"/>
        <v>0</v>
      </c>
      <c r="N39" s="7">
        <f t="shared" si="6"/>
        <v>0</v>
      </c>
      <c r="O39" s="4"/>
      <c r="P39" s="3"/>
      <c r="Q39" s="3"/>
      <c r="R39" s="3"/>
      <c r="S39" s="3"/>
      <c r="T39" s="3"/>
      <c r="U39" s="5"/>
      <c r="V39" s="125"/>
      <c r="W39" s="4"/>
      <c r="X39" s="3"/>
      <c r="Y39" s="3"/>
      <c r="Z39" s="8"/>
      <c r="AA39" s="8"/>
      <c r="AB39" s="3"/>
      <c r="AC39" s="3"/>
      <c r="AD39" s="3"/>
      <c r="AE39" s="3"/>
      <c r="AF39" s="3"/>
      <c r="AG39" s="8"/>
      <c r="AH39" s="8"/>
      <c r="AI39" s="3"/>
      <c r="AJ39" s="3"/>
      <c r="AK39" s="3"/>
      <c r="AL39" s="3"/>
      <c r="AM39" s="3"/>
      <c r="AN39" s="8"/>
      <c r="AO39" s="8"/>
      <c r="AP39" s="3"/>
      <c r="AQ39" s="3"/>
      <c r="AR39" s="3"/>
      <c r="AS39" s="3"/>
      <c r="AT39" s="3"/>
      <c r="AU39" s="8"/>
      <c r="AV39" s="8"/>
      <c r="AW39" s="3"/>
      <c r="AX39" s="3"/>
      <c r="AY39" s="128"/>
      <c r="AZ39" s="5"/>
      <c r="BA39" s="58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GO39" s="54"/>
      <c r="GP39" s="54"/>
    </row>
    <row r="40" spans="1:198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5"/>
        <v>0</v>
      </c>
      <c r="N40" s="7">
        <f t="shared" si="6"/>
        <v>0</v>
      </c>
      <c r="O40" s="4"/>
      <c r="P40" s="3"/>
      <c r="Q40" s="3"/>
      <c r="R40" s="3"/>
      <c r="S40" s="3"/>
      <c r="T40" s="3"/>
      <c r="U40" s="5"/>
      <c r="V40" s="125"/>
      <c r="W40" s="4"/>
      <c r="X40" s="3"/>
      <c r="Y40" s="3"/>
      <c r="Z40" s="8"/>
      <c r="AA40" s="8"/>
      <c r="AB40" s="3"/>
      <c r="AC40" s="3"/>
      <c r="AD40" s="3"/>
      <c r="AE40" s="3"/>
      <c r="AF40" s="3"/>
      <c r="AG40" s="8"/>
      <c r="AH40" s="8"/>
      <c r="AI40" s="3"/>
      <c r="AJ40" s="3"/>
      <c r="AK40" s="3"/>
      <c r="AL40" s="3"/>
      <c r="AM40" s="3"/>
      <c r="AN40" s="8"/>
      <c r="AO40" s="8"/>
      <c r="AP40" s="3"/>
      <c r="AQ40" s="3"/>
      <c r="AR40" s="3"/>
      <c r="AS40" s="3"/>
      <c r="AT40" s="3"/>
      <c r="AU40" s="8"/>
      <c r="AV40" s="8"/>
      <c r="AW40" s="3"/>
      <c r="AX40" s="3"/>
      <c r="AY40" s="128"/>
      <c r="AZ40" s="5"/>
      <c r="BA40" s="58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GO40" s="54"/>
      <c r="GP40" s="54"/>
    </row>
    <row r="41" spans="1:198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5"/>
        <v>0</v>
      </c>
      <c r="N41" s="7">
        <f t="shared" si="6"/>
        <v>0</v>
      </c>
      <c r="O41" s="4"/>
      <c r="P41" s="3"/>
      <c r="Q41" s="3"/>
      <c r="R41" s="3"/>
      <c r="S41" s="3"/>
      <c r="T41" s="3"/>
      <c r="U41" s="5"/>
      <c r="V41" s="125"/>
      <c r="W41" s="4"/>
      <c r="X41" s="3"/>
      <c r="Y41" s="3"/>
      <c r="Z41" s="8"/>
      <c r="AA41" s="8"/>
      <c r="AB41" s="3"/>
      <c r="AC41" s="3"/>
      <c r="AD41" s="3"/>
      <c r="AE41" s="3"/>
      <c r="AF41" s="3"/>
      <c r="AG41" s="8"/>
      <c r="AH41" s="8"/>
      <c r="AI41" s="3"/>
      <c r="AJ41" s="3"/>
      <c r="AK41" s="3"/>
      <c r="AL41" s="3"/>
      <c r="AM41" s="3"/>
      <c r="AN41" s="8"/>
      <c r="AO41" s="8"/>
      <c r="AP41" s="3"/>
      <c r="AQ41" s="3"/>
      <c r="AR41" s="3"/>
      <c r="AS41" s="3"/>
      <c r="AT41" s="3"/>
      <c r="AU41" s="8"/>
      <c r="AV41" s="8"/>
      <c r="AW41" s="3"/>
      <c r="AX41" s="3"/>
      <c r="AY41" s="128"/>
      <c r="AZ41" s="5"/>
      <c r="BA41" s="58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GO41" s="54"/>
      <c r="GP41" s="54"/>
    </row>
    <row r="42" spans="1:198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5"/>
        <v>0</v>
      </c>
      <c r="N42" s="7">
        <f t="shared" si="6"/>
        <v>0</v>
      </c>
      <c r="O42" s="4"/>
      <c r="P42" s="3"/>
      <c r="Q42" s="3"/>
      <c r="R42" s="3"/>
      <c r="S42" s="3"/>
      <c r="T42" s="3"/>
      <c r="U42" s="5"/>
      <c r="V42" s="125"/>
      <c r="W42" s="4"/>
      <c r="X42" s="3"/>
      <c r="Y42" s="3"/>
      <c r="Z42" s="8"/>
      <c r="AA42" s="8"/>
      <c r="AB42" s="3"/>
      <c r="AC42" s="3"/>
      <c r="AD42" s="3"/>
      <c r="AE42" s="3"/>
      <c r="AF42" s="3"/>
      <c r="AG42" s="8"/>
      <c r="AH42" s="8"/>
      <c r="AI42" s="3"/>
      <c r="AJ42" s="3"/>
      <c r="AK42" s="3"/>
      <c r="AL42" s="3"/>
      <c r="AM42" s="3"/>
      <c r="AN42" s="8"/>
      <c r="AO42" s="8"/>
      <c r="AP42" s="3"/>
      <c r="AQ42" s="3"/>
      <c r="AR42" s="3"/>
      <c r="AS42" s="3"/>
      <c r="AT42" s="3"/>
      <c r="AU42" s="8"/>
      <c r="AV42" s="8"/>
      <c r="AW42" s="3"/>
      <c r="AX42" s="3"/>
      <c r="AY42" s="128"/>
      <c r="AZ42" s="5"/>
      <c r="BA42" s="58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GO42" s="54"/>
      <c r="GP42" s="54"/>
    </row>
    <row r="43" spans="1:198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5"/>
        <v>0</v>
      </c>
      <c r="N43" s="7">
        <f t="shared" si="6"/>
        <v>0</v>
      </c>
      <c r="O43" s="4"/>
      <c r="P43" s="3"/>
      <c r="Q43" s="3"/>
      <c r="R43" s="3"/>
      <c r="S43" s="3"/>
      <c r="T43" s="3"/>
      <c r="U43" s="5"/>
      <c r="V43" s="125"/>
      <c r="W43" s="4"/>
      <c r="X43" s="3"/>
      <c r="Y43" s="3"/>
      <c r="Z43" s="8"/>
      <c r="AA43" s="8"/>
      <c r="AB43" s="3"/>
      <c r="AC43" s="3"/>
      <c r="AD43" s="3"/>
      <c r="AE43" s="3"/>
      <c r="AF43" s="3"/>
      <c r="AG43" s="8"/>
      <c r="AH43" s="8"/>
      <c r="AI43" s="3"/>
      <c r="AJ43" s="3"/>
      <c r="AK43" s="3"/>
      <c r="AL43" s="3"/>
      <c r="AM43" s="3"/>
      <c r="AN43" s="8"/>
      <c r="AO43" s="8"/>
      <c r="AP43" s="3"/>
      <c r="AQ43" s="3"/>
      <c r="AR43" s="3"/>
      <c r="AS43" s="3"/>
      <c r="AT43" s="3"/>
      <c r="AU43" s="8"/>
      <c r="AV43" s="8"/>
      <c r="AW43" s="3"/>
      <c r="AX43" s="3"/>
      <c r="AY43" s="128"/>
      <c r="AZ43" s="5"/>
      <c r="BA43" s="58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GO43" s="54"/>
      <c r="GP43" s="54"/>
    </row>
    <row r="44" spans="1:198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si="5"/>
        <v>0</v>
      </c>
      <c r="N44" s="7">
        <f t="shared" si="6"/>
        <v>0</v>
      </c>
      <c r="O44" s="4"/>
      <c r="P44" s="3"/>
      <c r="Q44" s="3"/>
      <c r="R44" s="3"/>
      <c r="S44" s="3"/>
      <c r="T44" s="3"/>
      <c r="U44" s="5"/>
      <c r="V44" s="125"/>
      <c r="W44" s="4"/>
      <c r="X44" s="3"/>
      <c r="Y44" s="3"/>
      <c r="Z44" s="8"/>
      <c r="AA44" s="8"/>
      <c r="AB44" s="3"/>
      <c r="AC44" s="3"/>
      <c r="AD44" s="3"/>
      <c r="AE44" s="3"/>
      <c r="AF44" s="3"/>
      <c r="AG44" s="8"/>
      <c r="AH44" s="8"/>
      <c r="AI44" s="3"/>
      <c r="AJ44" s="3"/>
      <c r="AK44" s="3"/>
      <c r="AL44" s="3"/>
      <c r="AM44" s="3"/>
      <c r="AN44" s="8"/>
      <c r="AO44" s="8"/>
      <c r="AP44" s="3"/>
      <c r="AQ44" s="3"/>
      <c r="AR44" s="3"/>
      <c r="AS44" s="3"/>
      <c r="AT44" s="3"/>
      <c r="AU44" s="8"/>
      <c r="AV44" s="8"/>
      <c r="AW44" s="3"/>
      <c r="AX44" s="3"/>
      <c r="AY44" s="128"/>
      <c r="AZ44" s="5"/>
      <c r="BA44" s="58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GO44" s="54"/>
      <c r="GP44" s="54"/>
    </row>
    <row r="45" spans="1:198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5"/>
        <v>0</v>
      </c>
      <c r="N45" s="7">
        <f t="shared" si="6"/>
        <v>0</v>
      </c>
      <c r="O45" s="4"/>
      <c r="P45" s="3"/>
      <c r="Q45" s="3"/>
      <c r="R45" s="3"/>
      <c r="S45" s="3"/>
      <c r="T45" s="3"/>
      <c r="U45" s="5"/>
      <c r="V45" s="125"/>
      <c r="W45" s="4"/>
      <c r="X45" s="3"/>
      <c r="Y45" s="3"/>
      <c r="Z45" s="8"/>
      <c r="AA45" s="8"/>
      <c r="AB45" s="3"/>
      <c r="AC45" s="3"/>
      <c r="AD45" s="3"/>
      <c r="AE45" s="3"/>
      <c r="AF45" s="3"/>
      <c r="AG45" s="8"/>
      <c r="AH45" s="8"/>
      <c r="AI45" s="3"/>
      <c r="AJ45" s="3"/>
      <c r="AK45" s="3"/>
      <c r="AL45" s="3"/>
      <c r="AM45" s="3"/>
      <c r="AN45" s="8"/>
      <c r="AO45" s="8"/>
      <c r="AP45" s="3"/>
      <c r="AQ45" s="3"/>
      <c r="AR45" s="3"/>
      <c r="AS45" s="3"/>
      <c r="AT45" s="3"/>
      <c r="AU45" s="8"/>
      <c r="AV45" s="8"/>
      <c r="AW45" s="3"/>
      <c r="AX45" s="3"/>
      <c r="AY45" s="128"/>
      <c r="AZ45" s="5"/>
      <c r="BA45" s="58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GO45" s="54"/>
      <c r="GP45" s="54"/>
    </row>
    <row r="46" spans="1:198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5"/>
        <v>0</v>
      </c>
      <c r="N46" s="7">
        <f t="shared" si="6"/>
        <v>0</v>
      </c>
      <c r="O46" s="4"/>
      <c r="P46" s="3"/>
      <c r="Q46" s="3"/>
      <c r="R46" s="3"/>
      <c r="S46" s="3"/>
      <c r="T46" s="3"/>
      <c r="U46" s="5"/>
      <c r="V46" s="125"/>
      <c r="W46" s="4"/>
      <c r="X46" s="3"/>
      <c r="Y46" s="3"/>
      <c r="Z46" s="8"/>
      <c r="AA46" s="8"/>
      <c r="AB46" s="3"/>
      <c r="AC46" s="3"/>
      <c r="AD46" s="3"/>
      <c r="AE46" s="3"/>
      <c r="AF46" s="3"/>
      <c r="AG46" s="8"/>
      <c r="AH46" s="8"/>
      <c r="AI46" s="3"/>
      <c r="AJ46" s="3"/>
      <c r="AK46" s="3"/>
      <c r="AL46" s="3"/>
      <c r="AM46" s="3"/>
      <c r="AN46" s="8"/>
      <c r="AO46" s="8"/>
      <c r="AP46" s="3"/>
      <c r="AQ46" s="3"/>
      <c r="AR46" s="3"/>
      <c r="AS46" s="3"/>
      <c r="AT46" s="3"/>
      <c r="AU46" s="8"/>
      <c r="AV46" s="8"/>
      <c r="AW46" s="3"/>
      <c r="AX46" s="3"/>
      <c r="AY46" s="128"/>
      <c r="AZ46" s="5"/>
      <c r="BA46" s="58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GO46" s="54"/>
      <c r="GP46" s="54"/>
    </row>
    <row r="47" spans="1:198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5"/>
        <v>0</v>
      </c>
      <c r="N47" s="7">
        <f t="shared" si="6"/>
        <v>0</v>
      </c>
      <c r="O47" s="4"/>
      <c r="P47" s="3"/>
      <c r="Q47" s="3"/>
      <c r="R47" s="3"/>
      <c r="S47" s="3"/>
      <c r="T47" s="3"/>
      <c r="U47" s="5"/>
      <c r="V47" s="125"/>
      <c r="W47" s="4"/>
      <c r="X47" s="3"/>
      <c r="Y47" s="3"/>
      <c r="Z47" s="8"/>
      <c r="AA47" s="8"/>
      <c r="AB47" s="3"/>
      <c r="AC47" s="3"/>
      <c r="AD47" s="3"/>
      <c r="AE47" s="3"/>
      <c r="AF47" s="3"/>
      <c r="AG47" s="8"/>
      <c r="AH47" s="8"/>
      <c r="AI47" s="3"/>
      <c r="AJ47" s="3"/>
      <c r="AK47" s="3"/>
      <c r="AL47" s="3"/>
      <c r="AM47" s="3"/>
      <c r="AN47" s="8"/>
      <c r="AO47" s="8"/>
      <c r="AP47" s="3"/>
      <c r="AQ47" s="3"/>
      <c r="AR47" s="3"/>
      <c r="AS47" s="3"/>
      <c r="AT47" s="3"/>
      <c r="AU47" s="8"/>
      <c r="AV47" s="8"/>
      <c r="AW47" s="3"/>
      <c r="AX47" s="3"/>
      <c r="AY47" s="128"/>
      <c r="AZ47" s="5"/>
      <c r="BA47" s="58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GO47" s="54"/>
      <c r="GP47" s="54"/>
    </row>
    <row r="48" spans="1:198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5"/>
        <v>0</v>
      </c>
      <c r="N48" s="7">
        <f t="shared" si="6"/>
        <v>0</v>
      </c>
      <c r="O48" s="4"/>
      <c r="P48" s="3"/>
      <c r="Q48" s="3"/>
      <c r="R48" s="3"/>
      <c r="S48" s="3"/>
      <c r="T48" s="3"/>
      <c r="U48" s="5"/>
      <c r="V48" s="125"/>
      <c r="W48" s="4"/>
      <c r="X48" s="3"/>
      <c r="Y48" s="3"/>
      <c r="Z48" s="8"/>
      <c r="AA48" s="8"/>
      <c r="AB48" s="3"/>
      <c r="AC48" s="3"/>
      <c r="AD48" s="3"/>
      <c r="AE48" s="3"/>
      <c r="AF48" s="3"/>
      <c r="AG48" s="8"/>
      <c r="AH48" s="8"/>
      <c r="AI48" s="3"/>
      <c r="AJ48" s="3"/>
      <c r="AK48" s="3"/>
      <c r="AL48" s="3"/>
      <c r="AM48" s="3"/>
      <c r="AN48" s="8"/>
      <c r="AO48" s="8"/>
      <c r="AP48" s="3"/>
      <c r="AQ48" s="3"/>
      <c r="AR48" s="3"/>
      <c r="AS48" s="3"/>
      <c r="AT48" s="3"/>
      <c r="AU48" s="8"/>
      <c r="AV48" s="8"/>
      <c r="AW48" s="3"/>
      <c r="AX48" s="3"/>
      <c r="AY48" s="128"/>
      <c r="AZ48" s="5"/>
      <c r="BA48" s="58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GO48" s="54"/>
      <c r="GP48" s="54"/>
    </row>
    <row r="49" spans="1:198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5"/>
        <v>0</v>
      </c>
      <c r="N49" s="7">
        <f t="shared" si="6"/>
        <v>0</v>
      </c>
      <c r="O49" s="4"/>
      <c r="P49" s="3"/>
      <c r="Q49" s="3"/>
      <c r="R49" s="3"/>
      <c r="S49" s="3"/>
      <c r="T49" s="3"/>
      <c r="U49" s="5"/>
      <c r="V49" s="125"/>
      <c r="W49" s="4"/>
      <c r="X49" s="3"/>
      <c r="Y49" s="3"/>
      <c r="Z49" s="8"/>
      <c r="AA49" s="8"/>
      <c r="AB49" s="3"/>
      <c r="AC49" s="3"/>
      <c r="AD49" s="3"/>
      <c r="AE49" s="3"/>
      <c r="AF49" s="3"/>
      <c r="AG49" s="8"/>
      <c r="AH49" s="8"/>
      <c r="AI49" s="3"/>
      <c r="AJ49" s="3"/>
      <c r="AK49" s="3"/>
      <c r="AL49" s="3"/>
      <c r="AM49" s="3"/>
      <c r="AN49" s="8"/>
      <c r="AO49" s="8"/>
      <c r="AP49" s="3"/>
      <c r="AQ49" s="3"/>
      <c r="AR49" s="3"/>
      <c r="AS49" s="3"/>
      <c r="AT49" s="3"/>
      <c r="AU49" s="8"/>
      <c r="AV49" s="8"/>
      <c r="AW49" s="3"/>
      <c r="AX49" s="3"/>
      <c r="AY49" s="128"/>
      <c r="AZ49" s="5"/>
      <c r="BA49" s="58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GO49" s="54"/>
      <c r="GP49" s="54"/>
    </row>
    <row r="50" spans="1:198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5"/>
        <v>0</v>
      </c>
      <c r="N50" s="7">
        <f t="shared" si="6"/>
        <v>0</v>
      </c>
      <c r="O50" s="4"/>
      <c r="P50" s="3"/>
      <c r="Q50" s="3"/>
      <c r="R50" s="3"/>
      <c r="S50" s="3"/>
      <c r="T50" s="3"/>
      <c r="U50" s="5"/>
      <c r="V50" s="125"/>
      <c r="W50" s="4"/>
      <c r="X50" s="3"/>
      <c r="Y50" s="3"/>
      <c r="Z50" s="8"/>
      <c r="AA50" s="8"/>
      <c r="AB50" s="3"/>
      <c r="AC50" s="3"/>
      <c r="AD50" s="3"/>
      <c r="AE50" s="3"/>
      <c r="AF50" s="3"/>
      <c r="AG50" s="8"/>
      <c r="AH50" s="8"/>
      <c r="AI50" s="3"/>
      <c r="AJ50" s="3"/>
      <c r="AK50" s="3"/>
      <c r="AL50" s="3"/>
      <c r="AM50" s="3"/>
      <c r="AN50" s="8"/>
      <c r="AO50" s="8"/>
      <c r="AP50" s="3"/>
      <c r="AQ50" s="3"/>
      <c r="AR50" s="3"/>
      <c r="AS50" s="3"/>
      <c r="AT50" s="3"/>
      <c r="AU50" s="8"/>
      <c r="AV50" s="8"/>
      <c r="AW50" s="3"/>
      <c r="AX50" s="3"/>
      <c r="AY50" s="128"/>
      <c r="AZ50" s="5"/>
      <c r="BA50" s="58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GO50" s="54"/>
      <c r="GP50" s="54"/>
    </row>
    <row r="51" spans="1:198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5"/>
        <v>0</v>
      </c>
      <c r="N51" s="7">
        <f t="shared" si="6"/>
        <v>0</v>
      </c>
      <c r="O51" s="4"/>
      <c r="P51" s="3"/>
      <c r="Q51" s="3"/>
      <c r="R51" s="3"/>
      <c r="S51" s="3"/>
      <c r="T51" s="3"/>
      <c r="U51" s="5"/>
      <c r="V51" s="125"/>
      <c r="W51" s="4"/>
      <c r="X51" s="3"/>
      <c r="Y51" s="3"/>
      <c r="Z51" s="8"/>
      <c r="AA51" s="8"/>
      <c r="AB51" s="3"/>
      <c r="AC51" s="3"/>
      <c r="AD51" s="3"/>
      <c r="AE51" s="3"/>
      <c r="AF51" s="3"/>
      <c r="AG51" s="8"/>
      <c r="AH51" s="8"/>
      <c r="AI51" s="3"/>
      <c r="AJ51" s="3"/>
      <c r="AK51" s="3"/>
      <c r="AL51" s="3"/>
      <c r="AM51" s="3"/>
      <c r="AN51" s="8"/>
      <c r="AO51" s="8"/>
      <c r="AP51" s="3"/>
      <c r="AQ51" s="3"/>
      <c r="AR51" s="3"/>
      <c r="AS51" s="3"/>
      <c r="AT51" s="3"/>
      <c r="AU51" s="8"/>
      <c r="AV51" s="8"/>
      <c r="AW51" s="3"/>
      <c r="AX51" s="3"/>
      <c r="AY51" s="128"/>
      <c r="AZ51" s="5"/>
      <c r="BA51" s="58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GO51" s="54"/>
      <c r="GP51" s="54"/>
    </row>
    <row r="52" spans="1:198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5"/>
        <v>0</v>
      </c>
      <c r="N52" s="7">
        <f t="shared" si="6"/>
        <v>0</v>
      </c>
      <c r="O52" s="4"/>
      <c r="P52" s="3"/>
      <c r="Q52" s="3"/>
      <c r="R52" s="3"/>
      <c r="S52" s="3"/>
      <c r="T52" s="3"/>
      <c r="U52" s="5"/>
      <c r="V52" s="125"/>
      <c r="W52" s="4"/>
      <c r="X52" s="3"/>
      <c r="Y52" s="3"/>
      <c r="Z52" s="8"/>
      <c r="AA52" s="8"/>
      <c r="AB52" s="3"/>
      <c r="AC52" s="3"/>
      <c r="AD52" s="3"/>
      <c r="AE52" s="3"/>
      <c r="AF52" s="3"/>
      <c r="AG52" s="8"/>
      <c r="AH52" s="8"/>
      <c r="AI52" s="3"/>
      <c r="AJ52" s="3"/>
      <c r="AK52" s="3"/>
      <c r="AL52" s="3"/>
      <c r="AM52" s="3"/>
      <c r="AN52" s="8"/>
      <c r="AO52" s="8"/>
      <c r="AP52" s="3"/>
      <c r="AQ52" s="3"/>
      <c r="AR52" s="3"/>
      <c r="AS52" s="3"/>
      <c r="AT52" s="3"/>
      <c r="AU52" s="8"/>
      <c r="AV52" s="8"/>
      <c r="AW52" s="3"/>
      <c r="AX52" s="3"/>
      <c r="AY52" s="128"/>
      <c r="AZ52" s="5"/>
      <c r="BA52" s="58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GO52" s="54"/>
      <c r="GP52" s="54"/>
    </row>
    <row r="53" spans="1:198" ht="15" hidden="1" customHeight="1" x14ac:dyDescent="0.25">
      <c r="A53" s="97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5"/>
        <v>0</v>
      </c>
      <c r="N53" s="7">
        <f t="shared" si="6"/>
        <v>0</v>
      </c>
      <c r="O53" s="4"/>
      <c r="P53" s="3"/>
      <c r="Q53" s="3"/>
      <c r="R53" s="3"/>
      <c r="S53" s="3"/>
      <c r="T53" s="3"/>
      <c r="U53" s="5"/>
      <c r="V53" s="125"/>
      <c r="W53" s="4"/>
      <c r="X53" s="3"/>
      <c r="Y53" s="3"/>
      <c r="Z53" s="8"/>
      <c r="AA53" s="8"/>
      <c r="AB53" s="3"/>
      <c r="AC53" s="3"/>
      <c r="AD53" s="3"/>
      <c r="AE53" s="3"/>
      <c r="AF53" s="3"/>
      <c r="AG53" s="8"/>
      <c r="AH53" s="8"/>
      <c r="AI53" s="3"/>
      <c r="AJ53" s="3"/>
      <c r="AK53" s="3"/>
      <c r="AL53" s="3"/>
      <c r="AM53" s="3"/>
      <c r="AN53" s="8"/>
      <c r="AO53" s="8"/>
      <c r="AP53" s="3"/>
      <c r="AQ53" s="3"/>
      <c r="AR53" s="3"/>
      <c r="AS53" s="3"/>
      <c r="AT53" s="3"/>
      <c r="AU53" s="8"/>
      <c r="AV53" s="8"/>
      <c r="AW53" s="3"/>
      <c r="AX53" s="3"/>
      <c r="AY53" s="128"/>
      <c r="AZ53" s="5"/>
      <c r="BA53" s="58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GO53" s="54"/>
      <c r="GP53" s="54"/>
    </row>
    <row r="54" spans="1:198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5"/>
        <v>0</v>
      </c>
      <c r="N54" s="7">
        <f t="shared" si="6"/>
        <v>0</v>
      </c>
      <c r="O54" s="4"/>
      <c r="P54" s="3"/>
      <c r="Q54" s="3"/>
      <c r="R54" s="3"/>
      <c r="S54" s="3"/>
      <c r="T54" s="3"/>
      <c r="U54" s="5"/>
      <c r="V54" s="125"/>
      <c r="W54" s="4"/>
      <c r="X54" s="3"/>
      <c r="Y54" s="3"/>
      <c r="Z54" s="8"/>
      <c r="AA54" s="8"/>
      <c r="AB54" s="3"/>
      <c r="AC54" s="3"/>
      <c r="AD54" s="3"/>
      <c r="AE54" s="3"/>
      <c r="AF54" s="3"/>
      <c r="AG54" s="8"/>
      <c r="AH54" s="8"/>
      <c r="AI54" s="3"/>
      <c r="AJ54" s="3"/>
      <c r="AK54" s="3"/>
      <c r="AL54" s="3"/>
      <c r="AM54" s="3"/>
      <c r="AN54" s="8"/>
      <c r="AO54" s="8"/>
      <c r="AP54" s="3"/>
      <c r="AQ54" s="3"/>
      <c r="AR54" s="3"/>
      <c r="AS54" s="3"/>
      <c r="AT54" s="3"/>
      <c r="AU54" s="8"/>
      <c r="AV54" s="8"/>
      <c r="AW54" s="3"/>
      <c r="AX54" s="3"/>
      <c r="AY54" s="128"/>
      <c r="AZ54" s="5"/>
      <c r="BA54" s="58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GO54" s="54"/>
      <c r="GP54" s="54"/>
    </row>
    <row r="55" spans="1:198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5"/>
        <v>0</v>
      </c>
      <c r="N55" s="7">
        <f t="shared" si="6"/>
        <v>0</v>
      </c>
      <c r="O55" s="4"/>
      <c r="P55" s="3"/>
      <c r="Q55" s="3"/>
      <c r="R55" s="3"/>
      <c r="S55" s="3"/>
      <c r="T55" s="3"/>
      <c r="U55" s="5"/>
      <c r="V55" s="125"/>
      <c r="W55" s="4"/>
      <c r="X55" s="3"/>
      <c r="Y55" s="3"/>
      <c r="Z55" s="8"/>
      <c r="AA55" s="8"/>
      <c r="AB55" s="3"/>
      <c r="AC55" s="3"/>
      <c r="AD55" s="3"/>
      <c r="AE55" s="3"/>
      <c r="AF55" s="3"/>
      <c r="AG55" s="8"/>
      <c r="AH55" s="8"/>
      <c r="AI55" s="3"/>
      <c r="AJ55" s="3"/>
      <c r="AK55" s="3"/>
      <c r="AL55" s="3"/>
      <c r="AM55" s="3"/>
      <c r="AN55" s="8"/>
      <c r="AO55" s="8"/>
      <c r="AP55" s="3"/>
      <c r="AQ55" s="3"/>
      <c r="AR55" s="3"/>
      <c r="AS55" s="3"/>
      <c r="AT55" s="3"/>
      <c r="AU55" s="8"/>
      <c r="AV55" s="8"/>
      <c r="AW55" s="3"/>
      <c r="AX55" s="3"/>
      <c r="AY55" s="128"/>
      <c r="AZ55" s="5"/>
      <c r="BA55" s="58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GO55" s="54"/>
      <c r="GP55" s="54"/>
    </row>
    <row r="56" spans="1:198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5"/>
        <v>0</v>
      </c>
      <c r="N56" s="7">
        <f t="shared" si="6"/>
        <v>0</v>
      </c>
      <c r="O56" s="4"/>
      <c r="P56" s="3"/>
      <c r="Q56" s="3"/>
      <c r="R56" s="3"/>
      <c r="S56" s="3"/>
      <c r="T56" s="3"/>
      <c r="U56" s="5"/>
      <c r="V56" s="125"/>
      <c r="W56" s="4"/>
      <c r="X56" s="3"/>
      <c r="Y56" s="3"/>
      <c r="Z56" s="8"/>
      <c r="AA56" s="8"/>
      <c r="AB56" s="3"/>
      <c r="AC56" s="3"/>
      <c r="AD56" s="3"/>
      <c r="AE56" s="3"/>
      <c r="AF56" s="3"/>
      <c r="AG56" s="8"/>
      <c r="AH56" s="8"/>
      <c r="AI56" s="3"/>
      <c r="AJ56" s="3"/>
      <c r="AK56" s="3"/>
      <c r="AL56" s="3"/>
      <c r="AM56" s="3"/>
      <c r="AN56" s="8"/>
      <c r="AO56" s="8"/>
      <c r="AP56" s="3"/>
      <c r="AQ56" s="3"/>
      <c r="AR56" s="3"/>
      <c r="AS56" s="3"/>
      <c r="AT56" s="3"/>
      <c r="AU56" s="8"/>
      <c r="AV56" s="8"/>
      <c r="AW56" s="3"/>
      <c r="AX56" s="3"/>
      <c r="AY56" s="128"/>
      <c r="AZ56" s="5"/>
      <c r="BA56" s="58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GO56" s="54"/>
      <c r="GP56" s="54"/>
    </row>
    <row r="57" spans="1:198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5"/>
        <v>0</v>
      </c>
      <c r="N57" s="7">
        <f t="shared" si="6"/>
        <v>0</v>
      </c>
      <c r="O57" s="4"/>
      <c r="P57" s="3"/>
      <c r="Q57" s="3"/>
      <c r="R57" s="3"/>
      <c r="S57" s="3"/>
      <c r="T57" s="3"/>
      <c r="U57" s="5"/>
      <c r="V57" s="125"/>
      <c r="W57" s="4"/>
      <c r="X57" s="3"/>
      <c r="Y57" s="3"/>
      <c r="Z57" s="8"/>
      <c r="AA57" s="8"/>
      <c r="AB57" s="3"/>
      <c r="AC57" s="3"/>
      <c r="AD57" s="3"/>
      <c r="AE57" s="3"/>
      <c r="AF57" s="3"/>
      <c r="AG57" s="8"/>
      <c r="AH57" s="8"/>
      <c r="AI57" s="3"/>
      <c r="AJ57" s="3"/>
      <c r="AK57" s="3"/>
      <c r="AL57" s="3"/>
      <c r="AM57" s="3"/>
      <c r="AN57" s="8"/>
      <c r="AO57" s="8"/>
      <c r="AP57" s="3"/>
      <c r="AQ57" s="3"/>
      <c r="AR57" s="3"/>
      <c r="AS57" s="3"/>
      <c r="AT57" s="3"/>
      <c r="AU57" s="8"/>
      <c r="AV57" s="8"/>
      <c r="AW57" s="3"/>
      <c r="AX57" s="3"/>
      <c r="AY57" s="128"/>
      <c r="AZ57" s="5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GO57" s="54"/>
      <c r="GP57" s="54"/>
    </row>
    <row r="58" spans="1:198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5"/>
        <v>0</v>
      </c>
      <c r="N58" s="7">
        <f t="shared" si="6"/>
        <v>0</v>
      </c>
      <c r="O58" s="4"/>
      <c r="P58" s="3"/>
      <c r="Q58" s="3"/>
      <c r="R58" s="3"/>
      <c r="S58" s="3"/>
      <c r="T58" s="3"/>
      <c r="U58" s="5"/>
      <c r="V58" s="125"/>
      <c r="W58" s="4"/>
      <c r="X58" s="3"/>
      <c r="Y58" s="3"/>
      <c r="Z58" s="8"/>
      <c r="AA58" s="8"/>
      <c r="AB58" s="3"/>
      <c r="AC58" s="3"/>
      <c r="AD58" s="3"/>
      <c r="AE58" s="3"/>
      <c r="AF58" s="3"/>
      <c r="AG58" s="8"/>
      <c r="AH58" s="8"/>
      <c r="AI58" s="3"/>
      <c r="AJ58" s="3"/>
      <c r="AK58" s="3"/>
      <c r="AL58" s="3"/>
      <c r="AM58" s="3"/>
      <c r="AN58" s="8"/>
      <c r="AO58" s="8"/>
      <c r="AP58" s="3"/>
      <c r="AQ58" s="3"/>
      <c r="AR58" s="3"/>
      <c r="AS58" s="3"/>
      <c r="AT58" s="3"/>
      <c r="AU58" s="8"/>
      <c r="AV58" s="8"/>
      <c r="AW58" s="3"/>
      <c r="AX58" s="3"/>
      <c r="AY58" s="128"/>
      <c r="AZ58" s="5"/>
      <c r="BA58" s="58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GO58" s="54"/>
      <c r="GP58" s="54"/>
    </row>
    <row r="59" spans="1:198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5"/>
        <v>0</v>
      </c>
      <c r="N59" s="7">
        <f t="shared" si="6"/>
        <v>0</v>
      </c>
      <c r="O59" s="4"/>
      <c r="P59" s="3"/>
      <c r="Q59" s="3"/>
      <c r="R59" s="3"/>
      <c r="S59" s="3"/>
      <c r="T59" s="3"/>
      <c r="U59" s="5"/>
      <c r="V59" s="125"/>
      <c r="W59" s="4"/>
      <c r="X59" s="3"/>
      <c r="Y59" s="3"/>
      <c r="Z59" s="8"/>
      <c r="AA59" s="8"/>
      <c r="AB59" s="3"/>
      <c r="AC59" s="3"/>
      <c r="AD59" s="3"/>
      <c r="AE59" s="3"/>
      <c r="AF59" s="3"/>
      <c r="AG59" s="8"/>
      <c r="AH59" s="8"/>
      <c r="AI59" s="3"/>
      <c r="AJ59" s="3"/>
      <c r="AK59" s="3"/>
      <c r="AL59" s="3"/>
      <c r="AM59" s="3"/>
      <c r="AN59" s="8"/>
      <c r="AO59" s="8"/>
      <c r="AP59" s="3"/>
      <c r="AQ59" s="3"/>
      <c r="AR59" s="3"/>
      <c r="AS59" s="3"/>
      <c r="AT59" s="3"/>
      <c r="AU59" s="8"/>
      <c r="AV59" s="8"/>
      <c r="AW59" s="3"/>
      <c r="AX59" s="3"/>
      <c r="AY59" s="128"/>
      <c r="AZ59" s="5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GO59" s="54"/>
      <c r="GP59" s="54"/>
    </row>
    <row r="60" spans="1:198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5"/>
        <v>0</v>
      </c>
      <c r="N60" s="7">
        <f t="shared" si="6"/>
        <v>0</v>
      </c>
      <c r="O60" s="4"/>
      <c r="P60" s="3"/>
      <c r="Q60" s="3"/>
      <c r="R60" s="3"/>
      <c r="S60" s="3"/>
      <c r="T60" s="3"/>
      <c r="U60" s="5"/>
      <c r="V60" s="125"/>
      <c r="W60" s="4"/>
      <c r="X60" s="3"/>
      <c r="Y60" s="3"/>
      <c r="Z60" s="8"/>
      <c r="AA60" s="8"/>
      <c r="AB60" s="3"/>
      <c r="AC60" s="3"/>
      <c r="AD60" s="3"/>
      <c r="AE60" s="3"/>
      <c r="AF60" s="3"/>
      <c r="AG60" s="8"/>
      <c r="AH60" s="8"/>
      <c r="AI60" s="3"/>
      <c r="AJ60" s="3"/>
      <c r="AK60" s="3"/>
      <c r="AL60" s="3"/>
      <c r="AM60" s="3"/>
      <c r="AN60" s="8"/>
      <c r="AO60" s="8"/>
      <c r="AP60" s="3"/>
      <c r="AQ60" s="3"/>
      <c r="AR60" s="3"/>
      <c r="AS60" s="3"/>
      <c r="AT60" s="3"/>
      <c r="AU60" s="8"/>
      <c r="AV60" s="8"/>
      <c r="AW60" s="3"/>
      <c r="AX60" s="3"/>
      <c r="AY60" s="128"/>
      <c r="AZ60" s="5"/>
      <c r="BA60" s="58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GO60" s="54"/>
      <c r="GP60" s="54"/>
    </row>
    <row r="61" spans="1:198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5"/>
        <v>0</v>
      </c>
      <c r="N61" s="7">
        <f t="shared" si="6"/>
        <v>0</v>
      </c>
      <c r="O61" s="4"/>
      <c r="P61" s="3"/>
      <c r="Q61" s="3"/>
      <c r="R61" s="3"/>
      <c r="S61" s="3"/>
      <c r="T61" s="3"/>
      <c r="U61" s="5"/>
      <c r="V61" s="125"/>
      <c r="W61" s="4"/>
      <c r="X61" s="3"/>
      <c r="Y61" s="3"/>
      <c r="Z61" s="8"/>
      <c r="AA61" s="8"/>
      <c r="AB61" s="3"/>
      <c r="AC61" s="3"/>
      <c r="AD61" s="3"/>
      <c r="AE61" s="3"/>
      <c r="AF61" s="3"/>
      <c r="AG61" s="8"/>
      <c r="AH61" s="8"/>
      <c r="AI61" s="3"/>
      <c r="AJ61" s="3"/>
      <c r="AK61" s="3"/>
      <c r="AL61" s="3"/>
      <c r="AM61" s="3"/>
      <c r="AN61" s="8"/>
      <c r="AO61" s="8"/>
      <c r="AP61" s="3"/>
      <c r="AQ61" s="3"/>
      <c r="AR61" s="3"/>
      <c r="AS61" s="3"/>
      <c r="AT61" s="3"/>
      <c r="AU61" s="8"/>
      <c r="AV61" s="8"/>
      <c r="AW61" s="3"/>
      <c r="AX61" s="3"/>
      <c r="AY61" s="128"/>
      <c r="AZ61" s="5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GO61" s="54"/>
      <c r="GP61" s="54"/>
    </row>
    <row r="62" spans="1:198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5"/>
        <v>0</v>
      </c>
      <c r="N62" s="7">
        <f t="shared" si="6"/>
        <v>0</v>
      </c>
      <c r="O62" s="4"/>
      <c r="P62" s="3"/>
      <c r="Q62" s="3"/>
      <c r="R62" s="3"/>
      <c r="S62" s="3"/>
      <c r="T62" s="3"/>
      <c r="U62" s="5"/>
      <c r="V62" s="125"/>
      <c r="W62" s="4"/>
      <c r="X62" s="3"/>
      <c r="Y62" s="3"/>
      <c r="Z62" s="8"/>
      <c r="AA62" s="8"/>
      <c r="AB62" s="3"/>
      <c r="AC62" s="3"/>
      <c r="AD62" s="3"/>
      <c r="AE62" s="3"/>
      <c r="AF62" s="3"/>
      <c r="AG62" s="8"/>
      <c r="AH62" s="8"/>
      <c r="AI62" s="3"/>
      <c r="AJ62" s="3"/>
      <c r="AK62" s="3"/>
      <c r="AL62" s="3"/>
      <c r="AM62" s="3"/>
      <c r="AN62" s="8"/>
      <c r="AO62" s="8"/>
      <c r="AP62" s="3"/>
      <c r="AQ62" s="3"/>
      <c r="AR62" s="3"/>
      <c r="AS62" s="3"/>
      <c r="AT62" s="3"/>
      <c r="AU62" s="8"/>
      <c r="AV62" s="8"/>
      <c r="AW62" s="3"/>
      <c r="AX62" s="3"/>
      <c r="AY62" s="128"/>
      <c r="AZ62" s="5"/>
      <c r="BA62" s="58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GO62" s="54"/>
      <c r="GP62" s="54"/>
    </row>
    <row r="63" spans="1:198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5"/>
        <v>0</v>
      </c>
      <c r="N63" s="7">
        <f t="shared" si="6"/>
        <v>0</v>
      </c>
      <c r="O63" s="4"/>
      <c r="P63" s="3"/>
      <c r="Q63" s="3"/>
      <c r="R63" s="3"/>
      <c r="S63" s="3"/>
      <c r="T63" s="3"/>
      <c r="U63" s="5"/>
      <c r="V63" s="125"/>
      <c r="W63" s="4"/>
      <c r="X63" s="3"/>
      <c r="Y63" s="3"/>
      <c r="Z63" s="8"/>
      <c r="AA63" s="8"/>
      <c r="AB63" s="3"/>
      <c r="AC63" s="3"/>
      <c r="AD63" s="3"/>
      <c r="AE63" s="3"/>
      <c r="AF63" s="3"/>
      <c r="AG63" s="8"/>
      <c r="AH63" s="8"/>
      <c r="AI63" s="3"/>
      <c r="AJ63" s="3"/>
      <c r="AK63" s="3"/>
      <c r="AL63" s="3"/>
      <c r="AM63" s="3"/>
      <c r="AN63" s="8"/>
      <c r="AO63" s="8"/>
      <c r="AP63" s="3"/>
      <c r="AQ63" s="3"/>
      <c r="AR63" s="3"/>
      <c r="AS63" s="3"/>
      <c r="AT63" s="3"/>
      <c r="AU63" s="8"/>
      <c r="AV63" s="8"/>
      <c r="AW63" s="3"/>
      <c r="AX63" s="3"/>
      <c r="AY63" s="128"/>
      <c r="AZ63" s="5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GO63" s="54"/>
      <c r="GP63" s="54"/>
    </row>
    <row r="64" spans="1:198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5"/>
        <v>0</v>
      </c>
      <c r="N64" s="7">
        <f t="shared" si="6"/>
        <v>0</v>
      </c>
      <c r="O64" s="4"/>
      <c r="P64" s="3"/>
      <c r="Q64" s="3"/>
      <c r="R64" s="3"/>
      <c r="S64" s="3"/>
      <c r="T64" s="3"/>
      <c r="U64" s="5"/>
      <c r="V64" s="125"/>
      <c r="W64" s="4"/>
      <c r="X64" s="3"/>
      <c r="Y64" s="3"/>
      <c r="Z64" s="8"/>
      <c r="AA64" s="8"/>
      <c r="AB64" s="3"/>
      <c r="AC64" s="3"/>
      <c r="AD64" s="3"/>
      <c r="AE64" s="3"/>
      <c r="AF64" s="3"/>
      <c r="AG64" s="8"/>
      <c r="AH64" s="8"/>
      <c r="AI64" s="3"/>
      <c r="AJ64" s="3"/>
      <c r="AK64" s="3"/>
      <c r="AL64" s="3"/>
      <c r="AM64" s="3"/>
      <c r="AN64" s="8"/>
      <c r="AO64" s="8"/>
      <c r="AP64" s="3"/>
      <c r="AQ64" s="3"/>
      <c r="AR64" s="3"/>
      <c r="AS64" s="3"/>
      <c r="AT64" s="3"/>
      <c r="AU64" s="8"/>
      <c r="AV64" s="8"/>
      <c r="AW64" s="3"/>
      <c r="AX64" s="3"/>
      <c r="AY64" s="128"/>
      <c r="AZ64" s="5"/>
      <c r="BA64" s="58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GO64" s="54"/>
      <c r="GP64" s="54"/>
    </row>
    <row r="65" spans="1:198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5"/>
        <v>0</v>
      </c>
      <c r="N65" s="7">
        <f t="shared" si="6"/>
        <v>0</v>
      </c>
      <c r="O65" s="4"/>
      <c r="P65" s="3"/>
      <c r="Q65" s="3"/>
      <c r="R65" s="3"/>
      <c r="S65" s="3"/>
      <c r="T65" s="3"/>
      <c r="U65" s="5"/>
      <c r="V65" s="125"/>
      <c r="W65" s="4"/>
      <c r="X65" s="3"/>
      <c r="Y65" s="3"/>
      <c r="Z65" s="8"/>
      <c r="AA65" s="8"/>
      <c r="AB65" s="3"/>
      <c r="AC65" s="3"/>
      <c r="AD65" s="3"/>
      <c r="AE65" s="3"/>
      <c r="AF65" s="3"/>
      <c r="AG65" s="8"/>
      <c r="AH65" s="8"/>
      <c r="AI65" s="3"/>
      <c r="AJ65" s="3"/>
      <c r="AK65" s="3"/>
      <c r="AL65" s="3"/>
      <c r="AM65" s="3"/>
      <c r="AN65" s="8"/>
      <c r="AO65" s="8"/>
      <c r="AP65" s="3"/>
      <c r="AQ65" s="3"/>
      <c r="AR65" s="3"/>
      <c r="AS65" s="3"/>
      <c r="AT65" s="3"/>
      <c r="AU65" s="8"/>
      <c r="AV65" s="8"/>
      <c r="AW65" s="3"/>
      <c r="AX65" s="3"/>
      <c r="AY65" s="128"/>
      <c r="AZ65" s="5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GO65" s="54"/>
      <c r="GP65" s="54"/>
    </row>
    <row r="66" spans="1:198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5"/>
        <v>0</v>
      </c>
      <c r="N66" s="7">
        <f t="shared" si="6"/>
        <v>0</v>
      </c>
      <c r="O66" s="4"/>
      <c r="P66" s="3"/>
      <c r="Q66" s="3"/>
      <c r="R66" s="3"/>
      <c r="S66" s="3"/>
      <c r="T66" s="3"/>
      <c r="U66" s="5"/>
      <c r="V66" s="125"/>
      <c r="W66" s="4"/>
      <c r="X66" s="3"/>
      <c r="Y66" s="3"/>
      <c r="Z66" s="8"/>
      <c r="AA66" s="8"/>
      <c r="AB66" s="3"/>
      <c r="AC66" s="3"/>
      <c r="AD66" s="3"/>
      <c r="AE66" s="3"/>
      <c r="AF66" s="3"/>
      <c r="AG66" s="8"/>
      <c r="AH66" s="8"/>
      <c r="AI66" s="3"/>
      <c r="AJ66" s="3"/>
      <c r="AK66" s="3"/>
      <c r="AL66" s="3"/>
      <c r="AM66" s="3"/>
      <c r="AN66" s="8"/>
      <c r="AO66" s="8"/>
      <c r="AP66" s="3"/>
      <c r="AQ66" s="3"/>
      <c r="AR66" s="3"/>
      <c r="AS66" s="3"/>
      <c r="AT66" s="3"/>
      <c r="AU66" s="8"/>
      <c r="AV66" s="8"/>
      <c r="AW66" s="3"/>
      <c r="AX66" s="3"/>
      <c r="AY66" s="128"/>
      <c r="AZ66" s="5"/>
      <c r="BA66" s="58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GO66" s="54"/>
      <c r="GP66" s="54"/>
    </row>
    <row r="67" spans="1:198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5"/>
        <v>0</v>
      </c>
      <c r="N67" s="7">
        <f t="shared" si="6"/>
        <v>0</v>
      </c>
      <c r="O67" s="4"/>
      <c r="P67" s="3"/>
      <c r="Q67" s="3"/>
      <c r="R67" s="3"/>
      <c r="S67" s="3"/>
      <c r="T67" s="3"/>
      <c r="U67" s="5"/>
      <c r="V67" s="125"/>
      <c r="W67" s="4"/>
      <c r="X67" s="3"/>
      <c r="Y67" s="3"/>
      <c r="Z67" s="8"/>
      <c r="AA67" s="8"/>
      <c r="AB67" s="3"/>
      <c r="AC67" s="3"/>
      <c r="AD67" s="3"/>
      <c r="AE67" s="3"/>
      <c r="AF67" s="3"/>
      <c r="AG67" s="8"/>
      <c r="AH67" s="8"/>
      <c r="AI67" s="3"/>
      <c r="AJ67" s="3"/>
      <c r="AK67" s="3"/>
      <c r="AL67" s="3"/>
      <c r="AM67" s="3"/>
      <c r="AN67" s="8"/>
      <c r="AO67" s="8"/>
      <c r="AP67" s="3"/>
      <c r="AQ67" s="3"/>
      <c r="AR67" s="3"/>
      <c r="AS67" s="3"/>
      <c r="AT67" s="3"/>
      <c r="AU67" s="8"/>
      <c r="AV67" s="8"/>
      <c r="AW67" s="3"/>
      <c r="AX67" s="3"/>
      <c r="AY67" s="128"/>
      <c r="AZ67" s="5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GO67" s="54"/>
      <c r="GP67" s="54"/>
    </row>
    <row r="68" spans="1:198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5"/>
        <v>0</v>
      </c>
      <c r="N68" s="7">
        <f t="shared" si="6"/>
        <v>0</v>
      </c>
      <c r="O68" s="4"/>
      <c r="P68" s="3"/>
      <c r="Q68" s="3"/>
      <c r="R68" s="3"/>
      <c r="S68" s="3"/>
      <c r="T68" s="3"/>
      <c r="U68" s="5"/>
      <c r="V68" s="125"/>
      <c r="W68" s="4"/>
      <c r="X68" s="3"/>
      <c r="Y68" s="3"/>
      <c r="Z68" s="8"/>
      <c r="AA68" s="8"/>
      <c r="AB68" s="3"/>
      <c r="AC68" s="3"/>
      <c r="AD68" s="3"/>
      <c r="AE68" s="3"/>
      <c r="AF68" s="3"/>
      <c r="AG68" s="8"/>
      <c r="AH68" s="8"/>
      <c r="AI68" s="3"/>
      <c r="AJ68" s="3"/>
      <c r="AK68" s="3"/>
      <c r="AL68" s="3"/>
      <c r="AM68" s="3"/>
      <c r="AN68" s="8"/>
      <c r="AO68" s="8"/>
      <c r="AP68" s="3"/>
      <c r="AQ68" s="3"/>
      <c r="AR68" s="3"/>
      <c r="AS68" s="3"/>
      <c r="AT68" s="3"/>
      <c r="AU68" s="8"/>
      <c r="AV68" s="8"/>
      <c r="AW68" s="3"/>
      <c r="AX68" s="3"/>
      <c r="AY68" s="128"/>
      <c r="AZ68" s="5"/>
      <c r="BA68" s="58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GO68" s="54"/>
      <c r="GP68" s="54"/>
    </row>
    <row r="69" spans="1:198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5"/>
        <v>0</v>
      </c>
      <c r="N69" s="7">
        <f t="shared" si="6"/>
        <v>0</v>
      </c>
      <c r="O69" s="4"/>
      <c r="P69" s="3"/>
      <c r="Q69" s="3"/>
      <c r="R69" s="3"/>
      <c r="S69" s="3"/>
      <c r="T69" s="3"/>
      <c r="U69" s="5"/>
      <c r="V69" s="125"/>
      <c r="W69" s="4"/>
      <c r="X69" s="3"/>
      <c r="Y69" s="3"/>
      <c r="Z69" s="8"/>
      <c r="AA69" s="8"/>
      <c r="AB69" s="3"/>
      <c r="AC69" s="3"/>
      <c r="AD69" s="3"/>
      <c r="AE69" s="3"/>
      <c r="AF69" s="3"/>
      <c r="AG69" s="8"/>
      <c r="AH69" s="8"/>
      <c r="AI69" s="3"/>
      <c r="AJ69" s="3"/>
      <c r="AK69" s="3"/>
      <c r="AL69" s="3"/>
      <c r="AM69" s="3"/>
      <c r="AN69" s="8"/>
      <c r="AO69" s="8"/>
      <c r="AP69" s="3"/>
      <c r="AQ69" s="3"/>
      <c r="AR69" s="3"/>
      <c r="AS69" s="3"/>
      <c r="AT69" s="3"/>
      <c r="AU69" s="8"/>
      <c r="AV69" s="8"/>
      <c r="AW69" s="3"/>
      <c r="AX69" s="3"/>
      <c r="AY69" s="128"/>
      <c r="AZ69" s="5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GO69" s="54"/>
      <c r="GP69" s="54"/>
    </row>
    <row r="70" spans="1:198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5"/>
        <v>0</v>
      </c>
      <c r="N70" s="7">
        <f t="shared" si="6"/>
        <v>0</v>
      </c>
      <c r="O70" s="4"/>
      <c r="P70" s="3"/>
      <c r="Q70" s="3"/>
      <c r="R70" s="3"/>
      <c r="S70" s="3"/>
      <c r="T70" s="3"/>
      <c r="U70" s="5"/>
      <c r="V70" s="125"/>
      <c r="W70" s="4"/>
      <c r="X70" s="3"/>
      <c r="Y70" s="3"/>
      <c r="Z70" s="8"/>
      <c r="AA70" s="8"/>
      <c r="AB70" s="3"/>
      <c r="AC70" s="3"/>
      <c r="AD70" s="3"/>
      <c r="AE70" s="3"/>
      <c r="AF70" s="3"/>
      <c r="AG70" s="8"/>
      <c r="AH70" s="8"/>
      <c r="AI70" s="3"/>
      <c r="AJ70" s="3"/>
      <c r="AK70" s="3"/>
      <c r="AL70" s="3"/>
      <c r="AM70" s="3"/>
      <c r="AN70" s="8"/>
      <c r="AO70" s="8"/>
      <c r="AP70" s="3"/>
      <c r="AQ70" s="3"/>
      <c r="AR70" s="3"/>
      <c r="AS70" s="3"/>
      <c r="AT70" s="3"/>
      <c r="AU70" s="8"/>
      <c r="AV70" s="8"/>
      <c r="AW70" s="3"/>
      <c r="AX70" s="3"/>
      <c r="AY70" s="128"/>
      <c r="AZ70" s="5"/>
      <c r="BA70" s="58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GO70" s="54"/>
      <c r="GP70" s="54"/>
    </row>
    <row r="71" spans="1:198" ht="15" hidden="1" customHeight="1" x14ac:dyDescent="0.25">
      <c r="A71" s="97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5"/>
        <v>0</v>
      </c>
      <c r="N71" s="7">
        <f t="shared" si="6"/>
        <v>0</v>
      </c>
      <c r="O71" s="4"/>
      <c r="P71" s="3"/>
      <c r="Q71" s="3"/>
      <c r="R71" s="3"/>
      <c r="S71" s="3"/>
      <c r="T71" s="3"/>
      <c r="U71" s="5"/>
      <c r="V71" s="125"/>
      <c r="W71" s="4"/>
      <c r="X71" s="3"/>
      <c r="Y71" s="3"/>
      <c r="Z71" s="8"/>
      <c r="AA71" s="8"/>
      <c r="AB71" s="3"/>
      <c r="AC71" s="3"/>
      <c r="AD71" s="3"/>
      <c r="AE71" s="3"/>
      <c r="AF71" s="3"/>
      <c r="AG71" s="8"/>
      <c r="AH71" s="8"/>
      <c r="AI71" s="3"/>
      <c r="AJ71" s="3"/>
      <c r="AK71" s="3"/>
      <c r="AL71" s="3"/>
      <c r="AM71" s="3"/>
      <c r="AN71" s="8"/>
      <c r="AO71" s="8"/>
      <c r="AP71" s="3"/>
      <c r="AQ71" s="3"/>
      <c r="AR71" s="3"/>
      <c r="AS71" s="3"/>
      <c r="AT71" s="3"/>
      <c r="AU71" s="8"/>
      <c r="AV71" s="8"/>
      <c r="AW71" s="3"/>
      <c r="AX71" s="3"/>
      <c r="AY71" s="128"/>
      <c r="AZ71" s="5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GO71" s="54"/>
      <c r="GP71" s="54"/>
    </row>
    <row r="72" spans="1:198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5"/>
        <v>0</v>
      </c>
      <c r="N72" s="7">
        <f t="shared" si="6"/>
        <v>0</v>
      </c>
      <c r="O72" s="4"/>
      <c r="P72" s="3"/>
      <c r="Q72" s="3"/>
      <c r="R72" s="3"/>
      <c r="S72" s="3"/>
      <c r="T72" s="3"/>
      <c r="U72" s="5"/>
      <c r="V72" s="125"/>
      <c r="W72" s="4"/>
      <c r="X72" s="3"/>
      <c r="Y72" s="3"/>
      <c r="Z72" s="8"/>
      <c r="AA72" s="8"/>
      <c r="AB72" s="3"/>
      <c r="AC72" s="3"/>
      <c r="AD72" s="3"/>
      <c r="AE72" s="3"/>
      <c r="AF72" s="3"/>
      <c r="AG72" s="8"/>
      <c r="AH72" s="8"/>
      <c r="AI72" s="3"/>
      <c r="AJ72" s="3"/>
      <c r="AK72" s="3"/>
      <c r="AL72" s="3"/>
      <c r="AM72" s="3"/>
      <c r="AN72" s="8"/>
      <c r="AO72" s="8"/>
      <c r="AP72" s="3"/>
      <c r="AQ72" s="3"/>
      <c r="AR72" s="3"/>
      <c r="AS72" s="3"/>
      <c r="AT72" s="3"/>
      <c r="AU72" s="8"/>
      <c r="AV72" s="8"/>
      <c r="AW72" s="3"/>
      <c r="AX72" s="3"/>
      <c r="AY72" s="128"/>
      <c r="AZ72" s="5"/>
      <c r="BA72" s="58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GO72" s="54"/>
      <c r="GP72" s="54"/>
    </row>
    <row r="73" spans="1:198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5"/>
        <v>0</v>
      </c>
      <c r="N73" s="7">
        <f t="shared" si="6"/>
        <v>0</v>
      </c>
      <c r="O73" s="4"/>
      <c r="P73" s="3"/>
      <c r="Q73" s="3"/>
      <c r="R73" s="3"/>
      <c r="S73" s="3"/>
      <c r="T73" s="3"/>
      <c r="U73" s="5"/>
      <c r="V73" s="125"/>
      <c r="W73" s="4"/>
      <c r="X73" s="3"/>
      <c r="Y73" s="3"/>
      <c r="Z73" s="8"/>
      <c r="AA73" s="8"/>
      <c r="AB73" s="3"/>
      <c r="AC73" s="3"/>
      <c r="AD73" s="3"/>
      <c r="AE73" s="3"/>
      <c r="AF73" s="3"/>
      <c r="AG73" s="8"/>
      <c r="AH73" s="8"/>
      <c r="AI73" s="3"/>
      <c r="AJ73" s="3"/>
      <c r="AK73" s="3"/>
      <c r="AL73" s="3"/>
      <c r="AM73" s="3"/>
      <c r="AN73" s="8"/>
      <c r="AO73" s="8"/>
      <c r="AP73" s="3"/>
      <c r="AQ73" s="3"/>
      <c r="AR73" s="3"/>
      <c r="AS73" s="3"/>
      <c r="AT73" s="3"/>
      <c r="AU73" s="8"/>
      <c r="AV73" s="8"/>
      <c r="AW73" s="3"/>
      <c r="AX73" s="3"/>
      <c r="AY73" s="128"/>
      <c r="AZ73" s="5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GO73" s="54"/>
      <c r="GP73" s="54"/>
    </row>
    <row r="74" spans="1:198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5"/>
        <v>0</v>
      </c>
      <c r="N74" s="7">
        <f t="shared" si="6"/>
        <v>0</v>
      </c>
      <c r="O74" s="4"/>
      <c r="P74" s="3"/>
      <c r="Q74" s="3"/>
      <c r="R74" s="3"/>
      <c r="S74" s="3"/>
      <c r="T74" s="3"/>
      <c r="U74" s="5"/>
      <c r="V74" s="125"/>
      <c r="W74" s="4"/>
      <c r="X74" s="3"/>
      <c r="Y74" s="3"/>
      <c r="Z74" s="8"/>
      <c r="AA74" s="8"/>
      <c r="AB74" s="3"/>
      <c r="AC74" s="3"/>
      <c r="AD74" s="3"/>
      <c r="AE74" s="3"/>
      <c r="AF74" s="3"/>
      <c r="AG74" s="8"/>
      <c r="AH74" s="8"/>
      <c r="AI74" s="3"/>
      <c r="AJ74" s="3"/>
      <c r="AK74" s="3"/>
      <c r="AL74" s="3"/>
      <c r="AM74" s="3"/>
      <c r="AN74" s="8"/>
      <c r="AO74" s="8"/>
      <c r="AP74" s="3"/>
      <c r="AQ74" s="3"/>
      <c r="AR74" s="3"/>
      <c r="AS74" s="3"/>
      <c r="AT74" s="3"/>
      <c r="AU74" s="8"/>
      <c r="AV74" s="8"/>
      <c r="AW74" s="3"/>
      <c r="AX74" s="3"/>
      <c r="AY74" s="128"/>
      <c r="AZ74" s="5"/>
      <c r="BA74" s="58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GO74" s="54"/>
      <c r="GP74" s="54"/>
    </row>
    <row r="75" spans="1:198" ht="15" hidden="1" customHeight="1" x14ac:dyDescent="0.25">
      <c r="A75" s="97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5"/>
        <v>0</v>
      </c>
      <c r="N75" s="7">
        <f t="shared" si="6"/>
        <v>0</v>
      </c>
      <c r="O75" s="4"/>
      <c r="P75" s="3"/>
      <c r="Q75" s="3"/>
      <c r="R75" s="3"/>
      <c r="S75" s="3"/>
      <c r="T75" s="3"/>
      <c r="U75" s="5"/>
      <c r="V75" s="125"/>
      <c r="W75" s="4"/>
      <c r="X75" s="3"/>
      <c r="Y75" s="3"/>
      <c r="Z75" s="8"/>
      <c r="AA75" s="8"/>
      <c r="AB75" s="3"/>
      <c r="AC75" s="3"/>
      <c r="AD75" s="3"/>
      <c r="AE75" s="3"/>
      <c r="AF75" s="3"/>
      <c r="AG75" s="8"/>
      <c r="AH75" s="8"/>
      <c r="AI75" s="3"/>
      <c r="AJ75" s="3"/>
      <c r="AK75" s="3"/>
      <c r="AL75" s="3"/>
      <c r="AM75" s="3"/>
      <c r="AN75" s="8"/>
      <c r="AO75" s="8"/>
      <c r="AP75" s="3"/>
      <c r="AQ75" s="3"/>
      <c r="AR75" s="3"/>
      <c r="AS75" s="3"/>
      <c r="AT75" s="3"/>
      <c r="AU75" s="8"/>
      <c r="AV75" s="8"/>
      <c r="AW75" s="3"/>
      <c r="AX75" s="3"/>
      <c r="AY75" s="128"/>
      <c r="AZ75" s="5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GO75" s="54"/>
      <c r="GP75" s="54"/>
    </row>
    <row r="76" spans="1:198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2">IF(I76&gt;0,12,"")</f>
        <v/>
      </c>
      <c r="K76" s="6" t="str">
        <f t="shared" si="10"/>
        <v/>
      </c>
      <c r="L76" s="6" t="str">
        <f t="shared" si="11"/>
        <v/>
      </c>
      <c r="M76" s="6">
        <f t="shared" si="5"/>
        <v>0</v>
      </c>
      <c r="N76" s="7">
        <f t="shared" si="6"/>
        <v>0</v>
      </c>
      <c r="O76" s="4"/>
      <c r="P76" s="3"/>
      <c r="Q76" s="3"/>
      <c r="R76" s="3"/>
      <c r="S76" s="3"/>
      <c r="T76" s="3"/>
      <c r="U76" s="5"/>
      <c r="V76" s="125"/>
      <c r="W76" s="4"/>
      <c r="X76" s="3"/>
      <c r="Y76" s="3"/>
      <c r="Z76" s="8"/>
      <c r="AA76" s="8"/>
      <c r="AB76" s="3"/>
      <c r="AC76" s="3"/>
      <c r="AD76" s="3"/>
      <c r="AE76" s="3"/>
      <c r="AF76" s="3"/>
      <c r="AG76" s="8"/>
      <c r="AH76" s="8"/>
      <c r="AI76" s="3"/>
      <c r="AJ76" s="3"/>
      <c r="AK76" s="3"/>
      <c r="AL76" s="3"/>
      <c r="AM76" s="3"/>
      <c r="AN76" s="8"/>
      <c r="AO76" s="8"/>
      <c r="AP76" s="3"/>
      <c r="AQ76" s="3"/>
      <c r="AR76" s="3"/>
      <c r="AS76" s="3"/>
      <c r="AT76" s="3"/>
      <c r="AU76" s="8"/>
      <c r="AV76" s="8"/>
      <c r="AW76" s="3"/>
      <c r="AX76" s="3"/>
      <c r="AY76" s="128"/>
      <c r="AZ76" s="5"/>
      <c r="BA76" s="58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GO76" s="54"/>
      <c r="GP76" s="54"/>
    </row>
    <row r="77" spans="1:198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2"/>
        <v/>
      </c>
      <c r="K77" s="6" t="str">
        <f t="shared" si="10"/>
        <v/>
      </c>
      <c r="L77" s="6" t="str">
        <f t="shared" si="11"/>
        <v/>
      </c>
      <c r="M77" s="6">
        <f t="shared" ref="M77:M111" si="13">(IF(O77="hT",4,0))+(IF(P77="hT",4,0))+(IF(Q77="hT",4,0))+(IF(R77="hT",4,0))+(IF(S77="hT",4,0))+T77+(COUNTIF(W77:AZ77,"hT"))</f>
        <v>0</v>
      </c>
      <c r="N77" s="7">
        <f t="shared" ref="N77:N111" si="14">(IF(O77="x",4,0))+(IF(P77="x",4,0))+(IF(Q77="x",4,0))+(IF(R77="x",4,0))+(IF(S77="x",4,0))+U77+(COUNTIF(W77:AZ77,"x"))</f>
        <v>0</v>
      </c>
      <c r="O77" s="4"/>
      <c r="P77" s="3"/>
      <c r="Q77" s="3"/>
      <c r="R77" s="3"/>
      <c r="S77" s="3"/>
      <c r="T77" s="3"/>
      <c r="U77" s="5"/>
      <c r="V77" s="125"/>
      <c r="W77" s="4"/>
      <c r="X77" s="3"/>
      <c r="Y77" s="3"/>
      <c r="Z77" s="8"/>
      <c r="AA77" s="8"/>
      <c r="AB77" s="3"/>
      <c r="AC77" s="3"/>
      <c r="AD77" s="3"/>
      <c r="AE77" s="3"/>
      <c r="AF77" s="3"/>
      <c r="AG77" s="8"/>
      <c r="AH77" s="8"/>
      <c r="AI77" s="3"/>
      <c r="AJ77" s="3"/>
      <c r="AK77" s="3"/>
      <c r="AL77" s="3"/>
      <c r="AM77" s="3"/>
      <c r="AN77" s="8"/>
      <c r="AO77" s="8"/>
      <c r="AP77" s="3"/>
      <c r="AQ77" s="3"/>
      <c r="AR77" s="3"/>
      <c r="AS77" s="3"/>
      <c r="AT77" s="3"/>
      <c r="AU77" s="8"/>
      <c r="AV77" s="8"/>
      <c r="AW77" s="3"/>
      <c r="AX77" s="3"/>
      <c r="AY77" s="128"/>
      <c r="AZ77" s="5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GO77" s="54"/>
      <c r="GP77" s="54"/>
    </row>
    <row r="78" spans="1:198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2"/>
        <v/>
      </c>
      <c r="K78" s="6" t="str">
        <f t="shared" si="10"/>
        <v/>
      </c>
      <c r="L78" s="6" t="str">
        <f t="shared" si="11"/>
        <v/>
      </c>
      <c r="M78" s="6">
        <f t="shared" si="13"/>
        <v>0</v>
      </c>
      <c r="N78" s="7">
        <f t="shared" si="14"/>
        <v>0</v>
      </c>
      <c r="O78" s="4"/>
      <c r="P78" s="3"/>
      <c r="Q78" s="3"/>
      <c r="R78" s="3"/>
      <c r="S78" s="3"/>
      <c r="T78" s="3"/>
      <c r="U78" s="5"/>
      <c r="V78" s="125"/>
      <c r="W78" s="4"/>
      <c r="X78" s="3"/>
      <c r="Y78" s="3"/>
      <c r="Z78" s="8"/>
      <c r="AA78" s="8"/>
      <c r="AB78" s="3"/>
      <c r="AC78" s="3"/>
      <c r="AD78" s="3"/>
      <c r="AE78" s="3"/>
      <c r="AF78" s="3"/>
      <c r="AG78" s="8"/>
      <c r="AH78" s="8"/>
      <c r="AI78" s="3"/>
      <c r="AJ78" s="3"/>
      <c r="AK78" s="3"/>
      <c r="AL78" s="3"/>
      <c r="AM78" s="3"/>
      <c r="AN78" s="8"/>
      <c r="AO78" s="8"/>
      <c r="AP78" s="3"/>
      <c r="AQ78" s="3"/>
      <c r="AR78" s="3"/>
      <c r="AS78" s="3"/>
      <c r="AT78" s="3"/>
      <c r="AU78" s="8"/>
      <c r="AV78" s="8"/>
      <c r="AW78" s="3"/>
      <c r="AX78" s="3"/>
      <c r="AY78" s="128"/>
      <c r="AZ78" s="5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GO78" s="54"/>
      <c r="GP78" s="54"/>
    </row>
    <row r="79" spans="1:198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2"/>
        <v/>
      </c>
      <c r="K79" s="6" t="str">
        <f t="shared" si="10"/>
        <v/>
      </c>
      <c r="L79" s="6" t="str">
        <f t="shared" si="11"/>
        <v/>
      </c>
      <c r="M79" s="6">
        <f t="shared" si="13"/>
        <v>0</v>
      </c>
      <c r="N79" s="7">
        <f t="shared" si="14"/>
        <v>0</v>
      </c>
      <c r="O79" s="4"/>
      <c r="P79" s="3"/>
      <c r="Q79" s="3"/>
      <c r="R79" s="3"/>
      <c r="S79" s="3"/>
      <c r="T79" s="3"/>
      <c r="U79" s="5"/>
      <c r="V79" s="125"/>
      <c r="W79" s="4"/>
      <c r="X79" s="3"/>
      <c r="Y79" s="3"/>
      <c r="Z79" s="8"/>
      <c r="AA79" s="8"/>
      <c r="AB79" s="3"/>
      <c r="AC79" s="3"/>
      <c r="AD79" s="3"/>
      <c r="AE79" s="3"/>
      <c r="AF79" s="3"/>
      <c r="AG79" s="8"/>
      <c r="AH79" s="8"/>
      <c r="AI79" s="3"/>
      <c r="AJ79" s="3"/>
      <c r="AK79" s="3"/>
      <c r="AL79" s="3"/>
      <c r="AM79" s="3"/>
      <c r="AN79" s="8"/>
      <c r="AO79" s="8"/>
      <c r="AP79" s="3"/>
      <c r="AQ79" s="3"/>
      <c r="AR79" s="3"/>
      <c r="AS79" s="3"/>
      <c r="AT79" s="3"/>
      <c r="AU79" s="8"/>
      <c r="AV79" s="8"/>
      <c r="AW79" s="3"/>
      <c r="AX79" s="3"/>
      <c r="AY79" s="128"/>
      <c r="AZ79" s="5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GO79" s="54"/>
      <c r="GP79" s="54"/>
    </row>
    <row r="80" spans="1:198" ht="15" hidden="1" customHeight="1" x14ac:dyDescent="0.25">
      <c r="A80" s="97">
        <v>69</v>
      </c>
      <c r="B80" s="103"/>
      <c r="C80" s="104"/>
      <c r="D80" s="2"/>
      <c r="E80" s="105"/>
      <c r="F80" s="105"/>
      <c r="G80" s="100" t="str">
        <f t="shared" si="7"/>
        <v/>
      </c>
      <c r="H80" s="100" t="str">
        <f t="shared" si="8"/>
        <v/>
      </c>
      <c r="I80" s="101">
        <f t="shared" si="9"/>
        <v>0</v>
      </c>
      <c r="J80" s="100" t="str">
        <f t="shared" si="12"/>
        <v/>
      </c>
      <c r="K80" s="6" t="str">
        <f t="shared" si="10"/>
        <v/>
      </c>
      <c r="L80" s="6" t="str">
        <f t="shared" si="11"/>
        <v/>
      </c>
      <c r="M80" s="6">
        <f t="shared" si="13"/>
        <v>0</v>
      </c>
      <c r="N80" s="7">
        <f t="shared" si="14"/>
        <v>0</v>
      </c>
      <c r="O80" s="4"/>
      <c r="P80" s="3"/>
      <c r="Q80" s="3"/>
      <c r="R80" s="3"/>
      <c r="S80" s="3"/>
      <c r="T80" s="3"/>
      <c r="U80" s="5"/>
      <c r="V80" s="125"/>
      <c r="W80" s="4"/>
      <c r="X80" s="3"/>
      <c r="Y80" s="3"/>
      <c r="Z80" s="8"/>
      <c r="AA80" s="8"/>
      <c r="AB80" s="3"/>
      <c r="AC80" s="3"/>
      <c r="AD80" s="3"/>
      <c r="AE80" s="3"/>
      <c r="AF80" s="3"/>
      <c r="AG80" s="8"/>
      <c r="AH80" s="8"/>
      <c r="AI80" s="3"/>
      <c r="AJ80" s="3"/>
      <c r="AK80" s="3"/>
      <c r="AL80" s="3"/>
      <c r="AM80" s="3"/>
      <c r="AN80" s="8"/>
      <c r="AO80" s="8"/>
      <c r="AP80" s="3"/>
      <c r="AQ80" s="3"/>
      <c r="AR80" s="3"/>
      <c r="AS80" s="3"/>
      <c r="AT80" s="3"/>
      <c r="AU80" s="8"/>
      <c r="AV80" s="8"/>
      <c r="AW80" s="3"/>
      <c r="AX80" s="3"/>
      <c r="AY80" s="128"/>
      <c r="AZ80" s="5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GO80" s="54"/>
      <c r="GP80" s="54"/>
    </row>
    <row r="81" spans="1:198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2"/>
        <v/>
      </c>
      <c r="H81" s="100" t="str">
        <f t="shared" si="3"/>
        <v/>
      </c>
      <c r="I81" s="101">
        <f t="shared" si="0"/>
        <v>0</v>
      </c>
      <c r="J81" s="100" t="str">
        <f t="shared" si="12"/>
        <v/>
      </c>
      <c r="K81" s="6" t="str">
        <f t="shared" si="4"/>
        <v/>
      </c>
      <c r="L81" s="6" t="str">
        <f t="shared" si="4"/>
        <v/>
      </c>
      <c r="M81" s="6">
        <f t="shared" si="13"/>
        <v>0</v>
      </c>
      <c r="N81" s="7">
        <f t="shared" si="14"/>
        <v>0</v>
      </c>
      <c r="O81" s="4"/>
      <c r="P81" s="3"/>
      <c r="Q81" s="3"/>
      <c r="R81" s="3"/>
      <c r="S81" s="3"/>
      <c r="T81" s="3"/>
      <c r="U81" s="5"/>
      <c r="V81" s="125"/>
      <c r="W81" s="4"/>
      <c r="X81" s="3"/>
      <c r="Y81" s="3"/>
      <c r="Z81" s="8"/>
      <c r="AA81" s="8"/>
      <c r="AB81" s="3"/>
      <c r="AC81" s="3"/>
      <c r="AD81" s="3"/>
      <c r="AE81" s="3"/>
      <c r="AF81" s="3"/>
      <c r="AG81" s="8"/>
      <c r="AH81" s="8"/>
      <c r="AI81" s="3"/>
      <c r="AJ81" s="3"/>
      <c r="AK81" s="3"/>
      <c r="AL81" s="3"/>
      <c r="AM81" s="3"/>
      <c r="AN81" s="8"/>
      <c r="AO81" s="8"/>
      <c r="AP81" s="3"/>
      <c r="AQ81" s="3"/>
      <c r="AR81" s="3"/>
      <c r="AS81" s="3"/>
      <c r="AT81" s="3"/>
      <c r="AU81" s="8"/>
      <c r="AV81" s="8"/>
      <c r="AW81" s="3"/>
      <c r="AX81" s="3"/>
      <c r="AY81" s="128"/>
      <c r="AZ81" s="5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GO81" s="54"/>
      <c r="GP81" s="54"/>
    </row>
    <row r="82" spans="1:198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2"/>
        <v/>
      </c>
      <c r="H82" s="100" t="str">
        <f t="shared" si="3"/>
        <v/>
      </c>
      <c r="I82" s="101">
        <f t="shared" si="0"/>
        <v>0</v>
      </c>
      <c r="J82" s="100" t="str">
        <f t="shared" si="12"/>
        <v/>
      </c>
      <c r="K82" s="6" t="str">
        <f t="shared" si="4"/>
        <v/>
      </c>
      <c r="L82" s="6" t="str">
        <f t="shared" si="4"/>
        <v/>
      </c>
      <c r="M82" s="6">
        <f t="shared" si="13"/>
        <v>0</v>
      </c>
      <c r="N82" s="7">
        <f t="shared" si="14"/>
        <v>0</v>
      </c>
      <c r="O82" s="4"/>
      <c r="P82" s="3"/>
      <c r="Q82" s="3"/>
      <c r="R82" s="3"/>
      <c r="S82" s="3"/>
      <c r="T82" s="3"/>
      <c r="U82" s="5"/>
      <c r="V82" s="125"/>
      <c r="W82" s="4"/>
      <c r="X82" s="3"/>
      <c r="Y82" s="3"/>
      <c r="Z82" s="8"/>
      <c r="AA82" s="8"/>
      <c r="AB82" s="3"/>
      <c r="AC82" s="3"/>
      <c r="AD82" s="3"/>
      <c r="AE82" s="3"/>
      <c r="AF82" s="3"/>
      <c r="AG82" s="8"/>
      <c r="AH82" s="8"/>
      <c r="AI82" s="3"/>
      <c r="AJ82" s="3"/>
      <c r="AK82" s="3"/>
      <c r="AL82" s="3"/>
      <c r="AM82" s="3"/>
      <c r="AN82" s="8"/>
      <c r="AO82" s="8"/>
      <c r="AP82" s="3"/>
      <c r="AQ82" s="3"/>
      <c r="AR82" s="3"/>
      <c r="AS82" s="3"/>
      <c r="AT82" s="3"/>
      <c r="AU82" s="8"/>
      <c r="AV82" s="8"/>
      <c r="AW82" s="3"/>
      <c r="AX82" s="3"/>
      <c r="AY82" s="128"/>
      <c r="AZ82" s="5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GO82" s="54"/>
      <c r="GP82" s="54"/>
    </row>
    <row r="83" spans="1:198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2"/>
        <v/>
      </c>
      <c r="H83" s="100" t="str">
        <f t="shared" si="3"/>
        <v/>
      </c>
      <c r="I83" s="101">
        <f t="shared" si="0"/>
        <v>0</v>
      </c>
      <c r="J83" s="100" t="str">
        <f t="shared" si="12"/>
        <v/>
      </c>
      <c r="K83" s="6" t="str">
        <f t="shared" si="4"/>
        <v/>
      </c>
      <c r="L83" s="6" t="str">
        <f t="shared" si="4"/>
        <v/>
      </c>
      <c r="M83" s="6">
        <f t="shared" si="13"/>
        <v>0</v>
      </c>
      <c r="N83" s="7">
        <f t="shared" si="14"/>
        <v>0</v>
      </c>
      <c r="O83" s="4"/>
      <c r="P83" s="3"/>
      <c r="Q83" s="3"/>
      <c r="R83" s="3"/>
      <c r="S83" s="3"/>
      <c r="T83" s="3"/>
      <c r="U83" s="5"/>
      <c r="V83" s="125"/>
      <c r="W83" s="4"/>
      <c r="X83" s="3"/>
      <c r="Y83" s="3"/>
      <c r="Z83" s="8"/>
      <c r="AA83" s="8"/>
      <c r="AB83" s="3"/>
      <c r="AC83" s="3"/>
      <c r="AD83" s="3"/>
      <c r="AE83" s="3"/>
      <c r="AF83" s="3"/>
      <c r="AG83" s="8"/>
      <c r="AH83" s="8"/>
      <c r="AI83" s="3"/>
      <c r="AJ83" s="3"/>
      <c r="AK83" s="3"/>
      <c r="AL83" s="3"/>
      <c r="AM83" s="3"/>
      <c r="AN83" s="8"/>
      <c r="AO83" s="8"/>
      <c r="AP83" s="3"/>
      <c r="AQ83" s="3"/>
      <c r="AR83" s="3"/>
      <c r="AS83" s="3"/>
      <c r="AT83" s="3"/>
      <c r="AU83" s="8"/>
      <c r="AV83" s="8"/>
      <c r="AW83" s="3"/>
      <c r="AX83" s="3"/>
      <c r="AY83" s="128"/>
      <c r="AZ83" s="5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GO83" s="54"/>
      <c r="GP83" s="54"/>
    </row>
    <row r="84" spans="1:198" ht="15" hidden="1" customHeight="1" x14ac:dyDescent="0.25">
      <c r="A84" s="97">
        <v>73</v>
      </c>
      <c r="B84" s="103"/>
      <c r="C84" s="104"/>
      <c r="D84" s="2"/>
      <c r="E84" s="105"/>
      <c r="F84" s="105"/>
      <c r="G84" s="100" t="str">
        <f t="shared" si="2"/>
        <v/>
      </c>
      <c r="H84" s="100" t="str">
        <f t="shared" si="3"/>
        <v/>
      </c>
      <c r="I84" s="101">
        <f t="shared" si="0"/>
        <v>0</v>
      </c>
      <c r="J84" s="100" t="str">
        <f t="shared" si="12"/>
        <v/>
      </c>
      <c r="K84" s="6" t="str">
        <f t="shared" si="4"/>
        <v/>
      </c>
      <c r="L84" s="6" t="str">
        <f t="shared" si="4"/>
        <v/>
      </c>
      <c r="M84" s="6">
        <f t="shared" si="13"/>
        <v>0</v>
      </c>
      <c r="N84" s="7">
        <f t="shared" si="14"/>
        <v>0</v>
      </c>
      <c r="O84" s="4"/>
      <c r="P84" s="3"/>
      <c r="Q84" s="3"/>
      <c r="R84" s="3"/>
      <c r="S84" s="3"/>
      <c r="T84" s="3"/>
      <c r="U84" s="5"/>
      <c r="V84" s="125"/>
      <c r="W84" s="4"/>
      <c r="X84" s="3"/>
      <c r="Y84" s="3"/>
      <c r="Z84" s="8"/>
      <c r="AA84" s="8"/>
      <c r="AB84" s="3"/>
      <c r="AC84" s="3"/>
      <c r="AD84" s="3"/>
      <c r="AE84" s="3"/>
      <c r="AF84" s="3"/>
      <c r="AG84" s="8"/>
      <c r="AH84" s="8"/>
      <c r="AI84" s="3"/>
      <c r="AJ84" s="3"/>
      <c r="AK84" s="3"/>
      <c r="AL84" s="3"/>
      <c r="AM84" s="3"/>
      <c r="AN84" s="8"/>
      <c r="AO84" s="8"/>
      <c r="AP84" s="3"/>
      <c r="AQ84" s="3"/>
      <c r="AR84" s="3"/>
      <c r="AS84" s="3"/>
      <c r="AT84" s="3"/>
      <c r="AU84" s="8"/>
      <c r="AV84" s="8"/>
      <c r="AW84" s="3"/>
      <c r="AX84" s="3"/>
      <c r="AY84" s="128"/>
      <c r="AZ84" s="5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GO84" s="54"/>
      <c r="GP84" s="54"/>
    </row>
    <row r="85" spans="1:198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2"/>
        <v/>
      </c>
      <c r="H85" s="100" t="str">
        <f t="shared" si="3"/>
        <v/>
      </c>
      <c r="I85" s="101">
        <f t="shared" si="0"/>
        <v>0</v>
      </c>
      <c r="J85" s="100" t="str">
        <f t="shared" si="12"/>
        <v/>
      </c>
      <c r="K85" s="6" t="str">
        <f t="shared" si="4"/>
        <v/>
      </c>
      <c r="L85" s="6" t="str">
        <f t="shared" si="4"/>
        <v/>
      </c>
      <c r="M85" s="6">
        <f t="shared" si="13"/>
        <v>0</v>
      </c>
      <c r="N85" s="7">
        <f t="shared" si="14"/>
        <v>0</v>
      </c>
      <c r="O85" s="4"/>
      <c r="P85" s="3"/>
      <c r="Q85" s="3"/>
      <c r="R85" s="3"/>
      <c r="S85" s="3"/>
      <c r="T85" s="3"/>
      <c r="U85" s="5"/>
      <c r="V85" s="125"/>
      <c r="W85" s="4"/>
      <c r="X85" s="3"/>
      <c r="Y85" s="3"/>
      <c r="Z85" s="8"/>
      <c r="AA85" s="8"/>
      <c r="AB85" s="3"/>
      <c r="AC85" s="3"/>
      <c r="AD85" s="3"/>
      <c r="AE85" s="3"/>
      <c r="AF85" s="3"/>
      <c r="AG85" s="8"/>
      <c r="AH85" s="8"/>
      <c r="AI85" s="3"/>
      <c r="AJ85" s="3"/>
      <c r="AK85" s="3"/>
      <c r="AL85" s="3"/>
      <c r="AM85" s="3"/>
      <c r="AN85" s="8"/>
      <c r="AO85" s="8"/>
      <c r="AP85" s="3"/>
      <c r="AQ85" s="3"/>
      <c r="AR85" s="3"/>
      <c r="AS85" s="3"/>
      <c r="AT85" s="3"/>
      <c r="AU85" s="8"/>
      <c r="AV85" s="8"/>
      <c r="AW85" s="3"/>
      <c r="AX85" s="3"/>
      <c r="AY85" s="128"/>
      <c r="AZ85" s="5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GO85" s="54"/>
      <c r="GP85" s="54"/>
    </row>
    <row r="86" spans="1:198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2"/>
        <v/>
      </c>
      <c r="H86" s="100" t="str">
        <f t="shared" si="3"/>
        <v/>
      </c>
      <c r="I86" s="101">
        <f t="shared" si="0"/>
        <v>0</v>
      </c>
      <c r="J86" s="100" t="str">
        <f t="shared" si="12"/>
        <v/>
      </c>
      <c r="K86" s="6" t="str">
        <f t="shared" si="4"/>
        <v/>
      </c>
      <c r="L86" s="6" t="str">
        <f t="shared" si="4"/>
        <v/>
      </c>
      <c r="M86" s="6">
        <f t="shared" si="13"/>
        <v>0</v>
      </c>
      <c r="N86" s="7">
        <f t="shared" si="14"/>
        <v>0</v>
      </c>
      <c r="O86" s="4"/>
      <c r="P86" s="3"/>
      <c r="Q86" s="3"/>
      <c r="R86" s="3"/>
      <c r="S86" s="3"/>
      <c r="T86" s="3"/>
      <c r="U86" s="5"/>
      <c r="V86" s="125"/>
      <c r="W86" s="4"/>
      <c r="X86" s="3"/>
      <c r="Y86" s="3"/>
      <c r="Z86" s="8"/>
      <c r="AA86" s="8"/>
      <c r="AB86" s="3"/>
      <c r="AC86" s="3"/>
      <c r="AD86" s="3"/>
      <c r="AE86" s="3"/>
      <c r="AF86" s="3"/>
      <c r="AG86" s="8"/>
      <c r="AH86" s="8"/>
      <c r="AI86" s="3"/>
      <c r="AJ86" s="3"/>
      <c r="AK86" s="3"/>
      <c r="AL86" s="3"/>
      <c r="AM86" s="3"/>
      <c r="AN86" s="8"/>
      <c r="AO86" s="8"/>
      <c r="AP86" s="3"/>
      <c r="AQ86" s="3"/>
      <c r="AR86" s="3"/>
      <c r="AS86" s="3"/>
      <c r="AT86" s="3"/>
      <c r="AU86" s="8"/>
      <c r="AV86" s="8"/>
      <c r="AW86" s="3"/>
      <c r="AX86" s="3"/>
      <c r="AY86" s="128"/>
      <c r="AZ86" s="5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GO86" s="54"/>
      <c r="GP86" s="54"/>
    </row>
    <row r="87" spans="1:198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2"/>
        <v/>
      </c>
      <c r="H87" s="100" t="str">
        <f t="shared" si="3"/>
        <v/>
      </c>
      <c r="I87" s="101">
        <f t="shared" si="0"/>
        <v>0</v>
      </c>
      <c r="J87" s="100" t="str">
        <f t="shared" si="12"/>
        <v/>
      </c>
      <c r="K87" s="6" t="str">
        <f t="shared" si="4"/>
        <v/>
      </c>
      <c r="L87" s="6" t="str">
        <f t="shared" si="4"/>
        <v/>
      </c>
      <c r="M87" s="6">
        <f t="shared" si="13"/>
        <v>0</v>
      </c>
      <c r="N87" s="7">
        <f t="shared" si="14"/>
        <v>0</v>
      </c>
      <c r="O87" s="4"/>
      <c r="P87" s="3"/>
      <c r="Q87" s="3"/>
      <c r="R87" s="3"/>
      <c r="S87" s="3"/>
      <c r="T87" s="3"/>
      <c r="U87" s="5"/>
      <c r="V87" s="125"/>
      <c r="W87" s="4"/>
      <c r="X87" s="3"/>
      <c r="Y87" s="3"/>
      <c r="Z87" s="8"/>
      <c r="AA87" s="8"/>
      <c r="AB87" s="3"/>
      <c r="AC87" s="3"/>
      <c r="AD87" s="3"/>
      <c r="AE87" s="3"/>
      <c r="AF87" s="3"/>
      <c r="AG87" s="8"/>
      <c r="AH87" s="8"/>
      <c r="AI87" s="3"/>
      <c r="AJ87" s="3"/>
      <c r="AK87" s="3"/>
      <c r="AL87" s="3"/>
      <c r="AM87" s="3"/>
      <c r="AN87" s="8"/>
      <c r="AO87" s="8"/>
      <c r="AP87" s="3"/>
      <c r="AQ87" s="3"/>
      <c r="AR87" s="3"/>
      <c r="AS87" s="3"/>
      <c r="AT87" s="3"/>
      <c r="AU87" s="8"/>
      <c r="AV87" s="8"/>
      <c r="AW87" s="3"/>
      <c r="AX87" s="3"/>
      <c r="AY87" s="128"/>
      <c r="AZ87" s="5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GO87" s="54"/>
      <c r="GP87" s="54"/>
    </row>
    <row r="88" spans="1:198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2"/>
        <v/>
      </c>
      <c r="H88" s="100" t="str">
        <f t="shared" si="3"/>
        <v/>
      </c>
      <c r="I88" s="101">
        <f t="shared" si="0"/>
        <v>0</v>
      </c>
      <c r="J88" s="100" t="str">
        <f t="shared" si="12"/>
        <v/>
      </c>
      <c r="K88" s="6" t="str">
        <f t="shared" si="4"/>
        <v/>
      </c>
      <c r="L88" s="6" t="str">
        <f t="shared" si="4"/>
        <v/>
      </c>
      <c r="M88" s="6">
        <f t="shared" si="13"/>
        <v>0</v>
      </c>
      <c r="N88" s="7">
        <f t="shared" si="14"/>
        <v>0</v>
      </c>
      <c r="O88" s="4"/>
      <c r="P88" s="3"/>
      <c r="Q88" s="3"/>
      <c r="R88" s="3"/>
      <c r="S88" s="3"/>
      <c r="T88" s="3"/>
      <c r="U88" s="5"/>
      <c r="V88" s="125"/>
      <c r="W88" s="4"/>
      <c r="X88" s="3"/>
      <c r="Y88" s="3"/>
      <c r="Z88" s="8"/>
      <c r="AA88" s="8"/>
      <c r="AB88" s="3"/>
      <c r="AC88" s="3"/>
      <c r="AD88" s="3"/>
      <c r="AE88" s="3"/>
      <c r="AF88" s="3"/>
      <c r="AG88" s="8"/>
      <c r="AH88" s="8"/>
      <c r="AI88" s="3"/>
      <c r="AJ88" s="3"/>
      <c r="AK88" s="3"/>
      <c r="AL88" s="3"/>
      <c r="AM88" s="3"/>
      <c r="AN88" s="8"/>
      <c r="AO88" s="8"/>
      <c r="AP88" s="3"/>
      <c r="AQ88" s="3"/>
      <c r="AR88" s="3"/>
      <c r="AS88" s="3"/>
      <c r="AT88" s="3"/>
      <c r="AU88" s="8"/>
      <c r="AV88" s="8"/>
      <c r="AW88" s="3"/>
      <c r="AX88" s="3"/>
      <c r="AY88" s="128"/>
      <c r="AZ88" s="5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GO88" s="54"/>
      <c r="GP88" s="54"/>
    </row>
    <row r="89" spans="1:198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2"/>
        <v/>
      </c>
      <c r="H89" s="100" t="str">
        <f t="shared" si="3"/>
        <v/>
      </c>
      <c r="I89" s="101">
        <f t="shared" si="0"/>
        <v>0</v>
      </c>
      <c r="J89" s="100" t="str">
        <f t="shared" si="12"/>
        <v/>
      </c>
      <c r="K89" s="6" t="str">
        <f t="shared" si="4"/>
        <v/>
      </c>
      <c r="L89" s="6" t="str">
        <f t="shared" si="4"/>
        <v/>
      </c>
      <c r="M89" s="6">
        <f t="shared" si="13"/>
        <v>0</v>
      </c>
      <c r="N89" s="7">
        <f t="shared" si="14"/>
        <v>0</v>
      </c>
      <c r="O89" s="4"/>
      <c r="P89" s="3"/>
      <c r="Q89" s="3"/>
      <c r="R89" s="3"/>
      <c r="S89" s="3"/>
      <c r="T89" s="3"/>
      <c r="U89" s="5"/>
      <c r="V89" s="125"/>
      <c r="W89" s="4"/>
      <c r="X89" s="3"/>
      <c r="Y89" s="3"/>
      <c r="Z89" s="8"/>
      <c r="AA89" s="8"/>
      <c r="AB89" s="3"/>
      <c r="AC89" s="3"/>
      <c r="AD89" s="3"/>
      <c r="AE89" s="3"/>
      <c r="AF89" s="3"/>
      <c r="AG89" s="8"/>
      <c r="AH89" s="8"/>
      <c r="AI89" s="3"/>
      <c r="AJ89" s="3"/>
      <c r="AK89" s="3"/>
      <c r="AL89" s="3"/>
      <c r="AM89" s="3"/>
      <c r="AN89" s="8"/>
      <c r="AO89" s="8"/>
      <c r="AP89" s="3"/>
      <c r="AQ89" s="3"/>
      <c r="AR89" s="3"/>
      <c r="AS89" s="3"/>
      <c r="AT89" s="3"/>
      <c r="AU89" s="8"/>
      <c r="AV89" s="8"/>
      <c r="AW89" s="3"/>
      <c r="AX89" s="3"/>
      <c r="AY89" s="128"/>
      <c r="AZ89" s="5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GO89" s="54"/>
      <c r="GP89" s="54"/>
    </row>
    <row r="90" spans="1:198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2"/>
        <v/>
      </c>
      <c r="H90" s="100" t="str">
        <f t="shared" si="3"/>
        <v/>
      </c>
      <c r="I90" s="101">
        <f t="shared" si="0"/>
        <v>0</v>
      </c>
      <c r="J90" s="100" t="str">
        <f t="shared" si="12"/>
        <v/>
      </c>
      <c r="K90" s="6" t="str">
        <f t="shared" si="4"/>
        <v/>
      </c>
      <c r="L90" s="6" t="str">
        <f t="shared" si="4"/>
        <v/>
      </c>
      <c r="M90" s="6">
        <f t="shared" si="13"/>
        <v>0</v>
      </c>
      <c r="N90" s="7">
        <f t="shared" si="14"/>
        <v>0</v>
      </c>
      <c r="O90" s="4"/>
      <c r="P90" s="3"/>
      <c r="Q90" s="3"/>
      <c r="R90" s="3"/>
      <c r="S90" s="3"/>
      <c r="T90" s="3"/>
      <c r="U90" s="5"/>
      <c r="V90" s="125"/>
      <c r="W90" s="4"/>
      <c r="X90" s="3"/>
      <c r="Y90" s="3"/>
      <c r="Z90" s="8"/>
      <c r="AA90" s="8"/>
      <c r="AB90" s="3"/>
      <c r="AC90" s="3"/>
      <c r="AD90" s="3"/>
      <c r="AE90" s="3"/>
      <c r="AF90" s="3"/>
      <c r="AG90" s="8"/>
      <c r="AH90" s="8"/>
      <c r="AI90" s="3"/>
      <c r="AJ90" s="3"/>
      <c r="AK90" s="3"/>
      <c r="AL90" s="3"/>
      <c r="AM90" s="3"/>
      <c r="AN90" s="8"/>
      <c r="AO90" s="8"/>
      <c r="AP90" s="3"/>
      <c r="AQ90" s="3"/>
      <c r="AR90" s="3"/>
      <c r="AS90" s="3"/>
      <c r="AT90" s="3"/>
      <c r="AU90" s="8"/>
      <c r="AV90" s="8"/>
      <c r="AW90" s="3"/>
      <c r="AX90" s="3"/>
      <c r="AY90" s="128"/>
      <c r="AZ90" s="5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GO90" s="54"/>
      <c r="GP90" s="54"/>
    </row>
    <row r="91" spans="1:198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2"/>
        <v/>
      </c>
      <c r="H91" s="100" t="str">
        <f t="shared" si="3"/>
        <v/>
      </c>
      <c r="I91" s="101">
        <f t="shared" si="0"/>
        <v>0</v>
      </c>
      <c r="J91" s="100" t="str">
        <f t="shared" si="12"/>
        <v/>
      </c>
      <c r="K91" s="6" t="str">
        <f t="shared" si="4"/>
        <v/>
      </c>
      <c r="L91" s="6" t="str">
        <f t="shared" si="4"/>
        <v/>
      </c>
      <c r="M91" s="6">
        <f t="shared" si="13"/>
        <v>0</v>
      </c>
      <c r="N91" s="7">
        <f t="shared" si="14"/>
        <v>0</v>
      </c>
      <c r="O91" s="4"/>
      <c r="P91" s="3"/>
      <c r="Q91" s="3"/>
      <c r="R91" s="3"/>
      <c r="S91" s="3"/>
      <c r="T91" s="3"/>
      <c r="U91" s="5"/>
      <c r="V91" s="125"/>
      <c r="W91" s="4"/>
      <c r="X91" s="3"/>
      <c r="Y91" s="3"/>
      <c r="Z91" s="8"/>
      <c r="AA91" s="8"/>
      <c r="AB91" s="3"/>
      <c r="AC91" s="3"/>
      <c r="AD91" s="3"/>
      <c r="AE91" s="3"/>
      <c r="AF91" s="3"/>
      <c r="AG91" s="8"/>
      <c r="AH91" s="8"/>
      <c r="AI91" s="3"/>
      <c r="AJ91" s="3"/>
      <c r="AK91" s="3"/>
      <c r="AL91" s="3"/>
      <c r="AM91" s="3"/>
      <c r="AN91" s="8"/>
      <c r="AO91" s="8"/>
      <c r="AP91" s="3"/>
      <c r="AQ91" s="3"/>
      <c r="AR91" s="3"/>
      <c r="AS91" s="3"/>
      <c r="AT91" s="3"/>
      <c r="AU91" s="8"/>
      <c r="AV91" s="8"/>
      <c r="AW91" s="3"/>
      <c r="AX91" s="3"/>
      <c r="AY91" s="128"/>
      <c r="AZ91" s="5"/>
      <c r="BA91" s="59"/>
      <c r="BB91" s="59"/>
      <c r="GO91" s="54"/>
      <c r="GP91" s="54"/>
    </row>
    <row r="92" spans="1:198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2"/>
        <v/>
      </c>
      <c r="H92" s="100" t="str">
        <f t="shared" si="3"/>
        <v/>
      </c>
      <c r="I92" s="101">
        <f t="shared" si="0"/>
        <v>0</v>
      </c>
      <c r="J92" s="100" t="str">
        <f t="shared" si="12"/>
        <v/>
      </c>
      <c r="K92" s="6" t="str">
        <f t="shared" si="4"/>
        <v/>
      </c>
      <c r="L92" s="6" t="str">
        <f t="shared" si="4"/>
        <v/>
      </c>
      <c r="M92" s="6">
        <f t="shared" si="13"/>
        <v>0</v>
      </c>
      <c r="N92" s="7">
        <f t="shared" si="14"/>
        <v>0</v>
      </c>
      <c r="O92" s="4"/>
      <c r="P92" s="3"/>
      <c r="Q92" s="3"/>
      <c r="R92" s="3"/>
      <c r="S92" s="3"/>
      <c r="T92" s="3"/>
      <c r="U92" s="5"/>
      <c r="V92" s="125"/>
      <c r="W92" s="4"/>
      <c r="X92" s="3"/>
      <c r="Y92" s="3"/>
      <c r="Z92" s="8"/>
      <c r="AA92" s="8"/>
      <c r="AB92" s="3"/>
      <c r="AC92" s="3"/>
      <c r="AD92" s="3"/>
      <c r="AE92" s="3"/>
      <c r="AF92" s="3"/>
      <c r="AG92" s="8"/>
      <c r="AH92" s="8"/>
      <c r="AI92" s="3"/>
      <c r="AJ92" s="3"/>
      <c r="AK92" s="3"/>
      <c r="AL92" s="3"/>
      <c r="AM92" s="3"/>
      <c r="AN92" s="8"/>
      <c r="AO92" s="8"/>
      <c r="AP92" s="3"/>
      <c r="AQ92" s="3"/>
      <c r="AR92" s="3"/>
      <c r="AS92" s="3"/>
      <c r="AT92" s="3"/>
      <c r="AU92" s="8"/>
      <c r="AV92" s="8"/>
      <c r="AW92" s="3"/>
      <c r="AX92" s="3"/>
      <c r="AY92" s="128"/>
      <c r="AZ92" s="5"/>
      <c r="BA92" s="59"/>
      <c r="BB92" s="59"/>
      <c r="GO92" s="54"/>
      <c r="GP92" s="54"/>
    </row>
    <row r="93" spans="1:198" ht="15" hidden="1" customHeight="1" x14ac:dyDescent="0.25">
      <c r="A93" s="97">
        <v>82</v>
      </c>
      <c r="B93" s="103"/>
      <c r="C93" s="104"/>
      <c r="D93" s="1"/>
      <c r="E93" s="105"/>
      <c r="F93" s="105"/>
      <c r="G93" s="100" t="str">
        <f t="shared" si="2"/>
        <v/>
      </c>
      <c r="H93" s="100" t="str">
        <f t="shared" si="3"/>
        <v/>
      </c>
      <c r="I93" s="101">
        <f t="shared" si="0"/>
        <v>0</v>
      </c>
      <c r="J93" s="100" t="str">
        <f t="shared" si="12"/>
        <v/>
      </c>
      <c r="K93" s="6" t="str">
        <f t="shared" si="4"/>
        <v/>
      </c>
      <c r="L93" s="6" t="str">
        <f t="shared" si="4"/>
        <v/>
      </c>
      <c r="M93" s="6">
        <f t="shared" si="13"/>
        <v>0</v>
      </c>
      <c r="N93" s="7">
        <f t="shared" si="14"/>
        <v>0</v>
      </c>
      <c r="O93" s="4"/>
      <c r="P93" s="3"/>
      <c r="Q93" s="3"/>
      <c r="R93" s="3"/>
      <c r="S93" s="3"/>
      <c r="T93" s="3"/>
      <c r="U93" s="5"/>
      <c r="V93" s="125"/>
      <c r="W93" s="4"/>
      <c r="X93" s="3"/>
      <c r="Y93" s="3"/>
      <c r="Z93" s="8"/>
      <c r="AA93" s="8"/>
      <c r="AB93" s="3"/>
      <c r="AC93" s="3"/>
      <c r="AD93" s="3"/>
      <c r="AE93" s="3"/>
      <c r="AF93" s="3"/>
      <c r="AG93" s="8"/>
      <c r="AH93" s="8"/>
      <c r="AI93" s="3"/>
      <c r="AJ93" s="3"/>
      <c r="AK93" s="3"/>
      <c r="AL93" s="3"/>
      <c r="AM93" s="3"/>
      <c r="AN93" s="8"/>
      <c r="AO93" s="8"/>
      <c r="AP93" s="3"/>
      <c r="AQ93" s="3"/>
      <c r="AR93" s="3"/>
      <c r="AS93" s="3"/>
      <c r="AT93" s="3"/>
      <c r="AU93" s="8"/>
      <c r="AV93" s="8"/>
      <c r="AW93" s="3"/>
      <c r="AX93" s="3"/>
      <c r="AY93" s="128"/>
      <c r="AZ93" s="5"/>
      <c r="BA93" s="59"/>
      <c r="BB93" s="59"/>
      <c r="GO93" s="54"/>
      <c r="GP93" s="54"/>
    </row>
    <row r="94" spans="1:198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2"/>
        <v/>
      </c>
      <c r="H94" s="100" t="str">
        <f t="shared" si="3"/>
        <v/>
      </c>
      <c r="I94" s="101">
        <f t="shared" si="0"/>
        <v>0</v>
      </c>
      <c r="J94" s="100" t="str">
        <f t="shared" si="12"/>
        <v/>
      </c>
      <c r="K94" s="6" t="str">
        <f t="shared" si="4"/>
        <v/>
      </c>
      <c r="L94" s="6" t="str">
        <f t="shared" si="4"/>
        <v/>
      </c>
      <c r="M94" s="6">
        <f t="shared" si="13"/>
        <v>0</v>
      </c>
      <c r="N94" s="7">
        <f t="shared" si="14"/>
        <v>0</v>
      </c>
      <c r="O94" s="4"/>
      <c r="P94" s="3"/>
      <c r="Q94" s="3"/>
      <c r="R94" s="3"/>
      <c r="S94" s="3"/>
      <c r="T94" s="3"/>
      <c r="U94" s="5"/>
      <c r="V94" s="125"/>
      <c r="W94" s="4"/>
      <c r="X94" s="3"/>
      <c r="Y94" s="3"/>
      <c r="Z94" s="8"/>
      <c r="AA94" s="8"/>
      <c r="AB94" s="3"/>
      <c r="AC94" s="3"/>
      <c r="AD94" s="3"/>
      <c r="AE94" s="3"/>
      <c r="AF94" s="3"/>
      <c r="AG94" s="8"/>
      <c r="AH94" s="8"/>
      <c r="AI94" s="3"/>
      <c r="AJ94" s="3"/>
      <c r="AK94" s="3"/>
      <c r="AL94" s="3"/>
      <c r="AM94" s="3"/>
      <c r="AN94" s="8"/>
      <c r="AO94" s="8"/>
      <c r="AP94" s="3"/>
      <c r="AQ94" s="3"/>
      <c r="AR94" s="3"/>
      <c r="AS94" s="3"/>
      <c r="AT94" s="3"/>
      <c r="AU94" s="8"/>
      <c r="AV94" s="8"/>
      <c r="AW94" s="3"/>
      <c r="AX94" s="3"/>
      <c r="AY94" s="128"/>
      <c r="AZ94" s="5"/>
      <c r="BA94" s="58"/>
      <c r="BB94" s="59"/>
      <c r="GO94" s="54"/>
      <c r="GP94" s="54"/>
    </row>
    <row r="95" spans="1:198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2"/>
        <v/>
      </c>
      <c r="H95" s="100" t="str">
        <f t="shared" si="3"/>
        <v/>
      </c>
      <c r="I95" s="101">
        <f t="shared" si="0"/>
        <v>0</v>
      </c>
      <c r="J95" s="100" t="str">
        <f t="shared" si="12"/>
        <v/>
      </c>
      <c r="K95" s="6" t="str">
        <f t="shared" si="4"/>
        <v/>
      </c>
      <c r="L95" s="6" t="str">
        <f t="shared" si="4"/>
        <v/>
      </c>
      <c r="M95" s="6">
        <f t="shared" si="13"/>
        <v>0</v>
      </c>
      <c r="N95" s="7">
        <f t="shared" si="14"/>
        <v>0</v>
      </c>
      <c r="O95" s="4"/>
      <c r="P95" s="3"/>
      <c r="Q95" s="3"/>
      <c r="R95" s="3"/>
      <c r="S95" s="3"/>
      <c r="T95" s="3"/>
      <c r="U95" s="5"/>
      <c r="V95" s="125"/>
      <c r="W95" s="4"/>
      <c r="X95" s="3"/>
      <c r="Y95" s="3"/>
      <c r="Z95" s="8"/>
      <c r="AA95" s="8"/>
      <c r="AB95" s="3"/>
      <c r="AC95" s="3"/>
      <c r="AD95" s="3"/>
      <c r="AE95" s="3"/>
      <c r="AF95" s="3"/>
      <c r="AG95" s="8"/>
      <c r="AH95" s="8"/>
      <c r="AI95" s="3"/>
      <c r="AJ95" s="3"/>
      <c r="AK95" s="3"/>
      <c r="AL95" s="3"/>
      <c r="AM95" s="3"/>
      <c r="AN95" s="8"/>
      <c r="AO95" s="8"/>
      <c r="AP95" s="3"/>
      <c r="AQ95" s="3"/>
      <c r="AR95" s="3"/>
      <c r="AS95" s="3"/>
      <c r="AT95" s="3"/>
      <c r="AU95" s="8"/>
      <c r="AV95" s="8"/>
      <c r="AW95" s="3"/>
      <c r="AX95" s="3"/>
      <c r="AY95" s="128"/>
      <c r="AZ95" s="5"/>
      <c r="BA95" s="58"/>
      <c r="BB95" s="59"/>
      <c r="GO95" s="54"/>
      <c r="GP95" s="54"/>
    </row>
    <row r="96" spans="1:198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2"/>
        <v/>
      </c>
      <c r="H96" s="100" t="str">
        <f t="shared" si="3"/>
        <v/>
      </c>
      <c r="I96" s="101">
        <f t="shared" si="0"/>
        <v>0</v>
      </c>
      <c r="J96" s="100" t="str">
        <f t="shared" si="12"/>
        <v/>
      </c>
      <c r="K96" s="6" t="str">
        <f t="shared" si="4"/>
        <v/>
      </c>
      <c r="L96" s="6" t="str">
        <f t="shared" si="4"/>
        <v/>
      </c>
      <c r="M96" s="6">
        <f t="shared" si="13"/>
        <v>0</v>
      </c>
      <c r="N96" s="7">
        <f t="shared" si="14"/>
        <v>0</v>
      </c>
      <c r="O96" s="4"/>
      <c r="P96" s="3"/>
      <c r="Q96" s="3"/>
      <c r="R96" s="3"/>
      <c r="S96" s="3"/>
      <c r="T96" s="3"/>
      <c r="U96" s="5"/>
      <c r="V96" s="125"/>
      <c r="W96" s="4"/>
      <c r="X96" s="3"/>
      <c r="Y96" s="3"/>
      <c r="Z96" s="8"/>
      <c r="AA96" s="8"/>
      <c r="AB96" s="3"/>
      <c r="AC96" s="3"/>
      <c r="AD96" s="3"/>
      <c r="AE96" s="3"/>
      <c r="AF96" s="3"/>
      <c r="AG96" s="8"/>
      <c r="AH96" s="8"/>
      <c r="AI96" s="3"/>
      <c r="AJ96" s="3"/>
      <c r="AK96" s="3"/>
      <c r="AL96" s="3"/>
      <c r="AM96" s="3"/>
      <c r="AN96" s="8"/>
      <c r="AO96" s="8"/>
      <c r="AP96" s="3"/>
      <c r="AQ96" s="3"/>
      <c r="AR96" s="3"/>
      <c r="AS96" s="3"/>
      <c r="AT96" s="3"/>
      <c r="AU96" s="8"/>
      <c r="AV96" s="8"/>
      <c r="AW96" s="3"/>
      <c r="AX96" s="3"/>
      <c r="AY96" s="128"/>
      <c r="AZ96" s="5"/>
      <c r="BA96" s="59"/>
      <c r="BB96" s="59"/>
      <c r="GO96" s="54"/>
      <c r="GP96" s="54"/>
    </row>
    <row r="97" spans="1:198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2"/>
        <v/>
      </c>
      <c r="H97" s="100" t="str">
        <f t="shared" si="3"/>
        <v/>
      </c>
      <c r="I97" s="101">
        <f t="shared" si="0"/>
        <v>0</v>
      </c>
      <c r="J97" s="100" t="str">
        <f t="shared" si="12"/>
        <v/>
      </c>
      <c r="K97" s="6" t="str">
        <f t="shared" si="4"/>
        <v/>
      </c>
      <c r="L97" s="6" t="str">
        <f t="shared" si="4"/>
        <v/>
      </c>
      <c r="M97" s="6">
        <f t="shared" si="13"/>
        <v>0</v>
      </c>
      <c r="N97" s="7">
        <f t="shared" si="14"/>
        <v>0</v>
      </c>
      <c r="O97" s="4"/>
      <c r="P97" s="3"/>
      <c r="Q97" s="3"/>
      <c r="R97" s="3"/>
      <c r="S97" s="3"/>
      <c r="T97" s="3"/>
      <c r="U97" s="5"/>
      <c r="V97" s="125"/>
      <c r="W97" s="4"/>
      <c r="X97" s="3"/>
      <c r="Y97" s="3"/>
      <c r="Z97" s="8"/>
      <c r="AA97" s="8"/>
      <c r="AB97" s="3"/>
      <c r="AC97" s="3"/>
      <c r="AD97" s="3"/>
      <c r="AE97" s="3"/>
      <c r="AF97" s="3"/>
      <c r="AG97" s="8"/>
      <c r="AH97" s="8"/>
      <c r="AI97" s="3"/>
      <c r="AJ97" s="3"/>
      <c r="AK97" s="3"/>
      <c r="AL97" s="3"/>
      <c r="AM97" s="3"/>
      <c r="AN97" s="8"/>
      <c r="AO97" s="8"/>
      <c r="AP97" s="3"/>
      <c r="AQ97" s="3"/>
      <c r="AR97" s="3"/>
      <c r="AS97" s="3"/>
      <c r="AT97" s="3"/>
      <c r="AU97" s="8"/>
      <c r="AV97" s="8"/>
      <c r="AW97" s="3"/>
      <c r="AX97" s="3"/>
      <c r="AY97" s="128"/>
      <c r="AZ97" s="5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GO97" s="54"/>
      <c r="GP97" s="54"/>
    </row>
    <row r="98" spans="1:198" ht="15" hidden="1" customHeight="1" x14ac:dyDescent="0.25">
      <c r="A98" s="97">
        <v>87</v>
      </c>
      <c r="B98" s="103"/>
      <c r="C98" s="104"/>
      <c r="D98" s="1"/>
      <c r="E98" s="105"/>
      <c r="F98" s="105"/>
      <c r="G98" s="100" t="str">
        <f t="shared" si="2"/>
        <v/>
      </c>
      <c r="H98" s="100" t="str">
        <f t="shared" si="3"/>
        <v/>
      </c>
      <c r="I98" s="101">
        <f t="shared" si="0"/>
        <v>0</v>
      </c>
      <c r="J98" s="100" t="str">
        <f t="shared" si="12"/>
        <v/>
      </c>
      <c r="K98" s="6" t="str">
        <f t="shared" si="4"/>
        <v/>
      </c>
      <c r="L98" s="6" t="str">
        <f t="shared" si="4"/>
        <v/>
      </c>
      <c r="M98" s="6">
        <f t="shared" si="13"/>
        <v>0</v>
      </c>
      <c r="N98" s="7">
        <f t="shared" si="14"/>
        <v>0</v>
      </c>
      <c r="O98" s="4"/>
      <c r="P98" s="3"/>
      <c r="Q98" s="3"/>
      <c r="R98" s="3"/>
      <c r="S98" s="3"/>
      <c r="T98" s="3"/>
      <c r="U98" s="5"/>
      <c r="V98" s="125"/>
      <c r="W98" s="4"/>
      <c r="X98" s="3"/>
      <c r="Y98" s="3"/>
      <c r="Z98" s="8"/>
      <c r="AA98" s="8"/>
      <c r="AB98" s="3"/>
      <c r="AC98" s="3"/>
      <c r="AD98" s="3"/>
      <c r="AE98" s="3"/>
      <c r="AF98" s="3"/>
      <c r="AG98" s="8"/>
      <c r="AH98" s="8"/>
      <c r="AI98" s="3"/>
      <c r="AJ98" s="3"/>
      <c r="AK98" s="3"/>
      <c r="AL98" s="3"/>
      <c r="AM98" s="3"/>
      <c r="AN98" s="8"/>
      <c r="AO98" s="8"/>
      <c r="AP98" s="3"/>
      <c r="AQ98" s="3"/>
      <c r="AR98" s="3"/>
      <c r="AS98" s="3"/>
      <c r="AT98" s="3"/>
      <c r="AU98" s="8"/>
      <c r="AV98" s="8"/>
      <c r="AW98" s="3"/>
      <c r="AX98" s="3"/>
      <c r="AY98" s="128"/>
      <c r="AZ98" s="5"/>
      <c r="BA98" s="106"/>
      <c r="BB98" s="59"/>
      <c r="GO98" s="54"/>
      <c r="GP98" s="54"/>
    </row>
    <row r="99" spans="1:198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2"/>
        <v/>
      </c>
      <c r="H99" s="100" t="str">
        <f t="shared" si="3"/>
        <v/>
      </c>
      <c r="I99" s="101">
        <f t="shared" si="0"/>
        <v>0</v>
      </c>
      <c r="J99" s="100" t="str">
        <f t="shared" si="12"/>
        <v/>
      </c>
      <c r="K99" s="6" t="str">
        <f t="shared" si="4"/>
        <v/>
      </c>
      <c r="L99" s="6" t="str">
        <f t="shared" si="4"/>
        <v/>
      </c>
      <c r="M99" s="6">
        <f>(IF(O99="hT",4,0))+(IF(P99="hT",4,0))+(IF(Q99="hT",4,0))+(IF(R99="hT",4,0))+(IF(S99="hT",4,0))+T99+(COUNTIF(W99:AZ99,"hT"))</f>
        <v>0</v>
      </c>
      <c r="N99" s="7">
        <f>(IF(O99="x",4,0))+(IF(P99="x",4,0))+(IF(Q99="x",4,0))+(IF(R99="x",4,0))+(IF(S99="x",4,0))+U99+(COUNTIF(W99:AZ99,"x"))</f>
        <v>0</v>
      </c>
      <c r="O99" s="4"/>
      <c r="P99" s="3"/>
      <c r="Q99" s="3"/>
      <c r="R99" s="3"/>
      <c r="S99" s="3"/>
      <c r="T99" s="3"/>
      <c r="U99" s="5"/>
      <c r="V99" s="125"/>
      <c r="W99" s="4"/>
      <c r="X99" s="3"/>
      <c r="Y99" s="3"/>
      <c r="Z99" s="8"/>
      <c r="AA99" s="8"/>
      <c r="AB99" s="3"/>
      <c r="AC99" s="3"/>
      <c r="AD99" s="3"/>
      <c r="AE99" s="3"/>
      <c r="AF99" s="3"/>
      <c r="AG99" s="8"/>
      <c r="AH99" s="8"/>
      <c r="AI99" s="3"/>
      <c r="AJ99" s="3"/>
      <c r="AK99" s="3"/>
      <c r="AL99" s="3"/>
      <c r="AM99" s="3"/>
      <c r="AN99" s="8"/>
      <c r="AO99" s="8"/>
      <c r="AP99" s="3"/>
      <c r="AQ99" s="3"/>
      <c r="AR99" s="3"/>
      <c r="AS99" s="3"/>
      <c r="AT99" s="3"/>
      <c r="AU99" s="8"/>
      <c r="AV99" s="8"/>
      <c r="AW99" s="3"/>
      <c r="AX99" s="3"/>
      <c r="AY99" s="128"/>
      <c r="AZ99" s="5"/>
      <c r="BA99" s="59"/>
      <c r="BB99" s="59"/>
      <c r="GO99" s="54"/>
      <c r="GP99" s="54"/>
    </row>
    <row r="100" spans="1:198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2"/>
        <v/>
      </c>
      <c r="H100" s="100" t="str">
        <f t="shared" si="3"/>
        <v/>
      </c>
      <c r="I100" s="101">
        <f t="shared" si="0"/>
        <v>0</v>
      </c>
      <c r="J100" s="100" t="str">
        <f t="shared" si="12"/>
        <v/>
      </c>
      <c r="K100" s="6" t="str">
        <f t="shared" si="4"/>
        <v/>
      </c>
      <c r="L100" s="6" t="str">
        <f t="shared" si="4"/>
        <v/>
      </c>
      <c r="M100" s="6">
        <f t="shared" si="13"/>
        <v>0</v>
      </c>
      <c r="N100" s="7">
        <f t="shared" si="14"/>
        <v>0</v>
      </c>
      <c r="O100" s="4"/>
      <c r="P100" s="3"/>
      <c r="Q100" s="3"/>
      <c r="R100" s="3"/>
      <c r="S100" s="3"/>
      <c r="T100" s="3"/>
      <c r="U100" s="5"/>
      <c r="V100" s="125"/>
      <c r="W100" s="4"/>
      <c r="X100" s="3"/>
      <c r="Y100" s="3"/>
      <c r="Z100" s="8"/>
      <c r="AA100" s="8"/>
      <c r="AB100" s="3"/>
      <c r="AC100" s="3"/>
      <c r="AD100" s="3"/>
      <c r="AE100" s="3"/>
      <c r="AF100" s="3"/>
      <c r="AG100" s="8"/>
      <c r="AH100" s="8"/>
      <c r="AI100" s="3"/>
      <c r="AJ100" s="3"/>
      <c r="AK100" s="3"/>
      <c r="AL100" s="3"/>
      <c r="AM100" s="3"/>
      <c r="AN100" s="8"/>
      <c r="AO100" s="8"/>
      <c r="AP100" s="3"/>
      <c r="AQ100" s="3"/>
      <c r="AR100" s="3"/>
      <c r="AS100" s="3"/>
      <c r="AT100" s="3"/>
      <c r="AU100" s="8"/>
      <c r="AV100" s="8"/>
      <c r="AW100" s="3"/>
      <c r="AX100" s="3"/>
      <c r="AY100" s="128"/>
      <c r="AZ100" s="5"/>
      <c r="BA100" s="59"/>
      <c r="BB100" s="59"/>
      <c r="GO100" s="54"/>
      <c r="GP100" s="54"/>
    </row>
    <row r="101" spans="1:198" ht="15" hidden="1" customHeight="1" x14ac:dyDescent="0.25">
      <c r="A101" s="102">
        <v>90</v>
      </c>
      <c r="B101" s="103"/>
      <c r="C101" s="104"/>
      <c r="D101" s="2"/>
      <c r="E101" s="105"/>
      <c r="F101" s="105"/>
      <c r="G101" s="100" t="str">
        <f t="shared" si="2"/>
        <v/>
      </c>
      <c r="H101" s="100" t="str">
        <f t="shared" si="3"/>
        <v/>
      </c>
      <c r="I101" s="101">
        <f t="shared" si="0"/>
        <v>0</v>
      </c>
      <c r="J101" s="100" t="str">
        <f t="shared" si="12"/>
        <v/>
      </c>
      <c r="K101" s="6" t="str">
        <f t="shared" si="4"/>
        <v/>
      </c>
      <c r="L101" s="6" t="str">
        <f t="shared" si="4"/>
        <v/>
      </c>
      <c r="M101" s="6">
        <f t="shared" si="13"/>
        <v>0</v>
      </c>
      <c r="N101" s="7">
        <f t="shared" si="14"/>
        <v>0</v>
      </c>
      <c r="O101" s="4"/>
      <c r="P101" s="3"/>
      <c r="Q101" s="3"/>
      <c r="R101" s="3"/>
      <c r="S101" s="3"/>
      <c r="T101" s="3"/>
      <c r="U101" s="5"/>
      <c r="V101" s="125"/>
      <c r="W101" s="4"/>
      <c r="X101" s="3"/>
      <c r="Y101" s="3"/>
      <c r="Z101" s="8"/>
      <c r="AA101" s="8"/>
      <c r="AB101" s="3"/>
      <c r="AC101" s="3"/>
      <c r="AD101" s="3"/>
      <c r="AE101" s="3"/>
      <c r="AF101" s="3"/>
      <c r="AG101" s="8"/>
      <c r="AH101" s="8"/>
      <c r="AI101" s="3"/>
      <c r="AJ101" s="3"/>
      <c r="AK101" s="3"/>
      <c r="AL101" s="3"/>
      <c r="AM101" s="3"/>
      <c r="AN101" s="8"/>
      <c r="AO101" s="8"/>
      <c r="AP101" s="3"/>
      <c r="AQ101" s="3"/>
      <c r="AR101" s="3"/>
      <c r="AS101" s="3"/>
      <c r="AT101" s="3"/>
      <c r="AU101" s="8"/>
      <c r="AV101" s="8"/>
      <c r="AW101" s="3"/>
      <c r="AX101" s="3"/>
      <c r="AY101" s="128"/>
      <c r="AZ101" s="5"/>
      <c r="BA101" s="59"/>
      <c r="BB101" s="59"/>
      <c r="GO101" s="54"/>
      <c r="GP101" s="54"/>
    </row>
    <row r="102" spans="1:198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2"/>
        <v/>
      </c>
      <c r="H102" s="100" t="str">
        <f t="shared" si="3"/>
        <v/>
      </c>
      <c r="I102" s="101">
        <f t="shared" si="0"/>
        <v>0</v>
      </c>
      <c r="J102" s="100" t="str">
        <f t="shared" si="12"/>
        <v/>
      </c>
      <c r="K102" s="6" t="str">
        <f t="shared" si="4"/>
        <v/>
      </c>
      <c r="L102" s="6" t="str">
        <f t="shared" si="4"/>
        <v/>
      </c>
      <c r="M102" s="6">
        <f t="shared" si="13"/>
        <v>0</v>
      </c>
      <c r="N102" s="7">
        <f t="shared" si="14"/>
        <v>0</v>
      </c>
      <c r="O102" s="4"/>
      <c r="P102" s="3"/>
      <c r="Q102" s="3"/>
      <c r="R102" s="3"/>
      <c r="S102" s="3"/>
      <c r="T102" s="3"/>
      <c r="U102" s="5"/>
      <c r="V102" s="125"/>
      <c r="W102" s="4"/>
      <c r="X102" s="3"/>
      <c r="Y102" s="3"/>
      <c r="Z102" s="8"/>
      <c r="AA102" s="8"/>
      <c r="AB102" s="3"/>
      <c r="AC102" s="3"/>
      <c r="AD102" s="3"/>
      <c r="AE102" s="3"/>
      <c r="AF102" s="3"/>
      <c r="AG102" s="8"/>
      <c r="AH102" s="8"/>
      <c r="AI102" s="3"/>
      <c r="AJ102" s="3"/>
      <c r="AK102" s="3"/>
      <c r="AL102" s="3"/>
      <c r="AM102" s="3"/>
      <c r="AN102" s="8"/>
      <c r="AO102" s="8"/>
      <c r="AP102" s="3"/>
      <c r="AQ102" s="3"/>
      <c r="AR102" s="3"/>
      <c r="AS102" s="3"/>
      <c r="AT102" s="3"/>
      <c r="AU102" s="8"/>
      <c r="AV102" s="8"/>
      <c r="AW102" s="3"/>
      <c r="AX102" s="3"/>
      <c r="AY102" s="128"/>
      <c r="AZ102" s="5"/>
      <c r="BA102" s="59"/>
      <c r="BB102" s="59"/>
      <c r="GO102" s="54"/>
      <c r="GP102" s="54"/>
    </row>
    <row r="103" spans="1:198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2"/>
        <v/>
      </c>
      <c r="H103" s="100" t="str">
        <f t="shared" si="3"/>
        <v/>
      </c>
      <c r="I103" s="101">
        <f t="shared" si="0"/>
        <v>0</v>
      </c>
      <c r="J103" s="100" t="str">
        <f t="shared" si="12"/>
        <v/>
      </c>
      <c r="K103" s="6" t="str">
        <f t="shared" si="4"/>
        <v/>
      </c>
      <c r="L103" s="6" t="str">
        <f t="shared" si="4"/>
        <v/>
      </c>
      <c r="M103" s="6">
        <f t="shared" si="13"/>
        <v>0</v>
      </c>
      <c r="N103" s="7">
        <f t="shared" si="14"/>
        <v>0</v>
      </c>
      <c r="O103" s="4"/>
      <c r="P103" s="3"/>
      <c r="Q103" s="3"/>
      <c r="R103" s="3"/>
      <c r="S103" s="3"/>
      <c r="T103" s="3"/>
      <c r="U103" s="5"/>
      <c r="V103" s="125"/>
      <c r="W103" s="4"/>
      <c r="X103" s="3"/>
      <c r="Y103" s="3"/>
      <c r="Z103" s="8"/>
      <c r="AA103" s="8"/>
      <c r="AB103" s="3"/>
      <c r="AC103" s="3"/>
      <c r="AD103" s="3"/>
      <c r="AE103" s="3"/>
      <c r="AF103" s="3"/>
      <c r="AG103" s="8"/>
      <c r="AH103" s="8"/>
      <c r="AI103" s="3"/>
      <c r="AJ103" s="3"/>
      <c r="AK103" s="3"/>
      <c r="AL103" s="3"/>
      <c r="AM103" s="3"/>
      <c r="AN103" s="8"/>
      <c r="AO103" s="8"/>
      <c r="AP103" s="3"/>
      <c r="AQ103" s="3"/>
      <c r="AR103" s="3"/>
      <c r="AS103" s="3"/>
      <c r="AT103" s="3"/>
      <c r="AU103" s="8"/>
      <c r="AV103" s="8"/>
      <c r="AW103" s="3"/>
      <c r="AX103" s="3"/>
      <c r="AY103" s="128"/>
      <c r="AZ103" s="5"/>
      <c r="BA103" s="59"/>
      <c r="BB103" s="59"/>
      <c r="GO103" s="54"/>
      <c r="GP103" s="54"/>
    </row>
    <row r="104" spans="1:198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2"/>
        <v/>
      </c>
      <c r="H104" s="100" t="str">
        <f t="shared" si="3"/>
        <v/>
      </c>
      <c r="I104" s="101">
        <f t="shared" si="0"/>
        <v>0</v>
      </c>
      <c r="J104" s="100" t="str">
        <f t="shared" si="12"/>
        <v/>
      </c>
      <c r="K104" s="6" t="str">
        <f t="shared" si="4"/>
        <v/>
      </c>
      <c r="L104" s="6" t="str">
        <f t="shared" si="4"/>
        <v/>
      </c>
      <c r="M104" s="6">
        <f t="shared" si="13"/>
        <v>0</v>
      </c>
      <c r="N104" s="7">
        <f t="shared" si="14"/>
        <v>0</v>
      </c>
      <c r="O104" s="4"/>
      <c r="P104" s="3"/>
      <c r="Q104" s="3"/>
      <c r="R104" s="3"/>
      <c r="S104" s="3"/>
      <c r="T104" s="3"/>
      <c r="U104" s="5"/>
      <c r="V104" s="125"/>
      <c r="W104" s="4"/>
      <c r="X104" s="3"/>
      <c r="Y104" s="3"/>
      <c r="Z104" s="8"/>
      <c r="AA104" s="8"/>
      <c r="AB104" s="3"/>
      <c r="AC104" s="3"/>
      <c r="AD104" s="3"/>
      <c r="AE104" s="3"/>
      <c r="AF104" s="3"/>
      <c r="AG104" s="8"/>
      <c r="AH104" s="8"/>
      <c r="AI104" s="3"/>
      <c r="AJ104" s="3"/>
      <c r="AK104" s="3"/>
      <c r="AL104" s="3"/>
      <c r="AM104" s="3"/>
      <c r="AN104" s="8"/>
      <c r="AO104" s="8"/>
      <c r="AP104" s="3"/>
      <c r="AQ104" s="3"/>
      <c r="AR104" s="3"/>
      <c r="AS104" s="3"/>
      <c r="AT104" s="3"/>
      <c r="AU104" s="8"/>
      <c r="AV104" s="8"/>
      <c r="AW104" s="3"/>
      <c r="AX104" s="3"/>
      <c r="AY104" s="128"/>
      <c r="AZ104" s="5"/>
      <c r="BA104" s="59"/>
      <c r="BB104" s="59"/>
      <c r="GO104" s="54"/>
      <c r="GP104" s="54"/>
    </row>
    <row r="105" spans="1:198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2"/>
        <v/>
      </c>
      <c r="H105" s="100" t="str">
        <f t="shared" si="3"/>
        <v/>
      </c>
      <c r="I105" s="101">
        <f t="shared" si="0"/>
        <v>0</v>
      </c>
      <c r="J105" s="100" t="str">
        <f t="shared" si="12"/>
        <v/>
      </c>
      <c r="K105" s="6" t="str">
        <f t="shared" si="4"/>
        <v/>
      </c>
      <c r="L105" s="6" t="str">
        <f t="shared" si="4"/>
        <v/>
      </c>
      <c r="M105" s="6">
        <f t="shared" si="13"/>
        <v>0</v>
      </c>
      <c r="N105" s="7">
        <f t="shared" si="14"/>
        <v>0</v>
      </c>
      <c r="O105" s="4"/>
      <c r="P105" s="3"/>
      <c r="Q105" s="3"/>
      <c r="R105" s="3"/>
      <c r="S105" s="3"/>
      <c r="T105" s="3"/>
      <c r="U105" s="5"/>
      <c r="V105" s="125"/>
      <c r="W105" s="4"/>
      <c r="X105" s="3"/>
      <c r="Y105" s="3"/>
      <c r="Z105" s="8"/>
      <c r="AA105" s="8"/>
      <c r="AB105" s="3"/>
      <c r="AC105" s="3"/>
      <c r="AD105" s="3"/>
      <c r="AE105" s="3"/>
      <c r="AF105" s="3"/>
      <c r="AG105" s="8"/>
      <c r="AH105" s="8"/>
      <c r="AI105" s="3"/>
      <c r="AJ105" s="3"/>
      <c r="AK105" s="3"/>
      <c r="AL105" s="3"/>
      <c r="AM105" s="3"/>
      <c r="AN105" s="8"/>
      <c r="AO105" s="8"/>
      <c r="AP105" s="3"/>
      <c r="AQ105" s="3"/>
      <c r="AR105" s="3"/>
      <c r="AS105" s="3"/>
      <c r="AT105" s="3"/>
      <c r="AU105" s="8"/>
      <c r="AV105" s="8"/>
      <c r="AW105" s="3"/>
      <c r="AX105" s="3"/>
      <c r="AY105" s="128"/>
      <c r="AZ105" s="5"/>
      <c r="BA105" s="59"/>
      <c r="BB105" s="59"/>
      <c r="GO105" s="54"/>
      <c r="GP105" s="54"/>
    </row>
    <row r="106" spans="1:198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2"/>
        <v/>
      </c>
      <c r="H106" s="100" t="str">
        <f t="shared" si="3"/>
        <v/>
      </c>
      <c r="I106" s="101">
        <f t="shared" si="0"/>
        <v>0</v>
      </c>
      <c r="J106" s="100" t="str">
        <f t="shared" si="12"/>
        <v/>
      </c>
      <c r="K106" s="6" t="str">
        <f t="shared" si="4"/>
        <v/>
      </c>
      <c r="L106" s="6" t="str">
        <f t="shared" si="4"/>
        <v/>
      </c>
      <c r="M106" s="6">
        <f t="shared" si="13"/>
        <v>0</v>
      </c>
      <c r="N106" s="7">
        <f t="shared" si="14"/>
        <v>0</v>
      </c>
      <c r="O106" s="4"/>
      <c r="P106" s="3"/>
      <c r="Q106" s="3"/>
      <c r="R106" s="3"/>
      <c r="S106" s="3"/>
      <c r="T106" s="3"/>
      <c r="U106" s="5"/>
      <c r="V106" s="125"/>
      <c r="W106" s="4"/>
      <c r="X106" s="3"/>
      <c r="Y106" s="3"/>
      <c r="Z106" s="8"/>
      <c r="AA106" s="8"/>
      <c r="AB106" s="3"/>
      <c r="AC106" s="3"/>
      <c r="AD106" s="3"/>
      <c r="AE106" s="3"/>
      <c r="AF106" s="3"/>
      <c r="AG106" s="8"/>
      <c r="AH106" s="8"/>
      <c r="AI106" s="3"/>
      <c r="AJ106" s="3"/>
      <c r="AK106" s="3"/>
      <c r="AL106" s="3"/>
      <c r="AM106" s="3"/>
      <c r="AN106" s="8"/>
      <c r="AO106" s="8"/>
      <c r="AP106" s="3"/>
      <c r="AQ106" s="3"/>
      <c r="AR106" s="3"/>
      <c r="AS106" s="3"/>
      <c r="AT106" s="3"/>
      <c r="AU106" s="8"/>
      <c r="AV106" s="8"/>
      <c r="AW106" s="3"/>
      <c r="AX106" s="3"/>
      <c r="AY106" s="128"/>
      <c r="AZ106" s="5"/>
      <c r="BA106" s="59"/>
      <c r="BB106" s="59"/>
      <c r="GO106" s="54"/>
      <c r="GP106" s="54"/>
    </row>
    <row r="107" spans="1:198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2"/>
        <v/>
      </c>
      <c r="H107" s="100" t="str">
        <f t="shared" si="3"/>
        <v/>
      </c>
      <c r="I107" s="101">
        <f t="shared" si="0"/>
        <v>0</v>
      </c>
      <c r="J107" s="100" t="str">
        <f t="shared" si="12"/>
        <v/>
      </c>
      <c r="K107" s="6" t="str">
        <f t="shared" si="4"/>
        <v/>
      </c>
      <c r="L107" s="6" t="str">
        <f t="shared" si="4"/>
        <v/>
      </c>
      <c r="M107" s="6">
        <f t="shared" si="13"/>
        <v>0</v>
      </c>
      <c r="N107" s="7">
        <f t="shared" si="14"/>
        <v>0</v>
      </c>
      <c r="O107" s="4"/>
      <c r="P107" s="3"/>
      <c r="Q107" s="3"/>
      <c r="R107" s="3"/>
      <c r="S107" s="3"/>
      <c r="T107" s="3"/>
      <c r="U107" s="5"/>
      <c r="V107" s="125"/>
      <c r="W107" s="4"/>
      <c r="X107" s="3"/>
      <c r="Y107" s="3"/>
      <c r="Z107" s="8"/>
      <c r="AA107" s="8"/>
      <c r="AB107" s="3"/>
      <c r="AC107" s="3"/>
      <c r="AD107" s="3"/>
      <c r="AE107" s="3"/>
      <c r="AF107" s="3"/>
      <c r="AG107" s="8"/>
      <c r="AH107" s="8"/>
      <c r="AI107" s="3"/>
      <c r="AJ107" s="3"/>
      <c r="AK107" s="3"/>
      <c r="AL107" s="3"/>
      <c r="AM107" s="3"/>
      <c r="AN107" s="8"/>
      <c r="AO107" s="8"/>
      <c r="AP107" s="3"/>
      <c r="AQ107" s="3"/>
      <c r="AR107" s="3"/>
      <c r="AS107" s="3"/>
      <c r="AT107" s="3"/>
      <c r="AU107" s="8"/>
      <c r="AV107" s="8"/>
      <c r="AW107" s="3"/>
      <c r="AX107" s="3"/>
      <c r="AY107" s="128"/>
      <c r="AZ107" s="5"/>
      <c r="BA107" s="59"/>
      <c r="BB107" s="59"/>
      <c r="GO107" s="54"/>
      <c r="GP107" s="54"/>
    </row>
    <row r="108" spans="1:198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2"/>
        <v/>
      </c>
      <c r="H108" s="100" t="str">
        <f t="shared" si="3"/>
        <v/>
      </c>
      <c r="I108" s="101">
        <f t="shared" si="0"/>
        <v>0</v>
      </c>
      <c r="J108" s="100" t="str">
        <f t="shared" si="12"/>
        <v/>
      </c>
      <c r="K108" s="6" t="str">
        <f t="shared" si="4"/>
        <v/>
      </c>
      <c r="L108" s="6" t="str">
        <f t="shared" si="4"/>
        <v/>
      </c>
      <c r="M108" s="6">
        <f t="shared" si="13"/>
        <v>0</v>
      </c>
      <c r="N108" s="7">
        <f t="shared" si="14"/>
        <v>0</v>
      </c>
      <c r="O108" s="4"/>
      <c r="P108" s="3"/>
      <c r="Q108" s="3"/>
      <c r="R108" s="3"/>
      <c r="S108" s="3"/>
      <c r="T108" s="3"/>
      <c r="U108" s="5"/>
      <c r="V108" s="125"/>
      <c r="W108" s="4"/>
      <c r="X108" s="3"/>
      <c r="Y108" s="3"/>
      <c r="Z108" s="8"/>
      <c r="AA108" s="8"/>
      <c r="AB108" s="3"/>
      <c r="AC108" s="3"/>
      <c r="AD108" s="3"/>
      <c r="AE108" s="3"/>
      <c r="AF108" s="3"/>
      <c r="AG108" s="8"/>
      <c r="AH108" s="8"/>
      <c r="AI108" s="3"/>
      <c r="AJ108" s="3"/>
      <c r="AK108" s="3"/>
      <c r="AL108" s="3"/>
      <c r="AM108" s="3"/>
      <c r="AN108" s="8"/>
      <c r="AO108" s="8"/>
      <c r="AP108" s="3"/>
      <c r="AQ108" s="3"/>
      <c r="AR108" s="3"/>
      <c r="AS108" s="3"/>
      <c r="AT108" s="3"/>
      <c r="AU108" s="8"/>
      <c r="AV108" s="8"/>
      <c r="AW108" s="3"/>
      <c r="AX108" s="3"/>
      <c r="AY108" s="128"/>
      <c r="AZ108" s="5"/>
      <c r="BA108" s="59"/>
      <c r="BB108" s="59"/>
      <c r="GO108" s="54"/>
      <c r="GP108" s="54"/>
    </row>
    <row r="109" spans="1:198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2"/>
        <v/>
      </c>
      <c r="H109" s="100" t="str">
        <f t="shared" si="3"/>
        <v/>
      </c>
      <c r="I109" s="101">
        <f t="shared" si="0"/>
        <v>0</v>
      </c>
      <c r="J109" s="100" t="str">
        <f t="shared" si="12"/>
        <v/>
      </c>
      <c r="K109" s="6" t="str">
        <f t="shared" si="4"/>
        <v/>
      </c>
      <c r="L109" s="6" t="str">
        <f t="shared" si="4"/>
        <v/>
      </c>
      <c r="M109" s="6">
        <f t="shared" si="13"/>
        <v>0</v>
      </c>
      <c r="N109" s="7">
        <f t="shared" si="14"/>
        <v>0</v>
      </c>
      <c r="O109" s="4"/>
      <c r="P109" s="3"/>
      <c r="Q109" s="3"/>
      <c r="R109" s="3"/>
      <c r="S109" s="3"/>
      <c r="T109" s="3"/>
      <c r="U109" s="5"/>
      <c r="V109" s="125"/>
      <c r="W109" s="4"/>
      <c r="X109" s="3"/>
      <c r="Y109" s="3"/>
      <c r="Z109" s="8"/>
      <c r="AA109" s="8"/>
      <c r="AB109" s="3"/>
      <c r="AC109" s="3"/>
      <c r="AD109" s="3"/>
      <c r="AE109" s="3"/>
      <c r="AF109" s="3"/>
      <c r="AG109" s="8"/>
      <c r="AH109" s="8"/>
      <c r="AI109" s="3"/>
      <c r="AJ109" s="3"/>
      <c r="AK109" s="3"/>
      <c r="AL109" s="3"/>
      <c r="AM109" s="3"/>
      <c r="AN109" s="8"/>
      <c r="AO109" s="8"/>
      <c r="AP109" s="3"/>
      <c r="AQ109" s="3"/>
      <c r="AR109" s="3"/>
      <c r="AS109" s="3"/>
      <c r="AT109" s="3"/>
      <c r="AU109" s="8"/>
      <c r="AV109" s="8"/>
      <c r="AW109" s="3"/>
      <c r="AX109" s="3"/>
      <c r="AY109" s="128"/>
      <c r="AZ109" s="5"/>
      <c r="BA109" s="59"/>
      <c r="BB109" s="59"/>
      <c r="GO109" s="54"/>
      <c r="GP109" s="54"/>
    </row>
    <row r="110" spans="1:198" ht="15" hidden="1" customHeight="1" x14ac:dyDescent="0.25">
      <c r="A110" s="102">
        <v>99</v>
      </c>
      <c r="B110" s="103"/>
      <c r="C110" s="104"/>
      <c r="D110" s="2"/>
      <c r="E110" s="105"/>
      <c r="F110" s="105"/>
      <c r="G110" s="100" t="str">
        <f t="shared" si="2"/>
        <v/>
      </c>
      <c r="H110" s="100" t="str">
        <f t="shared" si="3"/>
        <v/>
      </c>
      <c r="I110" s="101">
        <f t="shared" si="0"/>
        <v>0</v>
      </c>
      <c r="J110" s="100" t="str">
        <f t="shared" si="12"/>
        <v/>
      </c>
      <c r="K110" s="6" t="str">
        <f t="shared" si="4"/>
        <v/>
      </c>
      <c r="L110" s="6" t="str">
        <f t="shared" si="4"/>
        <v/>
      </c>
      <c r="M110" s="6">
        <f t="shared" si="13"/>
        <v>0</v>
      </c>
      <c r="N110" s="7">
        <f t="shared" si="14"/>
        <v>0</v>
      </c>
      <c r="O110" s="4"/>
      <c r="P110" s="3"/>
      <c r="Q110" s="3"/>
      <c r="R110" s="3"/>
      <c r="S110" s="3"/>
      <c r="T110" s="3"/>
      <c r="U110" s="5"/>
      <c r="V110" s="125"/>
      <c r="W110" s="4"/>
      <c r="X110" s="3"/>
      <c r="Y110" s="3"/>
      <c r="Z110" s="8"/>
      <c r="AA110" s="8"/>
      <c r="AB110" s="3"/>
      <c r="AC110" s="3"/>
      <c r="AD110" s="3"/>
      <c r="AE110" s="3"/>
      <c r="AF110" s="3"/>
      <c r="AG110" s="8"/>
      <c r="AH110" s="8"/>
      <c r="AI110" s="3"/>
      <c r="AJ110" s="3"/>
      <c r="AK110" s="3"/>
      <c r="AL110" s="3"/>
      <c r="AM110" s="3"/>
      <c r="AN110" s="8"/>
      <c r="AO110" s="8"/>
      <c r="AP110" s="3"/>
      <c r="AQ110" s="3"/>
      <c r="AR110" s="3"/>
      <c r="AS110" s="3"/>
      <c r="AT110" s="3"/>
      <c r="AU110" s="8"/>
      <c r="AV110" s="8"/>
      <c r="AW110" s="3"/>
      <c r="AX110" s="3"/>
      <c r="AY110" s="128"/>
      <c r="AZ110" s="5"/>
      <c r="BA110" s="59"/>
      <c r="BB110" s="59"/>
      <c r="GO110" s="54"/>
      <c r="GP110" s="54"/>
    </row>
    <row r="111" spans="1:198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2"/>
        <v/>
      </c>
      <c r="H111" s="100" t="str">
        <f t="shared" si="3"/>
        <v/>
      </c>
      <c r="I111" s="101">
        <f t="shared" si="0"/>
        <v>0</v>
      </c>
      <c r="J111" s="100" t="str">
        <f>IF(I111&gt;0,12,"")</f>
        <v/>
      </c>
      <c r="K111" s="6" t="str">
        <f t="shared" si="4"/>
        <v/>
      </c>
      <c r="L111" s="6" t="str">
        <f t="shared" si="4"/>
        <v/>
      </c>
      <c r="M111" s="6">
        <f t="shared" si="13"/>
        <v>0</v>
      </c>
      <c r="N111" s="7">
        <f t="shared" si="14"/>
        <v>0</v>
      </c>
      <c r="O111" s="4"/>
      <c r="P111" s="3"/>
      <c r="Q111" s="3"/>
      <c r="R111" s="3"/>
      <c r="S111" s="3"/>
      <c r="T111" s="3"/>
      <c r="U111" s="5"/>
      <c r="V111" s="125"/>
      <c r="W111" s="4"/>
      <c r="X111" s="3"/>
      <c r="Y111" s="3"/>
      <c r="Z111" s="8"/>
      <c r="AA111" s="8"/>
      <c r="AB111" s="3"/>
      <c r="AC111" s="3"/>
      <c r="AD111" s="3"/>
      <c r="AE111" s="3"/>
      <c r="AF111" s="3"/>
      <c r="AG111" s="8"/>
      <c r="AH111" s="8"/>
      <c r="AI111" s="3"/>
      <c r="AJ111" s="3"/>
      <c r="AK111" s="3"/>
      <c r="AL111" s="3"/>
      <c r="AM111" s="3"/>
      <c r="AN111" s="8"/>
      <c r="AO111" s="8"/>
      <c r="AP111" s="3"/>
      <c r="AQ111" s="3"/>
      <c r="AR111" s="3"/>
      <c r="AS111" s="3"/>
      <c r="AT111" s="3"/>
      <c r="AU111" s="8"/>
      <c r="AV111" s="8"/>
      <c r="AW111" s="3"/>
      <c r="AX111" s="3"/>
      <c r="AY111" s="128"/>
      <c r="AZ111" s="5"/>
      <c r="BA111" s="59"/>
      <c r="BB111" s="59"/>
      <c r="GO111" s="54"/>
      <c r="GP111" s="54"/>
    </row>
    <row r="112" spans="1:198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58"/>
      <c r="BB112" s="58"/>
      <c r="GO112" s="54"/>
      <c r="GP112" s="54"/>
    </row>
    <row r="113" spans="1:56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5"/>
      <c r="BB113" s="58"/>
    </row>
    <row r="114" spans="1:56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4"/>
      <c r="BC114" s="59"/>
      <c r="BD114" s="59"/>
    </row>
    <row r="115" spans="1:56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4"/>
      <c r="BC115" s="59"/>
      <c r="BD115" s="59"/>
    </row>
    <row r="116" spans="1:56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4"/>
      <c r="BC116" s="59"/>
      <c r="BD116" s="59"/>
    </row>
    <row r="117" spans="1:56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4"/>
    </row>
    <row r="118" spans="1:56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4"/>
    </row>
    <row r="119" spans="1:56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8"/>
    </row>
    <row r="120" spans="1:56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8"/>
    </row>
    <row r="121" spans="1:56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8"/>
    </row>
    <row r="122" spans="1:56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8"/>
    </row>
    <row r="123" spans="1:56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3"/>
      <c r="BD123" s="59"/>
    </row>
    <row r="124" spans="1:56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D124" s="59"/>
    </row>
    <row r="125" spans="1:56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</row>
    <row r="126" spans="1:56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</row>
    <row r="127" spans="1:56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</row>
    <row r="128" spans="1:56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</row>
    <row r="129" spans="23:56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</row>
    <row r="130" spans="23:56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</row>
    <row r="131" spans="23:56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D131" s="59"/>
    </row>
    <row r="132" spans="23:56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D132" s="59"/>
    </row>
    <row r="133" spans="23:56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D133" s="59"/>
    </row>
    <row r="134" spans="23:56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D134" s="59"/>
    </row>
    <row r="135" spans="23:56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D135" s="59"/>
    </row>
    <row r="136" spans="23:56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D136" s="59"/>
    </row>
    <row r="137" spans="23:56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D137" s="59"/>
    </row>
    <row r="138" spans="23:56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D138" s="59"/>
    </row>
    <row r="139" spans="23:56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D139" s="59"/>
    </row>
    <row r="140" spans="23:56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D140" s="59"/>
    </row>
    <row r="141" spans="23:56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D141" s="59"/>
    </row>
    <row r="142" spans="23:56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D142" s="59"/>
    </row>
    <row r="143" spans="23:56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D143" s="59"/>
    </row>
    <row r="144" spans="23:56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D144" s="59"/>
    </row>
    <row r="145" spans="23:56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D145" s="59"/>
    </row>
    <row r="146" spans="23:56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D146" s="59"/>
    </row>
    <row r="147" spans="23:56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D147" s="59"/>
    </row>
    <row r="148" spans="23:56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D148" s="59"/>
    </row>
    <row r="149" spans="23:56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D149" s="59"/>
    </row>
    <row r="150" spans="23:56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D150" s="59"/>
    </row>
    <row r="151" spans="23:56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D151" s="59"/>
    </row>
    <row r="152" spans="23:56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D152" s="59"/>
    </row>
    <row r="153" spans="23:56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D153" s="59"/>
    </row>
    <row r="154" spans="23:56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D154" s="59"/>
    </row>
    <row r="155" spans="23:56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D155" s="59"/>
    </row>
    <row r="156" spans="23:56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D156" s="59"/>
    </row>
    <row r="157" spans="23:56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D157" s="59"/>
    </row>
    <row r="158" spans="23:56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D158" s="59"/>
    </row>
    <row r="159" spans="23:56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D159" s="59"/>
    </row>
    <row r="160" spans="23:56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D160" s="59"/>
    </row>
    <row r="161" spans="23:56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D161" s="59"/>
    </row>
    <row r="162" spans="23:56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D162" s="59"/>
    </row>
    <row r="163" spans="23:56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D163" s="59"/>
    </row>
    <row r="164" spans="23:56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D164" s="59"/>
    </row>
    <row r="165" spans="23:56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D165" s="59"/>
    </row>
    <row r="166" spans="23:56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D166" s="59"/>
    </row>
    <row r="167" spans="23:56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D167" s="59"/>
    </row>
    <row r="168" spans="23:56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D168" s="59"/>
    </row>
    <row r="169" spans="23:56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D169" s="59"/>
    </row>
    <row r="170" spans="23:56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D170" s="59"/>
    </row>
    <row r="171" spans="23:56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D171" s="59"/>
    </row>
    <row r="172" spans="23:56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D172" s="59"/>
    </row>
    <row r="173" spans="23:56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D173" s="59"/>
    </row>
    <row r="174" spans="23:56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D174" s="59"/>
    </row>
    <row r="175" spans="23:56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D175" s="59"/>
    </row>
    <row r="176" spans="23:56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D176" s="59"/>
    </row>
    <row r="177" spans="23:56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D177" s="59"/>
    </row>
    <row r="178" spans="23:56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D178" s="59"/>
    </row>
    <row r="179" spans="23:56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D179" s="59"/>
    </row>
    <row r="180" spans="23:56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D180" s="59"/>
    </row>
    <row r="181" spans="23:56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D181" s="59"/>
    </row>
    <row r="182" spans="23:56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D182" s="59"/>
    </row>
    <row r="183" spans="23:56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D183" s="59"/>
    </row>
    <row r="184" spans="23:56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D184" s="59"/>
    </row>
    <row r="185" spans="23:56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D185" s="59"/>
    </row>
    <row r="186" spans="23:56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D186" s="59"/>
    </row>
    <row r="187" spans="23:56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D187" s="59"/>
    </row>
    <row r="188" spans="23:56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D188" s="59"/>
    </row>
    <row r="189" spans="23:56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D189" s="59"/>
    </row>
    <row r="190" spans="23:56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D190" s="59"/>
    </row>
    <row r="191" spans="23:56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D191" s="59"/>
    </row>
    <row r="192" spans="23:56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D192" s="59"/>
    </row>
    <row r="193" spans="23:56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D193" s="59"/>
    </row>
    <row r="194" spans="23:56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D194" s="59"/>
    </row>
    <row r="195" spans="23:56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D195" s="59"/>
    </row>
    <row r="196" spans="23:56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D196" s="59"/>
    </row>
    <row r="197" spans="23:56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D197" s="59"/>
    </row>
    <row r="198" spans="23:56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D198" s="59"/>
    </row>
    <row r="199" spans="23:56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D199" s="59"/>
    </row>
    <row r="200" spans="23:56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D200" s="59"/>
    </row>
    <row r="201" spans="23:56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D201" s="59"/>
    </row>
    <row r="202" spans="23:56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D202" s="59"/>
    </row>
    <row r="203" spans="23:56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D203" s="59"/>
    </row>
    <row r="204" spans="23:56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D204" s="59"/>
    </row>
    <row r="205" spans="23:56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D205" s="59"/>
    </row>
    <row r="206" spans="23:56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D206" s="59"/>
    </row>
    <row r="207" spans="23:56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D207" s="59"/>
    </row>
    <row r="208" spans="23:56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D208" s="59"/>
    </row>
    <row r="209" spans="23:56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D209" s="59"/>
    </row>
    <row r="210" spans="23:56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D210" s="59"/>
    </row>
    <row r="211" spans="23:56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D211" s="59"/>
    </row>
    <row r="212" spans="23:56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D212" s="59"/>
    </row>
    <row r="213" spans="23:56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D213" s="59"/>
    </row>
    <row r="214" spans="23:56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D214" s="59"/>
    </row>
    <row r="215" spans="23:56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D215" s="59"/>
    </row>
    <row r="216" spans="23:56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D216" s="59"/>
    </row>
    <row r="217" spans="23:56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D217" s="59"/>
    </row>
    <row r="218" spans="23:56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D218" s="59"/>
    </row>
    <row r="219" spans="23:56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D219" s="59"/>
    </row>
    <row r="220" spans="23:56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D220" s="59"/>
    </row>
    <row r="221" spans="23:56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D221" s="59"/>
    </row>
    <row r="222" spans="23:56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D222" s="59"/>
    </row>
    <row r="223" spans="23:56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D223" s="59"/>
    </row>
    <row r="224" spans="23:56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D224" s="59"/>
    </row>
    <row r="225" spans="23:56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D225" s="59"/>
    </row>
    <row r="226" spans="23:56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D226" s="59"/>
    </row>
    <row r="227" spans="23:56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D227" s="59"/>
    </row>
    <row r="228" spans="23:56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D228" s="59"/>
    </row>
    <row r="229" spans="23:56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D229" s="59"/>
    </row>
    <row r="230" spans="23:56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D230" s="59"/>
    </row>
    <row r="231" spans="23:56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D231" s="59"/>
    </row>
    <row r="232" spans="23:56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D232" s="59"/>
    </row>
    <row r="233" spans="23:56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D233" s="59"/>
    </row>
    <row r="234" spans="23:56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D234" s="59"/>
    </row>
    <row r="235" spans="23:56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D235" s="59"/>
    </row>
    <row r="236" spans="23:56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D236" s="59"/>
    </row>
    <row r="237" spans="23:56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D237" s="59"/>
    </row>
    <row r="238" spans="23:56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D238" s="59"/>
    </row>
    <row r="239" spans="23:56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D239" s="59"/>
    </row>
    <row r="240" spans="23:56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D240" s="59"/>
    </row>
    <row r="241" spans="23:56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D241" s="59"/>
    </row>
    <row r="242" spans="23:56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D242" s="59"/>
    </row>
    <row r="243" spans="23:56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D243" s="59"/>
    </row>
    <row r="244" spans="23:56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D244" s="59"/>
    </row>
    <row r="245" spans="23:56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D245" s="59"/>
    </row>
    <row r="246" spans="23:56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D246" s="59"/>
    </row>
    <row r="247" spans="23:56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D247" s="59"/>
    </row>
    <row r="248" spans="23:56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D248" s="59"/>
    </row>
    <row r="249" spans="23:56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D249" s="59"/>
    </row>
    <row r="250" spans="23:56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D250" s="59"/>
    </row>
    <row r="251" spans="23:56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D251" s="59"/>
    </row>
    <row r="252" spans="23:56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D252" s="59"/>
    </row>
    <row r="253" spans="23:56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D253" s="59"/>
    </row>
    <row r="254" spans="23:56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D254" s="59"/>
    </row>
    <row r="255" spans="23:56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D255" s="59"/>
    </row>
    <row r="256" spans="23:56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D256" s="59"/>
    </row>
    <row r="257" spans="23:56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D257" s="59"/>
    </row>
    <row r="258" spans="23:56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D258" s="59"/>
    </row>
    <row r="259" spans="23:56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D259" s="59"/>
    </row>
    <row r="260" spans="23:56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D260" s="59"/>
    </row>
    <row r="261" spans="23:56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D261" s="59"/>
    </row>
    <row r="262" spans="23:56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D262" s="59"/>
    </row>
    <row r="263" spans="23:56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D263" s="59"/>
    </row>
    <row r="264" spans="23:56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D264" s="59"/>
    </row>
    <row r="265" spans="23:56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D265" s="59"/>
    </row>
    <row r="266" spans="23:56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D266" s="59"/>
    </row>
    <row r="267" spans="23:56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D267" s="59"/>
    </row>
    <row r="268" spans="23:56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D268" s="59"/>
    </row>
    <row r="269" spans="23:56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D269" s="59"/>
    </row>
    <row r="270" spans="23:56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D270" s="59"/>
    </row>
    <row r="271" spans="23:56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D271" s="59"/>
    </row>
    <row r="272" spans="23:56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D272" s="59"/>
    </row>
    <row r="273" spans="23:56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D273" s="59"/>
    </row>
    <row r="274" spans="23:56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D274" s="59"/>
    </row>
    <row r="275" spans="23:56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D275" s="59"/>
    </row>
    <row r="276" spans="23:56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D276" s="59"/>
    </row>
    <row r="277" spans="23:56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D277" s="59"/>
    </row>
    <row r="278" spans="23:56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D278" s="59"/>
    </row>
    <row r="279" spans="23:56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D279" s="59"/>
    </row>
    <row r="280" spans="23:56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D280" s="59"/>
    </row>
    <row r="281" spans="23:56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D281" s="59"/>
    </row>
    <row r="282" spans="23:56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D282" s="59"/>
    </row>
    <row r="283" spans="23:56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D283" s="59"/>
    </row>
    <row r="284" spans="23:56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D284" s="59"/>
    </row>
    <row r="285" spans="23:56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D285" s="59"/>
    </row>
    <row r="286" spans="23:56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D286" s="59"/>
    </row>
    <row r="287" spans="23:56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D287" s="59"/>
    </row>
    <row r="288" spans="23:56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D288" s="59"/>
    </row>
    <row r="289" spans="23:56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D289" s="59"/>
    </row>
    <row r="290" spans="23:56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D290" s="59"/>
    </row>
    <row r="291" spans="23:56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D291" s="59"/>
    </row>
    <row r="292" spans="23:56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D292" s="59"/>
    </row>
    <row r="293" spans="23:56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D293" s="59"/>
    </row>
    <row r="294" spans="23:56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D294" s="59"/>
    </row>
    <row r="295" spans="23:56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D295" s="59"/>
    </row>
    <row r="296" spans="23:56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D296" s="59"/>
    </row>
    <row r="297" spans="23:56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D297" s="59"/>
    </row>
    <row r="298" spans="23:56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D298" s="59"/>
    </row>
    <row r="299" spans="23:56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D299" s="59"/>
    </row>
    <row r="300" spans="23:56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D300" s="59"/>
    </row>
    <row r="301" spans="23:56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D301" s="59"/>
    </row>
    <row r="302" spans="23:56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D302" s="59"/>
    </row>
    <row r="303" spans="23:56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D303" s="59"/>
    </row>
    <row r="304" spans="23:56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D304" s="59"/>
    </row>
    <row r="305" spans="23:56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D305" s="59"/>
    </row>
    <row r="306" spans="23:56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D306" s="59"/>
    </row>
    <row r="307" spans="23:56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D307" s="59"/>
    </row>
    <row r="308" spans="23:56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D308" s="59"/>
    </row>
    <row r="309" spans="23:56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D309" s="59"/>
    </row>
    <row r="310" spans="23:56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D310" s="59"/>
    </row>
    <row r="311" spans="23:56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D311" s="59"/>
    </row>
    <row r="312" spans="23:56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D312" s="59"/>
    </row>
    <row r="313" spans="23:56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D313" s="59"/>
    </row>
    <row r="314" spans="23:56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D314" s="59"/>
    </row>
    <row r="315" spans="23:56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D315" s="59"/>
    </row>
    <row r="316" spans="23:56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D316" s="59"/>
    </row>
    <row r="317" spans="23:56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D317" s="59"/>
    </row>
    <row r="318" spans="23:56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D318" s="59"/>
    </row>
    <row r="319" spans="23:56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D319" s="59"/>
    </row>
    <row r="320" spans="23:56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D320" s="59"/>
    </row>
    <row r="321" spans="23:56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D321" s="59"/>
    </row>
    <row r="322" spans="23:56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D322" s="59"/>
    </row>
    <row r="323" spans="23:56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D323" s="59"/>
    </row>
    <row r="324" spans="23:56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</row>
    <row r="325" spans="23:56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</row>
    <row r="326" spans="23:56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</row>
    <row r="327" spans="23:56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</row>
    <row r="328" spans="23:56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</row>
    <row r="329" spans="23:56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</row>
    <row r="330" spans="23:56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</row>
    <row r="331" spans="23:56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</row>
    <row r="332" spans="23:56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</row>
    <row r="333" spans="23:56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</row>
    <row r="334" spans="23:56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</row>
    <row r="335" spans="23:56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</row>
    <row r="336" spans="23:56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</row>
    <row r="337" spans="23:52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</row>
    <row r="338" spans="23:52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</row>
    <row r="339" spans="23:52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</row>
    <row r="340" spans="23:52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</row>
    <row r="341" spans="23:52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</row>
    <row r="342" spans="23:52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</row>
    <row r="343" spans="23:52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</row>
    <row r="344" spans="23:52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</row>
    <row r="345" spans="23:52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</row>
    <row r="346" spans="23:52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</row>
    <row r="347" spans="23:52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</row>
    <row r="348" spans="23:52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</row>
    <row r="349" spans="23:52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</row>
    <row r="350" spans="23:52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</row>
    <row r="351" spans="23:52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</row>
    <row r="352" spans="23:52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</row>
    <row r="353" spans="23:52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</row>
    <row r="354" spans="23:52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</row>
    <row r="355" spans="23:52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</row>
    <row r="356" spans="23:52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</row>
    <row r="357" spans="23:52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</row>
    <row r="358" spans="23:52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</row>
    <row r="359" spans="23:52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</row>
    <row r="360" spans="23:52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</row>
    <row r="361" spans="23:52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</row>
    <row r="362" spans="23:52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</row>
    <row r="363" spans="23:52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</row>
    <row r="364" spans="23:52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</row>
    <row r="365" spans="23:52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</row>
    <row r="366" spans="23:52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</row>
    <row r="367" spans="23:52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</row>
    <row r="368" spans="23:52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</row>
    <row r="369" spans="23:52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</row>
    <row r="370" spans="23:52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</row>
    <row r="371" spans="23:52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</row>
    <row r="372" spans="23:52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</row>
    <row r="373" spans="23:52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</row>
    <row r="374" spans="23:52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</row>
    <row r="375" spans="23:52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</row>
    <row r="376" spans="23:52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</row>
    <row r="377" spans="23:52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</row>
    <row r="378" spans="23:52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</row>
    <row r="379" spans="23:52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</row>
    <row r="380" spans="23:52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</row>
    <row r="381" spans="23:52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</row>
    <row r="382" spans="23:52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</row>
    <row r="383" spans="23:52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</row>
    <row r="384" spans="23:52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</row>
    <row r="385" spans="23:52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</row>
    <row r="386" spans="23:52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</row>
    <row r="387" spans="23:52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</row>
    <row r="388" spans="23:52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</row>
    <row r="389" spans="23:52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</row>
    <row r="390" spans="23:52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</row>
    <row r="391" spans="23:52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</row>
    <row r="392" spans="23:52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</row>
    <row r="393" spans="23:52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</row>
    <row r="394" spans="23:52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</row>
    <row r="395" spans="23:52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</row>
    <row r="396" spans="23:52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</row>
    <row r="397" spans="23:52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</row>
    <row r="398" spans="23:52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</row>
    <row r="399" spans="23:52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</row>
    <row r="400" spans="23:52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</row>
    <row r="401" spans="11:52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</row>
    <row r="402" spans="11:52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</row>
    <row r="403" spans="11:52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</row>
    <row r="404" spans="11:52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</row>
    <row r="405" spans="11:52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</row>
    <row r="406" spans="11:52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</row>
    <row r="407" spans="11:52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</row>
    <row r="408" spans="11:52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</row>
    <row r="409" spans="11:52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</row>
    <row r="410" spans="11:52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</row>
    <row r="411" spans="11:52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</row>
    <row r="412" spans="11:52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</row>
    <row r="413" spans="11:52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</row>
    <row r="414" spans="11:52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</row>
    <row r="415" spans="11:52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</row>
    <row r="416" spans="11:52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</row>
    <row r="417" spans="11:52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</row>
    <row r="418" spans="11:52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</row>
    <row r="419" spans="11:52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</row>
    <row r="420" spans="11:52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</row>
    <row r="421" spans="11:52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</row>
    <row r="422" spans="11:52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</row>
    <row r="423" spans="11:52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</row>
    <row r="424" spans="11:52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</row>
    <row r="425" spans="11:52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</row>
    <row r="426" spans="11:52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</row>
    <row r="427" spans="11:52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</row>
    <row r="428" spans="11:52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</row>
    <row r="429" spans="11:52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</row>
    <row r="430" spans="11:52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</row>
    <row r="431" spans="11:52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</row>
    <row r="432" spans="11:52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</row>
    <row r="433" spans="8:52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</row>
    <row r="434" spans="8:52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</row>
    <row r="435" spans="8:52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</row>
    <row r="436" spans="8:52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</row>
    <row r="437" spans="8:52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</row>
    <row r="438" spans="8:52" x14ac:dyDescent="0.3">
      <c r="H438" s="58"/>
      <c r="I438" s="58"/>
      <c r="J438" s="58"/>
    </row>
  </sheetData>
  <sheetProtection password="C1F5" sheet="1" formatCells="0" selectLockedCells="1" sort="0"/>
  <mergeCells count="11">
    <mergeCell ref="W10:AZ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35" priority="2" operator="lessThan">
      <formula>2</formula>
    </cfRule>
  </conditionalFormatting>
  <conditionalFormatting sqref="I12:I111">
    <cfRule type="cellIs" dxfId="34" priority="1" operator="lessThan">
      <formula>10</formula>
    </cfRule>
  </conditionalFormatting>
  <conditionalFormatting sqref="J12:J111">
    <cfRule type="cellIs" dxfId="33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6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198EB169-A3C4-4FEE-81D0-EF0C14EF7A3B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46143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Jahresübersicht!E13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4"/>
      <c r="X12" s="11"/>
      <c r="Y12" s="11"/>
      <c r="Z12" s="10"/>
      <c r="AA12" s="10"/>
      <c r="AB12" s="10"/>
      <c r="AC12" s="10"/>
      <c r="AD12" s="10"/>
      <c r="AE12" s="11"/>
      <c r="AF12" s="11"/>
      <c r="AG12" s="10"/>
      <c r="AH12" s="10"/>
      <c r="AI12" s="10"/>
      <c r="AJ12" s="10"/>
      <c r="AK12" s="10"/>
      <c r="AL12" s="11"/>
      <c r="AM12" s="11"/>
      <c r="AN12" s="10"/>
      <c r="AO12" s="10"/>
      <c r="AP12" s="10"/>
      <c r="AQ12" s="10"/>
      <c r="AR12" s="10"/>
      <c r="AS12" s="11"/>
      <c r="AT12" s="11"/>
      <c r="AU12" s="10"/>
      <c r="AV12" s="10"/>
      <c r="AW12" s="3"/>
      <c r="AX12" s="10"/>
      <c r="AY12" s="129"/>
      <c r="AZ12" s="8"/>
      <c r="BA12" s="12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4"/>
      <c r="X13" s="8"/>
      <c r="Y13" s="8"/>
      <c r="Z13" s="3"/>
      <c r="AA13" s="3"/>
      <c r="AB13" s="3"/>
      <c r="AC13" s="3"/>
      <c r="AD13" s="3"/>
      <c r="AE13" s="8"/>
      <c r="AF13" s="8"/>
      <c r="AG13" s="3"/>
      <c r="AH13" s="3"/>
      <c r="AI13" s="3"/>
      <c r="AJ13" s="3"/>
      <c r="AK13" s="3"/>
      <c r="AL13" s="8"/>
      <c r="AM13" s="8"/>
      <c r="AN13" s="3"/>
      <c r="AO13" s="3"/>
      <c r="AP13" s="3"/>
      <c r="AQ13" s="3"/>
      <c r="AR13" s="3"/>
      <c r="AS13" s="8"/>
      <c r="AT13" s="8"/>
      <c r="AU13" s="3"/>
      <c r="AV13" s="3"/>
      <c r="AW13" s="3"/>
      <c r="AX13" s="3"/>
      <c r="AY13" s="3"/>
      <c r="AZ13" s="8"/>
      <c r="BA13" s="12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4"/>
      <c r="X14" s="8"/>
      <c r="Y14" s="8"/>
      <c r="Z14" s="3"/>
      <c r="AA14" s="3"/>
      <c r="AB14" s="3"/>
      <c r="AC14" s="3"/>
      <c r="AD14" s="3"/>
      <c r="AE14" s="8"/>
      <c r="AF14" s="8"/>
      <c r="AG14" s="3"/>
      <c r="AH14" s="3"/>
      <c r="AI14" s="3"/>
      <c r="AJ14" s="3"/>
      <c r="AK14" s="3"/>
      <c r="AL14" s="8"/>
      <c r="AM14" s="8"/>
      <c r="AN14" s="3"/>
      <c r="AO14" s="3"/>
      <c r="AP14" s="3"/>
      <c r="AQ14" s="3"/>
      <c r="AR14" s="3"/>
      <c r="AS14" s="8"/>
      <c r="AT14" s="8"/>
      <c r="AU14" s="3"/>
      <c r="AV14" s="3"/>
      <c r="AW14" s="3"/>
      <c r="AX14" s="3"/>
      <c r="AY14" s="3"/>
      <c r="AZ14" s="8"/>
      <c r="BA14" s="12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4"/>
      <c r="X15" s="8"/>
      <c r="Y15" s="8"/>
      <c r="Z15" s="3"/>
      <c r="AA15" s="3"/>
      <c r="AB15" s="3"/>
      <c r="AC15" s="3"/>
      <c r="AD15" s="3"/>
      <c r="AE15" s="8"/>
      <c r="AF15" s="8"/>
      <c r="AG15" s="3"/>
      <c r="AH15" s="3"/>
      <c r="AI15" s="3"/>
      <c r="AJ15" s="3"/>
      <c r="AK15" s="3"/>
      <c r="AL15" s="8"/>
      <c r="AM15" s="8"/>
      <c r="AN15" s="3"/>
      <c r="AO15" s="3"/>
      <c r="AP15" s="3"/>
      <c r="AQ15" s="3"/>
      <c r="AR15" s="3"/>
      <c r="AS15" s="8"/>
      <c r="AT15" s="8"/>
      <c r="AU15" s="3"/>
      <c r="AV15" s="3"/>
      <c r="AW15" s="3"/>
      <c r="AX15" s="3"/>
      <c r="AY15" s="3"/>
      <c r="AZ15" s="8"/>
      <c r="BA15" s="12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4"/>
      <c r="X16" s="8"/>
      <c r="Y16" s="8"/>
      <c r="Z16" s="3"/>
      <c r="AA16" s="3"/>
      <c r="AB16" s="3"/>
      <c r="AC16" s="3"/>
      <c r="AD16" s="3"/>
      <c r="AE16" s="8"/>
      <c r="AF16" s="8"/>
      <c r="AG16" s="3"/>
      <c r="AH16" s="3"/>
      <c r="AI16" s="3"/>
      <c r="AJ16" s="3"/>
      <c r="AK16" s="3"/>
      <c r="AL16" s="8"/>
      <c r="AM16" s="8"/>
      <c r="AN16" s="3"/>
      <c r="AO16" s="3"/>
      <c r="AP16" s="3"/>
      <c r="AQ16" s="3"/>
      <c r="AR16" s="3"/>
      <c r="AS16" s="8"/>
      <c r="AT16" s="8"/>
      <c r="AU16" s="3"/>
      <c r="AV16" s="3"/>
      <c r="AW16" s="3"/>
      <c r="AX16" s="3"/>
      <c r="AY16" s="3"/>
      <c r="AZ16" s="8"/>
      <c r="BA16" s="12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4"/>
      <c r="X17" s="8"/>
      <c r="Y17" s="8"/>
      <c r="Z17" s="3"/>
      <c r="AA17" s="3"/>
      <c r="AB17" s="3"/>
      <c r="AC17" s="3"/>
      <c r="AD17" s="3"/>
      <c r="AE17" s="8"/>
      <c r="AF17" s="8"/>
      <c r="AG17" s="3"/>
      <c r="AH17" s="3"/>
      <c r="AI17" s="3"/>
      <c r="AJ17" s="3"/>
      <c r="AK17" s="3"/>
      <c r="AL17" s="8"/>
      <c r="AM17" s="8"/>
      <c r="AN17" s="3"/>
      <c r="AO17" s="3"/>
      <c r="AP17" s="3"/>
      <c r="AQ17" s="3"/>
      <c r="AR17" s="3"/>
      <c r="AS17" s="8"/>
      <c r="AT17" s="8"/>
      <c r="AU17" s="3"/>
      <c r="AV17" s="3"/>
      <c r="AW17" s="3"/>
      <c r="AX17" s="3"/>
      <c r="AY17" s="3"/>
      <c r="AZ17" s="8"/>
      <c r="BA17" s="12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4"/>
      <c r="X18" s="8"/>
      <c r="Y18" s="8"/>
      <c r="Z18" s="3"/>
      <c r="AA18" s="3"/>
      <c r="AB18" s="3"/>
      <c r="AC18" s="3"/>
      <c r="AD18" s="3"/>
      <c r="AE18" s="8"/>
      <c r="AF18" s="8"/>
      <c r="AG18" s="3"/>
      <c r="AH18" s="3"/>
      <c r="AI18" s="3"/>
      <c r="AJ18" s="3"/>
      <c r="AK18" s="3"/>
      <c r="AL18" s="8"/>
      <c r="AM18" s="8"/>
      <c r="AN18" s="3"/>
      <c r="AO18" s="3"/>
      <c r="AP18" s="3"/>
      <c r="AQ18" s="3"/>
      <c r="AR18" s="3"/>
      <c r="AS18" s="8"/>
      <c r="AT18" s="8"/>
      <c r="AU18" s="3"/>
      <c r="AV18" s="3"/>
      <c r="AW18" s="3"/>
      <c r="AX18" s="3"/>
      <c r="AY18" s="3"/>
      <c r="AZ18" s="8"/>
      <c r="BA18" s="12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0"/>
        <v>0</v>
      </c>
      <c r="J19" s="100" t="str">
        <f t="shared" si="1"/>
        <v/>
      </c>
      <c r="K19" s="6" t="str">
        <f t="shared" si="6"/>
        <v/>
      </c>
      <c r="L19" s="6" t="str">
        <f t="shared" si="6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4"/>
      <c r="X19" s="8"/>
      <c r="Y19" s="8"/>
      <c r="Z19" s="3"/>
      <c r="AA19" s="3"/>
      <c r="AB19" s="3"/>
      <c r="AC19" s="3"/>
      <c r="AD19" s="3"/>
      <c r="AE19" s="8"/>
      <c r="AF19" s="8"/>
      <c r="AG19" s="3"/>
      <c r="AH19" s="3"/>
      <c r="AI19" s="3"/>
      <c r="AJ19" s="3"/>
      <c r="AK19" s="3"/>
      <c r="AL19" s="8"/>
      <c r="AM19" s="8"/>
      <c r="AN19" s="3"/>
      <c r="AO19" s="3"/>
      <c r="AP19" s="3"/>
      <c r="AQ19" s="3"/>
      <c r="AR19" s="3"/>
      <c r="AS19" s="8"/>
      <c r="AT19" s="8"/>
      <c r="AU19" s="3"/>
      <c r="AV19" s="3"/>
      <c r="AW19" s="3"/>
      <c r="AX19" s="3"/>
      <c r="AY19" s="3"/>
      <c r="AZ19" s="8"/>
      <c r="BA19" s="12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97">
        <v>9</v>
      </c>
      <c r="B20" s="103"/>
      <c r="C20" s="104"/>
      <c r="D20" s="1"/>
      <c r="E20" s="105"/>
      <c r="F20" s="105"/>
      <c r="G20" s="100" t="str">
        <f t="shared" ref="G20:G83" si="7">IF(ISBLANK(E20),"",E20*10)</f>
        <v/>
      </c>
      <c r="H20" s="100" t="str">
        <f t="shared" ref="H20:H83" si="8">IF(ISBLANK(F20),"",F20*20)</f>
        <v/>
      </c>
      <c r="I20" s="101">
        <f t="shared" ref="I20:I83" si="9">SUM(G20,H20)</f>
        <v>0</v>
      </c>
      <c r="J20" s="100" t="str">
        <f t="shared" si="1"/>
        <v/>
      </c>
      <c r="K20" s="6" t="str">
        <f t="shared" ref="K20:K83" si="10">IF(M20=E20,"","X")</f>
        <v/>
      </c>
      <c r="L20" s="6" t="str">
        <f t="shared" ref="L20:L83" si="11">IF(N20=F20,"","X")</f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4"/>
      <c r="X20" s="8"/>
      <c r="Y20" s="8"/>
      <c r="Z20" s="3"/>
      <c r="AA20" s="3"/>
      <c r="AB20" s="3"/>
      <c r="AC20" s="3"/>
      <c r="AD20" s="3"/>
      <c r="AE20" s="8"/>
      <c r="AF20" s="8"/>
      <c r="AG20" s="3"/>
      <c r="AH20" s="3"/>
      <c r="AI20" s="3"/>
      <c r="AJ20" s="3"/>
      <c r="AK20" s="3"/>
      <c r="AL20" s="8"/>
      <c r="AM20" s="8"/>
      <c r="AN20" s="3"/>
      <c r="AO20" s="3"/>
      <c r="AP20" s="3"/>
      <c r="AQ20" s="3"/>
      <c r="AR20" s="3"/>
      <c r="AS20" s="8"/>
      <c r="AT20" s="8"/>
      <c r="AU20" s="3"/>
      <c r="AV20" s="3"/>
      <c r="AW20" s="3"/>
      <c r="AX20" s="3"/>
      <c r="AY20" s="3"/>
      <c r="AZ20" s="8"/>
      <c r="BA20" s="12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7"/>
        <v/>
      </c>
      <c r="H21" s="100" t="str">
        <f t="shared" si="8"/>
        <v/>
      </c>
      <c r="I21" s="101">
        <f t="shared" si="9"/>
        <v>0</v>
      </c>
      <c r="J21" s="100" t="str">
        <f t="shared" si="1"/>
        <v/>
      </c>
      <c r="K21" s="6" t="str">
        <f t="shared" si="10"/>
        <v/>
      </c>
      <c r="L21" s="6" t="str">
        <f t="shared" si="11"/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4"/>
      <c r="X21" s="8"/>
      <c r="Y21" s="8"/>
      <c r="Z21" s="3"/>
      <c r="AA21" s="3"/>
      <c r="AB21" s="3"/>
      <c r="AC21" s="3"/>
      <c r="AD21" s="3"/>
      <c r="AE21" s="8"/>
      <c r="AF21" s="8"/>
      <c r="AG21" s="3"/>
      <c r="AH21" s="3"/>
      <c r="AI21" s="3"/>
      <c r="AJ21" s="3"/>
      <c r="AK21" s="3"/>
      <c r="AL21" s="8"/>
      <c r="AM21" s="8"/>
      <c r="AN21" s="3"/>
      <c r="AO21" s="3"/>
      <c r="AP21" s="3"/>
      <c r="AQ21" s="3"/>
      <c r="AR21" s="3"/>
      <c r="AS21" s="8"/>
      <c r="AT21" s="8"/>
      <c r="AU21" s="3"/>
      <c r="AV21" s="3"/>
      <c r="AW21" s="3"/>
      <c r="AX21" s="3"/>
      <c r="AY21" s="3"/>
      <c r="AZ21" s="8"/>
      <c r="BA21" s="12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4"/>
      <c r="X22" s="8"/>
      <c r="Y22" s="8"/>
      <c r="Z22" s="3"/>
      <c r="AA22" s="3"/>
      <c r="AB22" s="3"/>
      <c r="AC22" s="3"/>
      <c r="AD22" s="3"/>
      <c r="AE22" s="8"/>
      <c r="AF22" s="8"/>
      <c r="AG22" s="3"/>
      <c r="AH22" s="3"/>
      <c r="AI22" s="3"/>
      <c r="AJ22" s="3"/>
      <c r="AK22" s="3"/>
      <c r="AL22" s="8"/>
      <c r="AM22" s="8"/>
      <c r="AN22" s="3"/>
      <c r="AO22" s="3"/>
      <c r="AP22" s="3"/>
      <c r="AQ22" s="3"/>
      <c r="AR22" s="3"/>
      <c r="AS22" s="8"/>
      <c r="AT22" s="8"/>
      <c r="AU22" s="3"/>
      <c r="AV22" s="3"/>
      <c r="AW22" s="3"/>
      <c r="AX22" s="3"/>
      <c r="AY22" s="3"/>
      <c r="AZ22" s="8"/>
      <c r="BA22" s="12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4"/>
      <c r="X23" s="8"/>
      <c r="Y23" s="8"/>
      <c r="Z23" s="3"/>
      <c r="AA23" s="3"/>
      <c r="AB23" s="3"/>
      <c r="AC23" s="3"/>
      <c r="AD23" s="3"/>
      <c r="AE23" s="8"/>
      <c r="AF23" s="8"/>
      <c r="AG23" s="3"/>
      <c r="AH23" s="3"/>
      <c r="AI23" s="3"/>
      <c r="AJ23" s="3"/>
      <c r="AK23" s="3"/>
      <c r="AL23" s="8"/>
      <c r="AM23" s="8"/>
      <c r="AN23" s="3"/>
      <c r="AO23" s="3"/>
      <c r="AP23" s="3"/>
      <c r="AQ23" s="3"/>
      <c r="AR23" s="3"/>
      <c r="AS23" s="8"/>
      <c r="AT23" s="8"/>
      <c r="AU23" s="3"/>
      <c r="AV23" s="3"/>
      <c r="AW23" s="3"/>
      <c r="AX23" s="3"/>
      <c r="AY23" s="3"/>
      <c r="AZ23" s="8"/>
      <c r="BA23" s="12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4"/>
      <c r="X24" s="8"/>
      <c r="Y24" s="8"/>
      <c r="Z24" s="3"/>
      <c r="AA24" s="3"/>
      <c r="AB24" s="3"/>
      <c r="AC24" s="3"/>
      <c r="AD24" s="3"/>
      <c r="AE24" s="8"/>
      <c r="AF24" s="8"/>
      <c r="AG24" s="3"/>
      <c r="AH24" s="3"/>
      <c r="AI24" s="3"/>
      <c r="AJ24" s="3"/>
      <c r="AK24" s="3"/>
      <c r="AL24" s="8"/>
      <c r="AM24" s="8"/>
      <c r="AN24" s="3"/>
      <c r="AO24" s="3"/>
      <c r="AP24" s="3"/>
      <c r="AQ24" s="3"/>
      <c r="AR24" s="3"/>
      <c r="AS24" s="8"/>
      <c r="AT24" s="8"/>
      <c r="AU24" s="3"/>
      <c r="AV24" s="3"/>
      <c r="AW24" s="3"/>
      <c r="AX24" s="3"/>
      <c r="AY24" s="3"/>
      <c r="AZ24" s="8"/>
      <c r="BA24" s="12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97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4"/>
      <c r="X25" s="8"/>
      <c r="Y25" s="8"/>
      <c r="Z25" s="3"/>
      <c r="AA25" s="3"/>
      <c r="AB25" s="3"/>
      <c r="AC25" s="3"/>
      <c r="AD25" s="3"/>
      <c r="AE25" s="8"/>
      <c r="AF25" s="8"/>
      <c r="AG25" s="3"/>
      <c r="AH25" s="3"/>
      <c r="AI25" s="3"/>
      <c r="AJ25" s="3"/>
      <c r="AK25" s="3"/>
      <c r="AL25" s="8"/>
      <c r="AM25" s="8"/>
      <c r="AN25" s="3"/>
      <c r="AO25" s="3"/>
      <c r="AP25" s="3"/>
      <c r="AQ25" s="3"/>
      <c r="AR25" s="3"/>
      <c r="AS25" s="8"/>
      <c r="AT25" s="8"/>
      <c r="AU25" s="3"/>
      <c r="AV25" s="3"/>
      <c r="AW25" s="3"/>
      <c r="AX25" s="3"/>
      <c r="AY25" s="3"/>
      <c r="AZ25" s="8"/>
      <c r="BA25" s="12"/>
      <c r="BB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4"/>
      <c r="X26" s="8"/>
      <c r="Y26" s="8"/>
      <c r="Z26" s="3"/>
      <c r="AA26" s="3"/>
      <c r="AB26" s="3"/>
      <c r="AC26" s="3"/>
      <c r="AD26" s="3"/>
      <c r="AE26" s="8"/>
      <c r="AF26" s="8"/>
      <c r="AG26" s="3"/>
      <c r="AH26" s="3"/>
      <c r="AI26" s="3"/>
      <c r="AJ26" s="3"/>
      <c r="AK26" s="3"/>
      <c r="AL26" s="8"/>
      <c r="AM26" s="8"/>
      <c r="AN26" s="3"/>
      <c r="AO26" s="3"/>
      <c r="AP26" s="3"/>
      <c r="AQ26" s="3"/>
      <c r="AR26" s="3"/>
      <c r="AS26" s="8"/>
      <c r="AT26" s="8"/>
      <c r="AU26" s="3"/>
      <c r="AV26" s="3"/>
      <c r="AW26" s="3"/>
      <c r="AX26" s="3"/>
      <c r="AY26" s="3"/>
      <c r="AZ26" s="8"/>
      <c r="BA26" s="12"/>
      <c r="BB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4"/>
      <c r="X27" s="8"/>
      <c r="Y27" s="8"/>
      <c r="Z27" s="3"/>
      <c r="AA27" s="3"/>
      <c r="AB27" s="3"/>
      <c r="AC27" s="3"/>
      <c r="AD27" s="3"/>
      <c r="AE27" s="8"/>
      <c r="AF27" s="8"/>
      <c r="AG27" s="3"/>
      <c r="AH27" s="3"/>
      <c r="AI27" s="3"/>
      <c r="AJ27" s="3"/>
      <c r="AK27" s="3"/>
      <c r="AL27" s="8"/>
      <c r="AM27" s="8"/>
      <c r="AN27" s="3"/>
      <c r="AO27" s="3"/>
      <c r="AP27" s="3"/>
      <c r="AQ27" s="3"/>
      <c r="AR27" s="3"/>
      <c r="AS27" s="8"/>
      <c r="AT27" s="8"/>
      <c r="AU27" s="3"/>
      <c r="AV27" s="3"/>
      <c r="AW27" s="3"/>
      <c r="AX27" s="3"/>
      <c r="AY27" s="3"/>
      <c r="AZ27" s="8"/>
      <c r="BA27" s="12"/>
      <c r="BB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97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4"/>
      <c r="X28" s="8"/>
      <c r="Y28" s="8"/>
      <c r="Z28" s="3"/>
      <c r="AA28" s="3"/>
      <c r="AB28" s="3"/>
      <c r="AC28" s="3"/>
      <c r="AD28" s="3"/>
      <c r="AE28" s="8"/>
      <c r="AF28" s="8"/>
      <c r="AG28" s="3"/>
      <c r="AH28" s="3"/>
      <c r="AI28" s="3"/>
      <c r="AJ28" s="3"/>
      <c r="AK28" s="3"/>
      <c r="AL28" s="8"/>
      <c r="AM28" s="8"/>
      <c r="AN28" s="3"/>
      <c r="AO28" s="3"/>
      <c r="AP28" s="3"/>
      <c r="AQ28" s="3"/>
      <c r="AR28" s="3"/>
      <c r="AS28" s="8"/>
      <c r="AT28" s="8"/>
      <c r="AU28" s="3"/>
      <c r="AV28" s="3"/>
      <c r="AW28" s="3"/>
      <c r="AX28" s="3"/>
      <c r="AY28" s="3"/>
      <c r="AZ28" s="8"/>
      <c r="BA28" s="12"/>
      <c r="BB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4"/>
      <c r="X29" s="8"/>
      <c r="Y29" s="8"/>
      <c r="Z29" s="3"/>
      <c r="AA29" s="3"/>
      <c r="AB29" s="3"/>
      <c r="AC29" s="3"/>
      <c r="AD29" s="3"/>
      <c r="AE29" s="8"/>
      <c r="AF29" s="8"/>
      <c r="AG29" s="3"/>
      <c r="AH29" s="3"/>
      <c r="AI29" s="3"/>
      <c r="AJ29" s="3"/>
      <c r="AK29" s="3"/>
      <c r="AL29" s="8"/>
      <c r="AM29" s="8"/>
      <c r="AN29" s="3"/>
      <c r="AO29" s="3"/>
      <c r="AP29" s="3"/>
      <c r="AQ29" s="3"/>
      <c r="AR29" s="3"/>
      <c r="AS29" s="8"/>
      <c r="AT29" s="8"/>
      <c r="AU29" s="3"/>
      <c r="AV29" s="3"/>
      <c r="AW29" s="3"/>
      <c r="AX29" s="3"/>
      <c r="AY29" s="3"/>
      <c r="AZ29" s="8"/>
      <c r="BA29" s="12"/>
      <c r="BB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4"/>
      <c r="X30" s="8"/>
      <c r="Y30" s="8"/>
      <c r="Z30" s="3"/>
      <c r="AA30" s="3"/>
      <c r="AB30" s="3"/>
      <c r="AC30" s="3"/>
      <c r="AD30" s="3"/>
      <c r="AE30" s="8"/>
      <c r="AF30" s="8"/>
      <c r="AG30" s="3"/>
      <c r="AH30" s="3"/>
      <c r="AI30" s="3"/>
      <c r="AJ30" s="3"/>
      <c r="AK30" s="3"/>
      <c r="AL30" s="8"/>
      <c r="AM30" s="8"/>
      <c r="AN30" s="3"/>
      <c r="AO30" s="3"/>
      <c r="AP30" s="3"/>
      <c r="AQ30" s="3"/>
      <c r="AR30" s="3"/>
      <c r="AS30" s="8"/>
      <c r="AT30" s="8"/>
      <c r="AU30" s="3"/>
      <c r="AV30" s="3"/>
      <c r="AW30" s="3"/>
      <c r="AX30" s="3"/>
      <c r="AY30" s="3"/>
      <c r="AZ30" s="8"/>
      <c r="BA30" s="12"/>
      <c r="BB30" s="58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4"/>
      <c r="X31" s="8"/>
      <c r="Y31" s="8"/>
      <c r="Z31" s="3"/>
      <c r="AA31" s="3"/>
      <c r="AB31" s="3"/>
      <c r="AC31" s="3"/>
      <c r="AD31" s="3"/>
      <c r="AE31" s="8"/>
      <c r="AF31" s="8"/>
      <c r="AG31" s="3"/>
      <c r="AH31" s="3"/>
      <c r="AI31" s="3"/>
      <c r="AJ31" s="3"/>
      <c r="AK31" s="3"/>
      <c r="AL31" s="8"/>
      <c r="AM31" s="8"/>
      <c r="AN31" s="3"/>
      <c r="AO31" s="3"/>
      <c r="AP31" s="3"/>
      <c r="AQ31" s="3"/>
      <c r="AR31" s="3"/>
      <c r="AS31" s="8"/>
      <c r="AT31" s="8"/>
      <c r="AU31" s="3"/>
      <c r="AV31" s="3"/>
      <c r="AW31" s="3"/>
      <c r="AX31" s="3"/>
      <c r="AY31" s="3"/>
      <c r="AZ31" s="8"/>
      <c r="BA31" s="12"/>
      <c r="BB31" s="58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4"/>
      <c r="X32" s="8"/>
      <c r="Y32" s="8"/>
      <c r="Z32" s="3"/>
      <c r="AA32" s="3"/>
      <c r="AB32" s="3"/>
      <c r="AC32" s="3"/>
      <c r="AD32" s="3"/>
      <c r="AE32" s="8"/>
      <c r="AF32" s="8"/>
      <c r="AG32" s="3"/>
      <c r="AH32" s="3"/>
      <c r="AI32" s="3"/>
      <c r="AJ32" s="3"/>
      <c r="AK32" s="3"/>
      <c r="AL32" s="8"/>
      <c r="AM32" s="8"/>
      <c r="AN32" s="3"/>
      <c r="AO32" s="3"/>
      <c r="AP32" s="3"/>
      <c r="AQ32" s="3"/>
      <c r="AR32" s="3"/>
      <c r="AS32" s="8"/>
      <c r="AT32" s="8"/>
      <c r="AU32" s="3"/>
      <c r="AV32" s="3"/>
      <c r="AW32" s="3"/>
      <c r="AX32" s="3"/>
      <c r="AY32" s="3"/>
      <c r="AZ32" s="8"/>
      <c r="BA32" s="12"/>
      <c r="BB32" s="58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97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4"/>
      <c r="X33" s="8"/>
      <c r="Y33" s="8"/>
      <c r="Z33" s="3"/>
      <c r="AA33" s="3"/>
      <c r="AB33" s="3"/>
      <c r="AC33" s="3"/>
      <c r="AD33" s="3"/>
      <c r="AE33" s="8"/>
      <c r="AF33" s="8"/>
      <c r="AG33" s="3"/>
      <c r="AH33" s="3"/>
      <c r="AI33" s="3"/>
      <c r="AJ33" s="3"/>
      <c r="AK33" s="3"/>
      <c r="AL33" s="8"/>
      <c r="AM33" s="8"/>
      <c r="AN33" s="3"/>
      <c r="AO33" s="3"/>
      <c r="AP33" s="3"/>
      <c r="AQ33" s="3"/>
      <c r="AR33" s="3"/>
      <c r="AS33" s="8"/>
      <c r="AT33" s="8"/>
      <c r="AU33" s="3"/>
      <c r="AV33" s="3"/>
      <c r="AW33" s="3"/>
      <c r="AX33" s="3"/>
      <c r="AY33" s="3"/>
      <c r="AZ33" s="8"/>
      <c r="BA33" s="12"/>
      <c r="BB33" s="58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4"/>
      <c r="X34" s="8"/>
      <c r="Y34" s="8"/>
      <c r="Z34" s="3"/>
      <c r="AA34" s="3"/>
      <c r="AB34" s="3"/>
      <c r="AC34" s="3"/>
      <c r="AD34" s="3"/>
      <c r="AE34" s="8"/>
      <c r="AF34" s="8"/>
      <c r="AG34" s="3"/>
      <c r="AH34" s="3"/>
      <c r="AI34" s="3"/>
      <c r="AJ34" s="3"/>
      <c r="AK34" s="3"/>
      <c r="AL34" s="8"/>
      <c r="AM34" s="8"/>
      <c r="AN34" s="3"/>
      <c r="AO34" s="3"/>
      <c r="AP34" s="3"/>
      <c r="AQ34" s="3"/>
      <c r="AR34" s="3"/>
      <c r="AS34" s="8"/>
      <c r="AT34" s="8"/>
      <c r="AU34" s="3"/>
      <c r="AV34" s="3"/>
      <c r="AW34" s="3"/>
      <c r="AX34" s="3"/>
      <c r="AY34" s="3"/>
      <c r="AZ34" s="8"/>
      <c r="BA34" s="12"/>
      <c r="BB34" s="58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4"/>
      <c r="X35" s="8"/>
      <c r="Y35" s="8"/>
      <c r="Z35" s="3"/>
      <c r="AA35" s="3"/>
      <c r="AB35" s="3"/>
      <c r="AC35" s="3"/>
      <c r="AD35" s="3"/>
      <c r="AE35" s="8"/>
      <c r="AF35" s="8"/>
      <c r="AG35" s="3"/>
      <c r="AH35" s="3"/>
      <c r="AI35" s="3"/>
      <c r="AJ35" s="3"/>
      <c r="AK35" s="3"/>
      <c r="AL35" s="8"/>
      <c r="AM35" s="8"/>
      <c r="AN35" s="3"/>
      <c r="AO35" s="3"/>
      <c r="AP35" s="3"/>
      <c r="AQ35" s="3"/>
      <c r="AR35" s="3"/>
      <c r="AS35" s="8"/>
      <c r="AT35" s="8"/>
      <c r="AU35" s="3"/>
      <c r="AV35" s="3"/>
      <c r="AW35" s="3"/>
      <c r="AX35" s="3"/>
      <c r="AY35" s="3"/>
      <c r="AZ35" s="8"/>
      <c r="BA35" s="12"/>
      <c r="BB35" s="58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97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4"/>
      <c r="X36" s="8"/>
      <c r="Y36" s="8"/>
      <c r="Z36" s="3"/>
      <c r="AA36" s="3"/>
      <c r="AB36" s="3"/>
      <c r="AC36" s="3"/>
      <c r="AD36" s="3"/>
      <c r="AE36" s="8"/>
      <c r="AF36" s="8"/>
      <c r="AG36" s="3"/>
      <c r="AH36" s="3"/>
      <c r="AI36" s="3"/>
      <c r="AJ36" s="3"/>
      <c r="AK36" s="3"/>
      <c r="AL36" s="8"/>
      <c r="AM36" s="8"/>
      <c r="AN36" s="3"/>
      <c r="AO36" s="3"/>
      <c r="AP36" s="3"/>
      <c r="AQ36" s="3"/>
      <c r="AR36" s="3"/>
      <c r="AS36" s="8"/>
      <c r="AT36" s="8"/>
      <c r="AU36" s="3"/>
      <c r="AV36" s="3"/>
      <c r="AW36" s="3"/>
      <c r="AX36" s="3"/>
      <c r="AY36" s="3"/>
      <c r="AZ36" s="8"/>
      <c r="BA36" s="12"/>
      <c r="BB36" s="58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4"/>
      <c r="X37" s="8"/>
      <c r="Y37" s="8"/>
      <c r="Z37" s="3"/>
      <c r="AA37" s="3"/>
      <c r="AB37" s="3"/>
      <c r="AC37" s="3"/>
      <c r="AD37" s="3"/>
      <c r="AE37" s="8"/>
      <c r="AF37" s="8"/>
      <c r="AG37" s="3"/>
      <c r="AH37" s="3"/>
      <c r="AI37" s="3"/>
      <c r="AJ37" s="3"/>
      <c r="AK37" s="3"/>
      <c r="AL37" s="8"/>
      <c r="AM37" s="8"/>
      <c r="AN37" s="3"/>
      <c r="AO37" s="3"/>
      <c r="AP37" s="3"/>
      <c r="AQ37" s="3"/>
      <c r="AR37" s="3"/>
      <c r="AS37" s="8"/>
      <c r="AT37" s="8"/>
      <c r="AU37" s="3"/>
      <c r="AV37" s="3"/>
      <c r="AW37" s="3"/>
      <c r="AX37" s="3"/>
      <c r="AY37" s="3"/>
      <c r="AZ37" s="8"/>
      <c r="BA37" s="12"/>
      <c r="BB37" s="58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4"/>
      <c r="X38" s="8"/>
      <c r="Y38" s="8"/>
      <c r="Z38" s="3"/>
      <c r="AA38" s="3"/>
      <c r="AB38" s="3"/>
      <c r="AC38" s="3"/>
      <c r="AD38" s="3"/>
      <c r="AE38" s="8"/>
      <c r="AF38" s="8"/>
      <c r="AG38" s="3"/>
      <c r="AH38" s="3"/>
      <c r="AI38" s="3"/>
      <c r="AJ38" s="3"/>
      <c r="AK38" s="3"/>
      <c r="AL38" s="8"/>
      <c r="AM38" s="8"/>
      <c r="AN38" s="3"/>
      <c r="AO38" s="3"/>
      <c r="AP38" s="3"/>
      <c r="AQ38" s="3"/>
      <c r="AR38" s="3"/>
      <c r="AS38" s="8"/>
      <c r="AT38" s="8"/>
      <c r="AU38" s="3"/>
      <c r="AV38" s="3"/>
      <c r="AW38" s="3"/>
      <c r="AX38" s="3"/>
      <c r="AY38" s="3"/>
      <c r="AZ38" s="8"/>
      <c r="BA38" s="12"/>
      <c r="BB38" s="58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4"/>
      <c r="X39" s="8"/>
      <c r="Y39" s="8"/>
      <c r="Z39" s="3"/>
      <c r="AA39" s="3"/>
      <c r="AB39" s="3"/>
      <c r="AC39" s="3"/>
      <c r="AD39" s="3"/>
      <c r="AE39" s="8"/>
      <c r="AF39" s="8"/>
      <c r="AG39" s="3"/>
      <c r="AH39" s="3"/>
      <c r="AI39" s="3"/>
      <c r="AJ39" s="3"/>
      <c r="AK39" s="3"/>
      <c r="AL39" s="8"/>
      <c r="AM39" s="8"/>
      <c r="AN39" s="3"/>
      <c r="AO39" s="3"/>
      <c r="AP39" s="3"/>
      <c r="AQ39" s="3"/>
      <c r="AR39" s="3"/>
      <c r="AS39" s="8"/>
      <c r="AT39" s="8"/>
      <c r="AU39" s="3"/>
      <c r="AV39" s="3"/>
      <c r="AW39" s="3"/>
      <c r="AX39" s="3"/>
      <c r="AY39" s="3"/>
      <c r="AZ39" s="8"/>
      <c r="BA39" s="12"/>
      <c r="BB39" s="58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4"/>
      <c r="X40" s="8"/>
      <c r="Y40" s="8"/>
      <c r="Z40" s="3"/>
      <c r="AA40" s="3"/>
      <c r="AB40" s="3"/>
      <c r="AC40" s="3"/>
      <c r="AD40" s="3"/>
      <c r="AE40" s="8"/>
      <c r="AF40" s="8"/>
      <c r="AG40" s="3"/>
      <c r="AH40" s="3"/>
      <c r="AI40" s="3"/>
      <c r="AJ40" s="3"/>
      <c r="AK40" s="3"/>
      <c r="AL40" s="8"/>
      <c r="AM40" s="8"/>
      <c r="AN40" s="3"/>
      <c r="AO40" s="3"/>
      <c r="AP40" s="3"/>
      <c r="AQ40" s="3"/>
      <c r="AR40" s="3"/>
      <c r="AS40" s="8"/>
      <c r="AT40" s="8"/>
      <c r="AU40" s="3"/>
      <c r="AV40" s="3"/>
      <c r="AW40" s="3"/>
      <c r="AX40" s="3"/>
      <c r="AY40" s="3"/>
      <c r="AZ40" s="8"/>
      <c r="BA40" s="12"/>
      <c r="BB40" s="58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97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4"/>
      <c r="X41" s="8"/>
      <c r="Y41" s="8"/>
      <c r="Z41" s="3"/>
      <c r="AA41" s="3"/>
      <c r="AB41" s="3"/>
      <c r="AC41" s="3"/>
      <c r="AD41" s="3"/>
      <c r="AE41" s="8"/>
      <c r="AF41" s="8"/>
      <c r="AG41" s="3"/>
      <c r="AH41" s="3"/>
      <c r="AI41" s="3"/>
      <c r="AJ41" s="3"/>
      <c r="AK41" s="3"/>
      <c r="AL41" s="8"/>
      <c r="AM41" s="8"/>
      <c r="AN41" s="3"/>
      <c r="AO41" s="3"/>
      <c r="AP41" s="3"/>
      <c r="AQ41" s="3"/>
      <c r="AR41" s="3"/>
      <c r="AS41" s="8"/>
      <c r="AT41" s="8"/>
      <c r="AU41" s="3"/>
      <c r="AV41" s="3"/>
      <c r="AW41" s="3"/>
      <c r="AX41" s="3"/>
      <c r="AY41" s="3"/>
      <c r="AZ41" s="8"/>
      <c r="BA41" s="12"/>
      <c r="BB41" s="58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4"/>
      <c r="X42" s="8"/>
      <c r="Y42" s="8"/>
      <c r="Z42" s="3"/>
      <c r="AA42" s="3"/>
      <c r="AB42" s="3"/>
      <c r="AC42" s="3"/>
      <c r="AD42" s="3"/>
      <c r="AE42" s="8"/>
      <c r="AF42" s="8"/>
      <c r="AG42" s="3"/>
      <c r="AH42" s="3"/>
      <c r="AI42" s="3"/>
      <c r="AJ42" s="3"/>
      <c r="AK42" s="3"/>
      <c r="AL42" s="8"/>
      <c r="AM42" s="8"/>
      <c r="AN42" s="3"/>
      <c r="AO42" s="3"/>
      <c r="AP42" s="3"/>
      <c r="AQ42" s="3"/>
      <c r="AR42" s="3"/>
      <c r="AS42" s="8"/>
      <c r="AT42" s="8"/>
      <c r="AU42" s="3"/>
      <c r="AV42" s="3"/>
      <c r="AW42" s="3"/>
      <c r="AX42" s="3"/>
      <c r="AY42" s="3"/>
      <c r="AZ42" s="8"/>
      <c r="BA42" s="12"/>
      <c r="BB42" s="58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4"/>
      <c r="X43" s="8"/>
      <c r="Y43" s="8"/>
      <c r="Z43" s="3"/>
      <c r="AA43" s="3"/>
      <c r="AB43" s="3"/>
      <c r="AC43" s="3"/>
      <c r="AD43" s="3"/>
      <c r="AE43" s="8"/>
      <c r="AF43" s="8"/>
      <c r="AG43" s="3"/>
      <c r="AH43" s="3"/>
      <c r="AI43" s="3"/>
      <c r="AJ43" s="3"/>
      <c r="AK43" s="3"/>
      <c r="AL43" s="8"/>
      <c r="AM43" s="8"/>
      <c r="AN43" s="3"/>
      <c r="AO43" s="3"/>
      <c r="AP43" s="3"/>
      <c r="AQ43" s="3"/>
      <c r="AR43" s="3"/>
      <c r="AS43" s="8"/>
      <c r="AT43" s="8"/>
      <c r="AU43" s="3"/>
      <c r="AV43" s="3"/>
      <c r="AW43" s="3"/>
      <c r="AX43" s="3"/>
      <c r="AY43" s="3"/>
      <c r="AZ43" s="8"/>
      <c r="BA43" s="12"/>
      <c r="BB43" s="58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4"/>
      <c r="X44" s="8"/>
      <c r="Y44" s="8"/>
      <c r="Z44" s="3"/>
      <c r="AA44" s="3"/>
      <c r="AB44" s="3"/>
      <c r="AC44" s="3"/>
      <c r="AD44" s="3"/>
      <c r="AE44" s="8"/>
      <c r="AF44" s="8"/>
      <c r="AG44" s="3"/>
      <c r="AH44" s="3"/>
      <c r="AI44" s="3"/>
      <c r="AJ44" s="3"/>
      <c r="AK44" s="3"/>
      <c r="AL44" s="8"/>
      <c r="AM44" s="8"/>
      <c r="AN44" s="3"/>
      <c r="AO44" s="3"/>
      <c r="AP44" s="3"/>
      <c r="AQ44" s="3"/>
      <c r="AR44" s="3"/>
      <c r="AS44" s="8"/>
      <c r="AT44" s="8"/>
      <c r="AU44" s="3"/>
      <c r="AV44" s="3"/>
      <c r="AW44" s="3"/>
      <c r="AX44" s="3"/>
      <c r="AY44" s="3"/>
      <c r="AZ44" s="8"/>
      <c r="BA44" s="12"/>
      <c r="BB44" s="58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4"/>
      <c r="X45" s="8"/>
      <c r="Y45" s="8"/>
      <c r="Z45" s="3"/>
      <c r="AA45" s="3"/>
      <c r="AB45" s="3"/>
      <c r="AC45" s="3"/>
      <c r="AD45" s="3"/>
      <c r="AE45" s="8"/>
      <c r="AF45" s="8"/>
      <c r="AG45" s="3"/>
      <c r="AH45" s="3"/>
      <c r="AI45" s="3"/>
      <c r="AJ45" s="3"/>
      <c r="AK45" s="3"/>
      <c r="AL45" s="8"/>
      <c r="AM45" s="8"/>
      <c r="AN45" s="3"/>
      <c r="AO45" s="3"/>
      <c r="AP45" s="3"/>
      <c r="AQ45" s="3"/>
      <c r="AR45" s="3"/>
      <c r="AS45" s="8"/>
      <c r="AT45" s="8"/>
      <c r="AU45" s="3"/>
      <c r="AV45" s="3"/>
      <c r="AW45" s="3"/>
      <c r="AX45" s="3"/>
      <c r="AY45" s="3"/>
      <c r="AZ45" s="8"/>
      <c r="BA45" s="12"/>
      <c r="BB45" s="58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4"/>
      <c r="X46" s="8"/>
      <c r="Y46" s="8"/>
      <c r="Z46" s="3"/>
      <c r="AA46" s="3"/>
      <c r="AB46" s="3"/>
      <c r="AC46" s="3"/>
      <c r="AD46" s="3"/>
      <c r="AE46" s="8"/>
      <c r="AF46" s="8"/>
      <c r="AG46" s="3"/>
      <c r="AH46" s="3"/>
      <c r="AI46" s="3"/>
      <c r="AJ46" s="3"/>
      <c r="AK46" s="3"/>
      <c r="AL46" s="8"/>
      <c r="AM46" s="8"/>
      <c r="AN46" s="3"/>
      <c r="AO46" s="3"/>
      <c r="AP46" s="3"/>
      <c r="AQ46" s="3"/>
      <c r="AR46" s="3"/>
      <c r="AS46" s="8"/>
      <c r="AT46" s="8"/>
      <c r="AU46" s="3"/>
      <c r="AV46" s="3"/>
      <c r="AW46" s="3"/>
      <c r="AX46" s="3"/>
      <c r="AY46" s="3"/>
      <c r="AZ46" s="8"/>
      <c r="BA46" s="12"/>
      <c r="BB46" s="58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4"/>
      <c r="X47" s="8"/>
      <c r="Y47" s="8"/>
      <c r="Z47" s="3"/>
      <c r="AA47" s="3"/>
      <c r="AB47" s="3"/>
      <c r="AC47" s="3"/>
      <c r="AD47" s="3"/>
      <c r="AE47" s="8"/>
      <c r="AF47" s="8"/>
      <c r="AG47" s="3"/>
      <c r="AH47" s="3"/>
      <c r="AI47" s="3"/>
      <c r="AJ47" s="3"/>
      <c r="AK47" s="3"/>
      <c r="AL47" s="8"/>
      <c r="AM47" s="8"/>
      <c r="AN47" s="3"/>
      <c r="AO47" s="3"/>
      <c r="AP47" s="3"/>
      <c r="AQ47" s="3"/>
      <c r="AR47" s="3"/>
      <c r="AS47" s="8"/>
      <c r="AT47" s="8"/>
      <c r="AU47" s="3"/>
      <c r="AV47" s="3"/>
      <c r="AW47" s="3"/>
      <c r="AX47" s="3"/>
      <c r="AY47" s="3"/>
      <c r="AZ47" s="8"/>
      <c r="BA47" s="12"/>
      <c r="BB47" s="58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4"/>
      <c r="X48" s="8"/>
      <c r="Y48" s="8"/>
      <c r="Z48" s="3"/>
      <c r="AA48" s="3"/>
      <c r="AB48" s="3"/>
      <c r="AC48" s="3"/>
      <c r="AD48" s="3"/>
      <c r="AE48" s="8"/>
      <c r="AF48" s="8"/>
      <c r="AG48" s="3"/>
      <c r="AH48" s="3"/>
      <c r="AI48" s="3"/>
      <c r="AJ48" s="3"/>
      <c r="AK48" s="3"/>
      <c r="AL48" s="8"/>
      <c r="AM48" s="8"/>
      <c r="AN48" s="3"/>
      <c r="AO48" s="3"/>
      <c r="AP48" s="3"/>
      <c r="AQ48" s="3"/>
      <c r="AR48" s="3"/>
      <c r="AS48" s="8"/>
      <c r="AT48" s="8"/>
      <c r="AU48" s="3"/>
      <c r="AV48" s="3"/>
      <c r="AW48" s="3"/>
      <c r="AX48" s="3"/>
      <c r="AY48" s="3"/>
      <c r="AZ48" s="8"/>
      <c r="BA48" s="12"/>
      <c r="BB48" s="58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97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4"/>
      <c r="X49" s="8"/>
      <c r="Y49" s="8"/>
      <c r="Z49" s="3"/>
      <c r="AA49" s="3"/>
      <c r="AB49" s="3"/>
      <c r="AC49" s="3"/>
      <c r="AD49" s="3"/>
      <c r="AE49" s="8"/>
      <c r="AF49" s="8"/>
      <c r="AG49" s="3"/>
      <c r="AH49" s="3"/>
      <c r="AI49" s="3"/>
      <c r="AJ49" s="3"/>
      <c r="AK49" s="3"/>
      <c r="AL49" s="8"/>
      <c r="AM49" s="8"/>
      <c r="AN49" s="3"/>
      <c r="AO49" s="3"/>
      <c r="AP49" s="3"/>
      <c r="AQ49" s="3"/>
      <c r="AR49" s="3"/>
      <c r="AS49" s="8"/>
      <c r="AT49" s="8"/>
      <c r="AU49" s="3"/>
      <c r="AV49" s="3"/>
      <c r="AW49" s="3"/>
      <c r="AX49" s="3"/>
      <c r="AY49" s="3"/>
      <c r="AZ49" s="8"/>
      <c r="BA49" s="12"/>
      <c r="BB49" s="58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4"/>
      <c r="X50" s="8"/>
      <c r="Y50" s="8"/>
      <c r="Z50" s="3"/>
      <c r="AA50" s="3"/>
      <c r="AB50" s="3"/>
      <c r="AC50" s="3"/>
      <c r="AD50" s="3"/>
      <c r="AE50" s="8"/>
      <c r="AF50" s="8"/>
      <c r="AG50" s="3"/>
      <c r="AH50" s="3"/>
      <c r="AI50" s="3"/>
      <c r="AJ50" s="3"/>
      <c r="AK50" s="3"/>
      <c r="AL50" s="8"/>
      <c r="AM50" s="8"/>
      <c r="AN50" s="3"/>
      <c r="AO50" s="3"/>
      <c r="AP50" s="3"/>
      <c r="AQ50" s="3"/>
      <c r="AR50" s="3"/>
      <c r="AS50" s="8"/>
      <c r="AT50" s="8"/>
      <c r="AU50" s="3"/>
      <c r="AV50" s="3"/>
      <c r="AW50" s="3"/>
      <c r="AX50" s="3"/>
      <c r="AY50" s="3"/>
      <c r="AZ50" s="8"/>
      <c r="BA50" s="12"/>
      <c r="BB50" s="58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4"/>
      <c r="X51" s="8"/>
      <c r="Y51" s="8"/>
      <c r="Z51" s="3"/>
      <c r="AA51" s="3"/>
      <c r="AB51" s="3"/>
      <c r="AC51" s="3"/>
      <c r="AD51" s="3"/>
      <c r="AE51" s="8"/>
      <c r="AF51" s="8"/>
      <c r="AG51" s="3"/>
      <c r="AH51" s="3"/>
      <c r="AI51" s="3"/>
      <c r="AJ51" s="3"/>
      <c r="AK51" s="3"/>
      <c r="AL51" s="8"/>
      <c r="AM51" s="8"/>
      <c r="AN51" s="3"/>
      <c r="AO51" s="3"/>
      <c r="AP51" s="3"/>
      <c r="AQ51" s="3"/>
      <c r="AR51" s="3"/>
      <c r="AS51" s="8"/>
      <c r="AT51" s="8"/>
      <c r="AU51" s="3"/>
      <c r="AV51" s="3"/>
      <c r="AW51" s="3"/>
      <c r="AX51" s="3"/>
      <c r="AY51" s="3"/>
      <c r="AZ51" s="8"/>
      <c r="BA51" s="12"/>
      <c r="BB51" s="58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4"/>
      <c r="X52" s="8"/>
      <c r="Y52" s="8"/>
      <c r="Z52" s="3"/>
      <c r="AA52" s="3"/>
      <c r="AB52" s="3"/>
      <c r="AC52" s="3"/>
      <c r="AD52" s="3"/>
      <c r="AE52" s="8"/>
      <c r="AF52" s="8"/>
      <c r="AG52" s="3"/>
      <c r="AH52" s="3"/>
      <c r="AI52" s="3"/>
      <c r="AJ52" s="3"/>
      <c r="AK52" s="3"/>
      <c r="AL52" s="8"/>
      <c r="AM52" s="8"/>
      <c r="AN52" s="3"/>
      <c r="AO52" s="3"/>
      <c r="AP52" s="3"/>
      <c r="AQ52" s="3"/>
      <c r="AR52" s="3"/>
      <c r="AS52" s="8"/>
      <c r="AT52" s="8"/>
      <c r="AU52" s="3"/>
      <c r="AV52" s="3"/>
      <c r="AW52" s="3"/>
      <c r="AX52" s="3"/>
      <c r="AY52" s="3"/>
      <c r="AZ52" s="8"/>
      <c r="BA52" s="12"/>
      <c r="BB52" s="58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4"/>
      <c r="X53" s="8"/>
      <c r="Y53" s="8"/>
      <c r="Z53" s="3"/>
      <c r="AA53" s="3"/>
      <c r="AB53" s="3"/>
      <c r="AC53" s="3"/>
      <c r="AD53" s="3"/>
      <c r="AE53" s="8"/>
      <c r="AF53" s="8"/>
      <c r="AG53" s="3"/>
      <c r="AH53" s="3"/>
      <c r="AI53" s="3"/>
      <c r="AJ53" s="3"/>
      <c r="AK53" s="3"/>
      <c r="AL53" s="8"/>
      <c r="AM53" s="8"/>
      <c r="AN53" s="3"/>
      <c r="AO53" s="3"/>
      <c r="AP53" s="3"/>
      <c r="AQ53" s="3"/>
      <c r="AR53" s="3"/>
      <c r="AS53" s="8"/>
      <c r="AT53" s="8"/>
      <c r="AU53" s="3"/>
      <c r="AV53" s="3"/>
      <c r="AW53" s="3"/>
      <c r="AX53" s="3"/>
      <c r="AY53" s="3"/>
      <c r="AZ53" s="8"/>
      <c r="BA53" s="12"/>
      <c r="BB53" s="58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4"/>
      <c r="X54" s="8"/>
      <c r="Y54" s="8"/>
      <c r="Z54" s="3"/>
      <c r="AA54" s="3"/>
      <c r="AB54" s="3"/>
      <c r="AC54" s="3"/>
      <c r="AD54" s="3"/>
      <c r="AE54" s="8"/>
      <c r="AF54" s="8"/>
      <c r="AG54" s="3"/>
      <c r="AH54" s="3"/>
      <c r="AI54" s="3"/>
      <c r="AJ54" s="3"/>
      <c r="AK54" s="3"/>
      <c r="AL54" s="8"/>
      <c r="AM54" s="8"/>
      <c r="AN54" s="3"/>
      <c r="AO54" s="3"/>
      <c r="AP54" s="3"/>
      <c r="AQ54" s="3"/>
      <c r="AR54" s="3"/>
      <c r="AS54" s="8"/>
      <c r="AT54" s="8"/>
      <c r="AU54" s="3"/>
      <c r="AV54" s="3"/>
      <c r="AW54" s="3"/>
      <c r="AX54" s="3"/>
      <c r="AY54" s="3"/>
      <c r="AZ54" s="8"/>
      <c r="BA54" s="12"/>
      <c r="BB54" s="58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4"/>
      <c r="X55" s="8"/>
      <c r="Y55" s="8"/>
      <c r="Z55" s="3"/>
      <c r="AA55" s="3"/>
      <c r="AB55" s="3"/>
      <c r="AC55" s="3"/>
      <c r="AD55" s="3"/>
      <c r="AE55" s="8"/>
      <c r="AF55" s="8"/>
      <c r="AG55" s="3"/>
      <c r="AH55" s="3"/>
      <c r="AI55" s="3"/>
      <c r="AJ55" s="3"/>
      <c r="AK55" s="3"/>
      <c r="AL55" s="8"/>
      <c r="AM55" s="8"/>
      <c r="AN55" s="3"/>
      <c r="AO55" s="3"/>
      <c r="AP55" s="3"/>
      <c r="AQ55" s="3"/>
      <c r="AR55" s="3"/>
      <c r="AS55" s="8"/>
      <c r="AT55" s="8"/>
      <c r="AU55" s="3"/>
      <c r="AV55" s="3"/>
      <c r="AW55" s="3"/>
      <c r="AX55" s="3"/>
      <c r="AY55" s="3"/>
      <c r="AZ55" s="8"/>
      <c r="BA55" s="12"/>
      <c r="BB55" s="58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4"/>
      <c r="X56" s="8"/>
      <c r="Y56" s="8"/>
      <c r="Z56" s="3"/>
      <c r="AA56" s="3"/>
      <c r="AB56" s="3"/>
      <c r="AC56" s="3"/>
      <c r="AD56" s="3"/>
      <c r="AE56" s="8"/>
      <c r="AF56" s="8"/>
      <c r="AG56" s="3"/>
      <c r="AH56" s="3"/>
      <c r="AI56" s="3"/>
      <c r="AJ56" s="3"/>
      <c r="AK56" s="3"/>
      <c r="AL56" s="8"/>
      <c r="AM56" s="8"/>
      <c r="AN56" s="3"/>
      <c r="AO56" s="3"/>
      <c r="AP56" s="3"/>
      <c r="AQ56" s="3"/>
      <c r="AR56" s="3"/>
      <c r="AS56" s="8"/>
      <c r="AT56" s="8"/>
      <c r="AU56" s="3"/>
      <c r="AV56" s="3"/>
      <c r="AW56" s="3"/>
      <c r="AX56" s="3"/>
      <c r="AY56" s="3"/>
      <c r="AZ56" s="8"/>
      <c r="BA56" s="12"/>
      <c r="BB56" s="58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4"/>
      <c r="X57" s="8"/>
      <c r="Y57" s="8"/>
      <c r="Z57" s="3"/>
      <c r="AA57" s="3"/>
      <c r="AB57" s="3"/>
      <c r="AC57" s="3"/>
      <c r="AD57" s="3"/>
      <c r="AE57" s="8"/>
      <c r="AF57" s="8"/>
      <c r="AG57" s="3"/>
      <c r="AH57" s="3"/>
      <c r="AI57" s="3"/>
      <c r="AJ57" s="3"/>
      <c r="AK57" s="3"/>
      <c r="AL57" s="8"/>
      <c r="AM57" s="8"/>
      <c r="AN57" s="3"/>
      <c r="AO57" s="3"/>
      <c r="AP57" s="3"/>
      <c r="AQ57" s="3"/>
      <c r="AR57" s="3"/>
      <c r="AS57" s="8"/>
      <c r="AT57" s="8"/>
      <c r="AU57" s="3"/>
      <c r="AV57" s="3"/>
      <c r="AW57" s="3"/>
      <c r="AX57" s="3"/>
      <c r="AY57" s="3"/>
      <c r="AZ57" s="8"/>
      <c r="BA57" s="12"/>
      <c r="BB57" s="58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4"/>
      <c r="X58" s="8"/>
      <c r="Y58" s="8"/>
      <c r="Z58" s="3"/>
      <c r="AA58" s="3"/>
      <c r="AB58" s="3"/>
      <c r="AC58" s="3"/>
      <c r="AD58" s="3"/>
      <c r="AE58" s="8"/>
      <c r="AF58" s="8"/>
      <c r="AG58" s="3"/>
      <c r="AH58" s="3"/>
      <c r="AI58" s="3"/>
      <c r="AJ58" s="3"/>
      <c r="AK58" s="3"/>
      <c r="AL58" s="8"/>
      <c r="AM58" s="8"/>
      <c r="AN58" s="3"/>
      <c r="AO58" s="3"/>
      <c r="AP58" s="3"/>
      <c r="AQ58" s="3"/>
      <c r="AR58" s="3"/>
      <c r="AS58" s="8"/>
      <c r="AT58" s="8"/>
      <c r="AU58" s="3"/>
      <c r="AV58" s="3"/>
      <c r="AW58" s="3"/>
      <c r="AX58" s="3"/>
      <c r="AY58" s="3"/>
      <c r="AZ58" s="8"/>
      <c r="BA58" s="12"/>
      <c r="BB58" s="58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4"/>
      <c r="X59" s="8"/>
      <c r="Y59" s="8"/>
      <c r="Z59" s="3"/>
      <c r="AA59" s="3"/>
      <c r="AB59" s="3"/>
      <c r="AC59" s="3"/>
      <c r="AD59" s="3"/>
      <c r="AE59" s="8"/>
      <c r="AF59" s="8"/>
      <c r="AG59" s="3"/>
      <c r="AH59" s="3"/>
      <c r="AI59" s="3"/>
      <c r="AJ59" s="3"/>
      <c r="AK59" s="3"/>
      <c r="AL59" s="8"/>
      <c r="AM59" s="8"/>
      <c r="AN59" s="3"/>
      <c r="AO59" s="3"/>
      <c r="AP59" s="3"/>
      <c r="AQ59" s="3"/>
      <c r="AR59" s="3"/>
      <c r="AS59" s="8"/>
      <c r="AT59" s="8"/>
      <c r="AU59" s="3"/>
      <c r="AV59" s="3"/>
      <c r="AW59" s="3"/>
      <c r="AX59" s="3"/>
      <c r="AY59" s="3"/>
      <c r="AZ59" s="8"/>
      <c r="BA59" s="12"/>
      <c r="BB59" s="58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97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4"/>
      <c r="X60" s="8"/>
      <c r="Y60" s="8"/>
      <c r="Z60" s="3"/>
      <c r="AA60" s="3"/>
      <c r="AB60" s="3"/>
      <c r="AC60" s="3"/>
      <c r="AD60" s="3"/>
      <c r="AE60" s="8"/>
      <c r="AF60" s="8"/>
      <c r="AG60" s="3"/>
      <c r="AH60" s="3"/>
      <c r="AI60" s="3"/>
      <c r="AJ60" s="3"/>
      <c r="AK60" s="3"/>
      <c r="AL60" s="8"/>
      <c r="AM60" s="8"/>
      <c r="AN60" s="3"/>
      <c r="AO60" s="3"/>
      <c r="AP60" s="3"/>
      <c r="AQ60" s="3"/>
      <c r="AR60" s="3"/>
      <c r="AS60" s="8"/>
      <c r="AT60" s="8"/>
      <c r="AU60" s="3"/>
      <c r="AV60" s="3"/>
      <c r="AW60" s="3"/>
      <c r="AX60" s="3"/>
      <c r="AY60" s="3"/>
      <c r="AZ60" s="8"/>
      <c r="BA60" s="12"/>
      <c r="BB60" s="58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4"/>
      <c r="X61" s="8"/>
      <c r="Y61" s="8"/>
      <c r="Z61" s="3"/>
      <c r="AA61" s="3"/>
      <c r="AB61" s="3"/>
      <c r="AC61" s="3"/>
      <c r="AD61" s="3"/>
      <c r="AE61" s="8"/>
      <c r="AF61" s="8"/>
      <c r="AG61" s="3"/>
      <c r="AH61" s="3"/>
      <c r="AI61" s="3"/>
      <c r="AJ61" s="3"/>
      <c r="AK61" s="3"/>
      <c r="AL61" s="8"/>
      <c r="AM61" s="8"/>
      <c r="AN61" s="3"/>
      <c r="AO61" s="3"/>
      <c r="AP61" s="3"/>
      <c r="AQ61" s="3"/>
      <c r="AR61" s="3"/>
      <c r="AS61" s="8"/>
      <c r="AT61" s="8"/>
      <c r="AU61" s="3"/>
      <c r="AV61" s="3"/>
      <c r="AW61" s="3"/>
      <c r="AX61" s="3"/>
      <c r="AY61" s="3"/>
      <c r="AZ61" s="8"/>
      <c r="BA61" s="12"/>
      <c r="BB61" s="58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102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4"/>
      <c r="X62" s="8"/>
      <c r="Y62" s="8"/>
      <c r="Z62" s="3"/>
      <c r="AA62" s="3"/>
      <c r="AB62" s="3"/>
      <c r="AC62" s="3"/>
      <c r="AD62" s="3"/>
      <c r="AE62" s="8"/>
      <c r="AF62" s="8"/>
      <c r="AG62" s="3"/>
      <c r="AH62" s="3"/>
      <c r="AI62" s="3"/>
      <c r="AJ62" s="3"/>
      <c r="AK62" s="3"/>
      <c r="AL62" s="8"/>
      <c r="AM62" s="8"/>
      <c r="AN62" s="3"/>
      <c r="AO62" s="3"/>
      <c r="AP62" s="3"/>
      <c r="AQ62" s="3"/>
      <c r="AR62" s="3"/>
      <c r="AS62" s="8"/>
      <c r="AT62" s="8"/>
      <c r="AU62" s="3"/>
      <c r="AV62" s="3"/>
      <c r="AW62" s="3"/>
      <c r="AX62" s="3"/>
      <c r="AY62" s="3"/>
      <c r="AZ62" s="8"/>
      <c r="BA62" s="12"/>
      <c r="BB62" s="58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4"/>
      <c r="X63" s="8"/>
      <c r="Y63" s="8"/>
      <c r="Z63" s="3"/>
      <c r="AA63" s="3"/>
      <c r="AB63" s="3"/>
      <c r="AC63" s="3"/>
      <c r="AD63" s="3"/>
      <c r="AE63" s="8"/>
      <c r="AF63" s="8"/>
      <c r="AG63" s="3"/>
      <c r="AH63" s="3"/>
      <c r="AI63" s="3"/>
      <c r="AJ63" s="3"/>
      <c r="AK63" s="3"/>
      <c r="AL63" s="8"/>
      <c r="AM63" s="8"/>
      <c r="AN63" s="3"/>
      <c r="AO63" s="3"/>
      <c r="AP63" s="3"/>
      <c r="AQ63" s="3"/>
      <c r="AR63" s="3"/>
      <c r="AS63" s="8"/>
      <c r="AT63" s="8"/>
      <c r="AU63" s="3"/>
      <c r="AV63" s="3"/>
      <c r="AW63" s="3"/>
      <c r="AX63" s="3"/>
      <c r="AY63" s="3"/>
      <c r="AZ63" s="8"/>
      <c r="BA63" s="12"/>
      <c r="BB63" s="58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4"/>
      <c r="X64" s="8"/>
      <c r="Y64" s="8"/>
      <c r="Z64" s="3"/>
      <c r="AA64" s="3"/>
      <c r="AB64" s="3"/>
      <c r="AC64" s="3"/>
      <c r="AD64" s="3"/>
      <c r="AE64" s="8"/>
      <c r="AF64" s="8"/>
      <c r="AG64" s="3"/>
      <c r="AH64" s="3"/>
      <c r="AI64" s="3"/>
      <c r="AJ64" s="3"/>
      <c r="AK64" s="3"/>
      <c r="AL64" s="8"/>
      <c r="AM64" s="8"/>
      <c r="AN64" s="3"/>
      <c r="AO64" s="3"/>
      <c r="AP64" s="3"/>
      <c r="AQ64" s="3"/>
      <c r="AR64" s="3"/>
      <c r="AS64" s="8"/>
      <c r="AT64" s="8"/>
      <c r="AU64" s="3"/>
      <c r="AV64" s="3"/>
      <c r="AW64" s="3"/>
      <c r="AX64" s="3"/>
      <c r="AY64" s="3"/>
      <c r="AZ64" s="8"/>
      <c r="BA64" s="12"/>
      <c r="BB64" s="58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97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4"/>
      <c r="X65" s="8"/>
      <c r="Y65" s="8"/>
      <c r="Z65" s="3"/>
      <c r="AA65" s="3"/>
      <c r="AB65" s="3"/>
      <c r="AC65" s="3"/>
      <c r="AD65" s="3"/>
      <c r="AE65" s="8"/>
      <c r="AF65" s="8"/>
      <c r="AG65" s="3"/>
      <c r="AH65" s="3"/>
      <c r="AI65" s="3"/>
      <c r="AJ65" s="3"/>
      <c r="AK65" s="3"/>
      <c r="AL65" s="8"/>
      <c r="AM65" s="8"/>
      <c r="AN65" s="3"/>
      <c r="AO65" s="3"/>
      <c r="AP65" s="3"/>
      <c r="AQ65" s="3"/>
      <c r="AR65" s="3"/>
      <c r="AS65" s="8"/>
      <c r="AT65" s="8"/>
      <c r="AU65" s="3"/>
      <c r="AV65" s="3"/>
      <c r="AW65" s="3"/>
      <c r="AX65" s="3"/>
      <c r="AY65" s="3"/>
      <c r="AZ65" s="8"/>
      <c r="BA65" s="12"/>
      <c r="BB65" s="58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102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4"/>
      <c r="X66" s="8"/>
      <c r="Y66" s="8"/>
      <c r="Z66" s="3"/>
      <c r="AA66" s="3"/>
      <c r="AB66" s="3"/>
      <c r="AC66" s="3"/>
      <c r="AD66" s="3"/>
      <c r="AE66" s="8"/>
      <c r="AF66" s="8"/>
      <c r="AG66" s="3"/>
      <c r="AH66" s="3"/>
      <c r="AI66" s="3"/>
      <c r="AJ66" s="3"/>
      <c r="AK66" s="3"/>
      <c r="AL66" s="8"/>
      <c r="AM66" s="8"/>
      <c r="AN66" s="3"/>
      <c r="AO66" s="3"/>
      <c r="AP66" s="3"/>
      <c r="AQ66" s="3"/>
      <c r="AR66" s="3"/>
      <c r="AS66" s="8"/>
      <c r="AT66" s="8"/>
      <c r="AU66" s="3"/>
      <c r="AV66" s="3"/>
      <c r="AW66" s="3"/>
      <c r="AX66" s="3"/>
      <c r="AY66" s="3"/>
      <c r="AZ66" s="8"/>
      <c r="BA66" s="12"/>
      <c r="BB66" s="58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4"/>
      <c r="X67" s="8"/>
      <c r="Y67" s="8"/>
      <c r="Z67" s="3"/>
      <c r="AA67" s="3"/>
      <c r="AB67" s="3"/>
      <c r="AC67" s="3"/>
      <c r="AD67" s="3"/>
      <c r="AE67" s="8"/>
      <c r="AF67" s="8"/>
      <c r="AG67" s="3"/>
      <c r="AH67" s="3"/>
      <c r="AI67" s="3"/>
      <c r="AJ67" s="3"/>
      <c r="AK67" s="3"/>
      <c r="AL67" s="8"/>
      <c r="AM67" s="8"/>
      <c r="AN67" s="3"/>
      <c r="AO67" s="3"/>
      <c r="AP67" s="3"/>
      <c r="AQ67" s="3"/>
      <c r="AR67" s="3"/>
      <c r="AS67" s="8"/>
      <c r="AT67" s="8"/>
      <c r="AU67" s="3"/>
      <c r="AV67" s="3"/>
      <c r="AW67" s="3"/>
      <c r="AX67" s="3"/>
      <c r="AY67" s="3"/>
      <c r="AZ67" s="8"/>
      <c r="BA67" s="12"/>
      <c r="BB67" s="58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97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4"/>
      <c r="X68" s="8"/>
      <c r="Y68" s="8"/>
      <c r="Z68" s="3"/>
      <c r="AA68" s="3"/>
      <c r="AB68" s="3"/>
      <c r="AC68" s="3"/>
      <c r="AD68" s="3"/>
      <c r="AE68" s="8"/>
      <c r="AF68" s="8"/>
      <c r="AG68" s="3"/>
      <c r="AH68" s="3"/>
      <c r="AI68" s="3"/>
      <c r="AJ68" s="3"/>
      <c r="AK68" s="3"/>
      <c r="AL68" s="8"/>
      <c r="AM68" s="8"/>
      <c r="AN68" s="3"/>
      <c r="AO68" s="3"/>
      <c r="AP68" s="3"/>
      <c r="AQ68" s="3"/>
      <c r="AR68" s="3"/>
      <c r="AS68" s="8"/>
      <c r="AT68" s="8"/>
      <c r="AU68" s="3"/>
      <c r="AV68" s="3"/>
      <c r="AW68" s="3"/>
      <c r="AX68" s="3"/>
      <c r="AY68" s="3"/>
      <c r="AZ68" s="8"/>
      <c r="BA68" s="12"/>
      <c r="BB68" s="58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4"/>
      <c r="X69" s="8"/>
      <c r="Y69" s="8"/>
      <c r="Z69" s="3"/>
      <c r="AA69" s="3"/>
      <c r="AB69" s="3"/>
      <c r="AC69" s="3"/>
      <c r="AD69" s="3"/>
      <c r="AE69" s="8"/>
      <c r="AF69" s="8"/>
      <c r="AG69" s="3"/>
      <c r="AH69" s="3"/>
      <c r="AI69" s="3"/>
      <c r="AJ69" s="3"/>
      <c r="AK69" s="3"/>
      <c r="AL69" s="8"/>
      <c r="AM69" s="8"/>
      <c r="AN69" s="3"/>
      <c r="AO69" s="3"/>
      <c r="AP69" s="3"/>
      <c r="AQ69" s="3"/>
      <c r="AR69" s="3"/>
      <c r="AS69" s="8"/>
      <c r="AT69" s="8"/>
      <c r="AU69" s="3"/>
      <c r="AV69" s="3"/>
      <c r="AW69" s="3"/>
      <c r="AX69" s="3"/>
      <c r="AY69" s="3"/>
      <c r="AZ69" s="8"/>
      <c r="BA69" s="12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4"/>
      <c r="X70" s="8"/>
      <c r="Y70" s="8"/>
      <c r="Z70" s="3"/>
      <c r="AA70" s="3"/>
      <c r="AB70" s="3"/>
      <c r="AC70" s="3"/>
      <c r="AD70" s="3"/>
      <c r="AE70" s="8"/>
      <c r="AF70" s="8"/>
      <c r="AG70" s="3"/>
      <c r="AH70" s="3"/>
      <c r="AI70" s="3"/>
      <c r="AJ70" s="3"/>
      <c r="AK70" s="3"/>
      <c r="AL70" s="8"/>
      <c r="AM70" s="8"/>
      <c r="AN70" s="3"/>
      <c r="AO70" s="3"/>
      <c r="AP70" s="3"/>
      <c r="AQ70" s="3"/>
      <c r="AR70" s="3"/>
      <c r="AS70" s="8"/>
      <c r="AT70" s="8"/>
      <c r="AU70" s="3"/>
      <c r="AV70" s="3"/>
      <c r="AW70" s="3"/>
      <c r="AX70" s="3"/>
      <c r="AY70" s="3"/>
      <c r="AZ70" s="8"/>
      <c r="BA70" s="12"/>
      <c r="BB70" s="58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4"/>
      <c r="X71" s="8"/>
      <c r="Y71" s="8"/>
      <c r="Z71" s="3"/>
      <c r="AA71" s="3"/>
      <c r="AB71" s="3"/>
      <c r="AC71" s="3"/>
      <c r="AD71" s="3"/>
      <c r="AE71" s="8"/>
      <c r="AF71" s="8"/>
      <c r="AG71" s="3"/>
      <c r="AH71" s="3"/>
      <c r="AI71" s="3"/>
      <c r="AJ71" s="3"/>
      <c r="AK71" s="3"/>
      <c r="AL71" s="8"/>
      <c r="AM71" s="8"/>
      <c r="AN71" s="3"/>
      <c r="AO71" s="3"/>
      <c r="AP71" s="3"/>
      <c r="AQ71" s="3"/>
      <c r="AR71" s="3"/>
      <c r="AS71" s="8"/>
      <c r="AT71" s="8"/>
      <c r="AU71" s="3"/>
      <c r="AV71" s="3"/>
      <c r="AW71" s="3"/>
      <c r="AX71" s="3"/>
      <c r="AY71" s="3"/>
      <c r="AZ71" s="8"/>
      <c r="BA71" s="12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4"/>
      <c r="X72" s="8"/>
      <c r="Y72" s="8"/>
      <c r="Z72" s="3"/>
      <c r="AA72" s="3"/>
      <c r="AB72" s="3"/>
      <c r="AC72" s="3"/>
      <c r="AD72" s="3"/>
      <c r="AE72" s="8"/>
      <c r="AF72" s="8"/>
      <c r="AG72" s="3"/>
      <c r="AH72" s="3"/>
      <c r="AI72" s="3"/>
      <c r="AJ72" s="3"/>
      <c r="AK72" s="3"/>
      <c r="AL72" s="8"/>
      <c r="AM72" s="8"/>
      <c r="AN72" s="3"/>
      <c r="AO72" s="3"/>
      <c r="AP72" s="3"/>
      <c r="AQ72" s="3"/>
      <c r="AR72" s="3"/>
      <c r="AS72" s="8"/>
      <c r="AT72" s="8"/>
      <c r="AU72" s="3"/>
      <c r="AV72" s="3"/>
      <c r="AW72" s="3"/>
      <c r="AX72" s="3"/>
      <c r="AY72" s="3"/>
      <c r="AZ72" s="8"/>
      <c r="BA72" s="12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97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4"/>
      <c r="X73" s="8"/>
      <c r="Y73" s="8"/>
      <c r="Z73" s="3"/>
      <c r="AA73" s="3"/>
      <c r="AB73" s="3"/>
      <c r="AC73" s="3"/>
      <c r="AD73" s="3"/>
      <c r="AE73" s="8"/>
      <c r="AF73" s="8"/>
      <c r="AG73" s="3"/>
      <c r="AH73" s="3"/>
      <c r="AI73" s="3"/>
      <c r="AJ73" s="3"/>
      <c r="AK73" s="3"/>
      <c r="AL73" s="8"/>
      <c r="AM73" s="8"/>
      <c r="AN73" s="3"/>
      <c r="AO73" s="3"/>
      <c r="AP73" s="3"/>
      <c r="AQ73" s="3"/>
      <c r="AR73" s="3"/>
      <c r="AS73" s="8"/>
      <c r="AT73" s="8"/>
      <c r="AU73" s="3"/>
      <c r="AV73" s="3"/>
      <c r="AW73" s="3"/>
      <c r="AX73" s="3"/>
      <c r="AY73" s="3"/>
      <c r="AZ73" s="8"/>
      <c r="BA73" s="12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4"/>
      <c r="X74" s="8"/>
      <c r="Y74" s="8"/>
      <c r="Z74" s="3"/>
      <c r="AA74" s="3"/>
      <c r="AB74" s="3"/>
      <c r="AC74" s="3"/>
      <c r="AD74" s="3"/>
      <c r="AE74" s="8"/>
      <c r="AF74" s="8"/>
      <c r="AG74" s="3"/>
      <c r="AH74" s="3"/>
      <c r="AI74" s="3"/>
      <c r="AJ74" s="3"/>
      <c r="AK74" s="3"/>
      <c r="AL74" s="8"/>
      <c r="AM74" s="8"/>
      <c r="AN74" s="3"/>
      <c r="AO74" s="3"/>
      <c r="AP74" s="3"/>
      <c r="AQ74" s="3"/>
      <c r="AR74" s="3"/>
      <c r="AS74" s="8"/>
      <c r="AT74" s="8"/>
      <c r="AU74" s="3"/>
      <c r="AV74" s="3"/>
      <c r="AW74" s="3"/>
      <c r="AX74" s="3"/>
      <c r="AY74" s="3"/>
      <c r="AZ74" s="8"/>
      <c r="BA74" s="12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102">
        <v>64</v>
      </c>
      <c r="B75" s="103"/>
      <c r="C75" s="104"/>
      <c r="D75" s="2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4"/>
      <c r="X75" s="8"/>
      <c r="Y75" s="8"/>
      <c r="Z75" s="3"/>
      <c r="AA75" s="3"/>
      <c r="AB75" s="3"/>
      <c r="AC75" s="3"/>
      <c r="AD75" s="3"/>
      <c r="AE75" s="8"/>
      <c r="AF75" s="8"/>
      <c r="AG75" s="3"/>
      <c r="AH75" s="3"/>
      <c r="AI75" s="3"/>
      <c r="AJ75" s="3"/>
      <c r="AK75" s="3"/>
      <c r="AL75" s="8"/>
      <c r="AM75" s="8"/>
      <c r="AN75" s="3"/>
      <c r="AO75" s="3"/>
      <c r="AP75" s="3"/>
      <c r="AQ75" s="3"/>
      <c r="AR75" s="3"/>
      <c r="AS75" s="8"/>
      <c r="AT75" s="8"/>
      <c r="AU75" s="3"/>
      <c r="AV75" s="3"/>
      <c r="AW75" s="3"/>
      <c r="AX75" s="3"/>
      <c r="AY75" s="3"/>
      <c r="AZ75" s="8"/>
      <c r="BA75" s="12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97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4"/>
      <c r="X76" s="8"/>
      <c r="Y76" s="8"/>
      <c r="Z76" s="3"/>
      <c r="AA76" s="3"/>
      <c r="AB76" s="3"/>
      <c r="AC76" s="3"/>
      <c r="AD76" s="3"/>
      <c r="AE76" s="8"/>
      <c r="AF76" s="8"/>
      <c r="AG76" s="3"/>
      <c r="AH76" s="3"/>
      <c r="AI76" s="3"/>
      <c r="AJ76" s="3"/>
      <c r="AK76" s="3"/>
      <c r="AL76" s="8"/>
      <c r="AM76" s="8"/>
      <c r="AN76" s="3"/>
      <c r="AO76" s="3"/>
      <c r="AP76" s="3"/>
      <c r="AQ76" s="3"/>
      <c r="AR76" s="3"/>
      <c r="AS76" s="8"/>
      <c r="AT76" s="8"/>
      <c r="AU76" s="3"/>
      <c r="AV76" s="3"/>
      <c r="AW76" s="3"/>
      <c r="AX76" s="3"/>
      <c r="AY76" s="3"/>
      <c r="AZ76" s="8"/>
      <c r="BA76" s="12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4"/>
      <c r="X77" s="8"/>
      <c r="Y77" s="8"/>
      <c r="Z77" s="3"/>
      <c r="AA77" s="3"/>
      <c r="AB77" s="3"/>
      <c r="AC77" s="3"/>
      <c r="AD77" s="3"/>
      <c r="AE77" s="8"/>
      <c r="AF77" s="8"/>
      <c r="AG77" s="3"/>
      <c r="AH77" s="3"/>
      <c r="AI77" s="3"/>
      <c r="AJ77" s="3"/>
      <c r="AK77" s="3"/>
      <c r="AL77" s="8"/>
      <c r="AM77" s="8"/>
      <c r="AN77" s="3"/>
      <c r="AO77" s="3"/>
      <c r="AP77" s="3"/>
      <c r="AQ77" s="3"/>
      <c r="AR77" s="3"/>
      <c r="AS77" s="8"/>
      <c r="AT77" s="8"/>
      <c r="AU77" s="3"/>
      <c r="AV77" s="3"/>
      <c r="AW77" s="3"/>
      <c r="AX77" s="3"/>
      <c r="AY77" s="3"/>
      <c r="AZ77" s="8"/>
      <c r="BA77" s="12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4"/>
      <c r="X78" s="8"/>
      <c r="Y78" s="8"/>
      <c r="Z78" s="3"/>
      <c r="AA78" s="3"/>
      <c r="AB78" s="3"/>
      <c r="AC78" s="3"/>
      <c r="AD78" s="3"/>
      <c r="AE78" s="8"/>
      <c r="AF78" s="8"/>
      <c r="AG78" s="3"/>
      <c r="AH78" s="3"/>
      <c r="AI78" s="3"/>
      <c r="AJ78" s="3"/>
      <c r="AK78" s="3"/>
      <c r="AL78" s="8"/>
      <c r="AM78" s="8"/>
      <c r="AN78" s="3"/>
      <c r="AO78" s="3"/>
      <c r="AP78" s="3"/>
      <c r="AQ78" s="3"/>
      <c r="AR78" s="3"/>
      <c r="AS78" s="8"/>
      <c r="AT78" s="8"/>
      <c r="AU78" s="3"/>
      <c r="AV78" s="3"/>
      <c r="AW78" s="3"/>
      <c r="AX78" s="3"/>
      <c r="AY78" s="3"/>
      <c r="AZ78" s="8"/>
      <c r="BA78" s="12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2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4"/>
        <v/>
      </c>
      <c r="K79" s="6" t="str">
        <f t="shared" si="10"/>
        <v/>
      </c>
      <c r="L79" s="6" t="str">
        <f t="shared" si="11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4"/>
      <c r="X79" s="8"/>
      <c r="Y79" s="8"/>
      <c r="Z79" s="3"/>
      <c r="AA79" s="3"/>
      <c r="AB79" s="3"/>
      <c r="AC79" s="3"/>
      <c r="AD79" s="3"/>
      <c r="AE79" s="8"/>
      <c r="AF79" s="8"/>
      <c r="AG79" s="3"/>
      <c r="AH79" s="3"/>
      <c r="AI79" s="3"/>
      <c r="AJ79" s="3"/>
      <c r="AK79" s="3"/>
      <c r="AL79" s="8"/>
      <c r="AM79" s="8"/>
      <c r="AN79" s="3"/>
      <c r="AO79" s="3"/>
      <c r="AP79" s="3"/>
      <c r="AQ79" s="3"/>
      <c r="AR79" s="3"/>
      <c r="AS79" s="8"/>
      <c r="AT79" s="8"/>
      <c r="AU79" s="3"/>
      <c r="AV79" s="3"/>
      <c r="AW79" s="3"/>
      <c r="AX79" s="3"/>
      <c r="AY79" s="3"/>
      <c r="AZ79" s="8"/>
      <c r="BA79" s="12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7"/>
        <v/>
      </c>
      <c r="H80" s="100" t="str">
        <f t="shared" si="8"/>
        <v/>
      </c>
      <c r="I80" s="101">
        <f t="shared" si="9"/>
        <v>0</v>
      </c>
      <c r="J80" s="100" t="str">
        <f t="shared" si="14"/>
        <v/>
      </c>
      <c r="K80" s="6" t="str">
        <f t="shared" si="10"/>
        <v/>
      </c>
      <c r="L80" s="6" t="str">
        <f t="shared" si="11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4"/>
      <c r="X80" s="8"/>
      <c r="Y80" s="8"/>
      <c r="Z80" s="3"/>
      <c r="AA80" s="3"/>
      <c r="AB80" s="3"/>
      <c r="AC80" s="3"/>
      <c r="AD80" s="3"/>
      <c r="AE80" s="8"/>
      <c r="AF80" s="8"/>
      <c r="AG80" s="3"/>
      <c r="AH80" s="3"/>
      <c r="AI80" s="3"/>
      <c r="AJ80" s="3"/>
      <c r="AK80" s="3"/>
      <c r="AL80" s="8"/>
      <c r="AM80" s="8"/>
      <c r="AN80" s="3"/>
      <c r="AO80" s="3"/>
      <c r="AP80" s="3"/>
      <c r="AQ80" s="3"/>
      <c r="AR80" s="3"/>
      <c r="AS80" s="8"/>
      <c r="AT80" s="8"/>
      <c r="AU80" s="3"/>
      <c r="AV80" s="3"/>
      <c r="AW80" s="3"/>
      <c r="AX80" s="3"/>
      <c r="AY80" s="3"/>
      <c r="AZ80" s="8"/>
      <c r="BA80" s="12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97">
        <v>70</v>
      </c>
      <c r="B81" s="103"/>
      <c r="C81" s="104"/>
      <c r="D81" s="1"/>
      <c r="E81" s="105"/>
      <c r="F81" s="105"/>
      <c r="G81" s="100" t="str">
        <f t="shared" si="7"/>
        <v/>
      </c>
      <c r="H81" s="100" t="str">
        <f t="shared" si="8"/>
        <v/>
      </c>
      <c r="I81" s="101">
        <f t="shared" si="9"/>
        <v>0</v>
      </c>
      <c r="J81" s="100" t="str">
        <f t="shared" si="14"/>
        <v/>
      </c>
      <c r="K81" s="6" t="str">
        <f t="shared" si="10"/>
        <v/>
      </c>
      <c r="L81" s="6" t="str">
        <f t="shared" si="11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4"/>
      <c r="X81" s="8"/>
      <c r="Y81" s="8"/>
      <c r="Z81" s="3"/>
      <c r="AA81" s="3"/>
      <c r="AB81" s="3"/>
      <c r="AC81" s="3"/>
      <c r="AD81" s="3"/>
      <c r="AE81" s="8"/>
      <c r="AF81" s="8"/>
      <c r="AG81" s="3"/>
      <c r="AH81" s="3"/>
      <c r="AI81" s="3"/>
      <c r="AJ81" s="3"/>
      <c r="AK81" s="3"/>
      <c r="AL81" s="8"/>
      <c r="AM81" s="8"/>
      <c r="AN81" s="3"/>
      <c r="AO81" s="3"/>
      <c r="AP81" s="3"/>
      <c r="AQ81" s="3"/>
      <c r="AR81" s="3"/>
      <c r="AS81" s="8"/>
      <c r="AT81" s="8"/>
      <c r="AU81" s="3"/>
      <c r="AV81" s="3"/>
      <c r="AW81" s="3"/>
      <c r="AX81" s="3"/>
      <c r="AY81" s="3"/>
      <c r="AZ81" s="8"/>
      <c r="BA81" s="12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7"/>
        <v/>
      </c>
      <c r="H82" s="100" t="str">
        <f t="shared" si="8"/>
        <v/>
      </c>
      <c r="I82" s="101">
        <f t="shared" si="9"/>
        <v>0</v>
      </c>
      <c r="J82" s="100" t="str">
        <f t="shared" si="14"/>
        <v/>
      </c>
      <c r="K82" s="6" t="str">
        <f t="shared" si="10"/>
        <v/>
      </c>
      <c r="L82" s="6" t="str">
        <f t="shared" si="11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4"/>
      <c r="X82" s="8"/>
      <c r="Y82" s="8"/>
      <c r="Z82" s="3"/>
      <c r="AA82" s="3"/>
      <c r="AB82" s="3"/>
      <c r="AC82" s="3"/>
      <c r="AD82" s="3"/>
      <c r="AE82" s="8"/>
      <c r="AF82" s="8"/>
      <c r="AG82" s="3"/>
      <c r="AH82" s="3"/>
      <c r="AI82" s="3"/>
      <c r="AJ82" s="3"/>
      <c r="AK82" s="3"/>
      <c r="AL82" s="8"/>
      <c r="AM82" s="8"/>
      <c r="AN82" s="3"/>
      <c r="AO82" s="3"/>
      <c r="AP82" s="3"/>
      <c r="AQ82" s="3"/>
      <c r="AR82" s="3"/>
      <c r="AS82" s="8"/>
      <c r="AT82" s="8"/>
      <c r="AU82" s="3"/>
      <c r="AV82" s="3"/>
      <c r="AW82" s="3"/>
      <c r="AX82" s="3"/>
      <c r="AY82" s="3"/>
      <c r="AZ82" s="8"/>
      <c r="BA82" s="12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7"/>
        <v/>
      </c>
      <c r="H83" s="100" t="str">
        <f t="shared" si="8"/>
        <v/>
      </c>
      <c r="I83" s="101">
        <f t="shared" si="9"/>
        <v>0</v>
      </c>
      <c r="J83" s="100" t="str">
        <f t="shared" si="14"/>
        <v/>
      </c>
      <c r="K83" s="6" t="str">
        <f t="shared" si="10"/>
        <v/>
      </c>
      <c r="L83" s="6" t="str">
        <f t="shared" si="11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4"/>
      <c r="X83" s="8"/>
      <c r="Y83" s="8"/>
      <c r="Z83" s="3"/>
      <c r="AA83" s="3"/>
      <c r="AB83" s="3"/>
      <c r="AC83" s="3"/>
      <c r="AD83" s="3"/>
      <c r="AE83" s="8"/>
      <c r="AF83" s="8"/>
      <c r="AG83" s="3"/>
      <c r="AH83" s="3"/>
      <c r="AI83" s="3"/>
      <c r="AJ83" s="3"/>
      <c r="AK83" s="3"/>
      <c r="AL83" s="8"/>
      <c r="AM83" s="8"/>
      <c r="AN83" s="3"/>
      <c r="AO83" s="3"/>
      <c r="AP83" s="3"/>
      <c r="AQ83" s="3"/>
      <c r="AR83" s="3"/>
      <c r="AS83" s="8"/>
      <c r="AT83" s="8"/>
      <c r="AU83" s="3"/>
      <c r="AV83" s="3"/>
      <c r="AW83" s="3"/>
      <c r="AX83" s="3"/>
      <c r="AY83" s="3"/>
      <c r="AZ83" s="8"/>
      <c r="BA83" s="12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4"/>
      <c r="X84" s="8"/>
      <c r="Y84" s="8"/>
      <c r="Z84" s="3"/>
      <c r="AA84" s="3"/>
      <c r="AB84" s="3"/>
      <c r="AC84" s="3"/>
      <c r="AD84" s="3"/>
      <c r="AE84" s="8"/>
      <c r="AF84" s="8"/>
      <c r="AG84" s="3"/>
      <c r="AH84" s="3"/>
      <c r="AI84" s="3"/>
      <c r="AJ84" s="3"/>
      <c r="AK84" s="3"/>
      <c r="AL84" s="8"/>
      <c r="AM84" s="8"/>
      <c r="AN84" s="3"/>
      <c r="AO84" s="3"/>
      <c r="AP84" s="3"/>
      <c r="AQ84" s="3"/>
      <c r="AR84" s="3"/>
      <c r="AS84" s="8"/>
      <c r="AT84" s="8"/>
      <c r="AU84" s="3"/>
      <c r="AV84" s="3"/>
      <c r="AW84" s="3"/>
      <c r="AX84" s="3"/>
      <c r="AY84" s="3"/>
      <c r="AZ84" s="8"/>
      <c r="BA84" s="12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4"/>
      <c r="X85" s="8"/>
      <c r="Y85" s="8"/>
      <c r="Z85" s="3"/>
      <c r="AA85" s="3"/>
      <c r="AB85" s="3"/>
      <c r="AC85" s="3"/>
      <c r="AD85" s="3"/>
      <c r="AE85" s="8"/>
      <c r="AF85" s="8"/>
      <c r="AG85" s="3"/>
      <c r="AH85" s="3"/>
      <c r="AI85" s="3"/>
      <c r="AJ85" s="3"/>
      <c r="AK85" s="3"/>
      <c r="AL85" s="8"/>
      <c r="AM85" s="8"/>
      <c r="AN85" s="3"/>
      <c r="AO85" s="3"/>
      <c r="AP85" s="3"/>
      <c r="AQ85" s="3"/>
      <c r="AR85" s="3"/>
      <c r="AS85" s="8"/>
      <c r="AT85" s="8"/>
      <c r="AU85" s="3"/>
      <c r="AV85" s="3"/>
      <c r="AW85" s="3"/>
      <c r="AX85" s="3"/>
      <c r="AY85" s="3"/>
      <c r="AZ85" s="8"/>
      <c r="BA85" s="12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4"/>
      <c r="X86" s="8"/>
      <c r="Y86" s="8"/>
      <c r="Z86" s="3"/>
      <c r="AA86" s="3"/>
      <c r="AB86" s="3"/>
      <c r="AC86" s="3"/>
      <c r="AD86" s="3"/>
      <c r="AE86" s="8"/>
      <c r="AF86" s="8"/>
      <c r="AG86" s="3"/>
      <c r="AH86" s="3"/>
      <c r="AI86" s="3"/>
      <c r="AJ86" s="3"/>
      <c r="AK86" s="3"/>
      <c r="AL86" s="8"/>
      <c r="AM86" s="8"/>
      <c r="AN86" s="3"/>
      <c r="AO86" s="3"/>
      <c r="AP86" s="3"/>
      <c r="AQ86" s="3"/>
      <c r="AR86" s="3"/>
      <c r="AS86" s="8"/>
      <c r="AT86" s="8"/>
      <c r="AU86" s="3"/>
      <c r="AV86" s="3"/>
      <c r="AW86" s="3"/>
      <c r="AX86" s="3"/>
      <c r="AY86" s="3"/>
      <c r="AZ86" s="8"/>
      <c r="BA86" s="12"/>
      <c r="BB86" s="59"/>
      <c r="BC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4"/>
      <c r="X87" s="8"/>
      <c r="Y87" s="8"/>
      <c r="Z87" s="3"/>
      <c r="AA87" s="3"/>
      <c r="AB87" s="3"/>
      <c r="AC87" s="3"/>
      <c r="AD87" s="3"/>
      <c r="AE87" s="8"/>
      <c r="AF87" s="8"/>
      <c r="AG87" s="3"/>
      <c r="AH87" s="3"/>
      <c r="AI87" s="3"/>
      <c r="AJ87" s="3"/>
      <c r="AK87" s="3"/>
      <c r="AL87" s="8"/>
      <c r="AM87" s="8"/>
      <c r="AN87" s="3"/>
      <c r="AO87" s="3"/>
      <c r="AP87" s="3"/>
      <c r="AQ87" s="3"/>
      <c r="AR87" s="3"/>
      <c r="AS87" s="8"/>
      <c r="AT87" s="8"/>
      <c r="AU87" s="3"/>
      <c r="AV87" s="3"/>
      <c r="AW87" s="3"/>
      <c r="AX87" s="3"/>
      <c r="AY87" s="3"/>
      <c r="AZ87" s="8"/>
      <c r="BA87" s="12"/>
      <c r="BB87" s="59"/>
      <c r="BC87" s="59"/>
      <c r="GP87" s="54"/>
      <c r="GQ87" s="54"/>
    </row>
    <row r="88" spans="1:199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4"/>
      <c r="X88" s="8"/>
      <c r="Y88" s="8"/>
      <c r="Z88" s="3"/>
      <c r="AA88" s="3"/>
      <c r="AB88" s="3"/>
      <c r="AC88" s="3"/>
      <c r="AD88" s="3"/>
      <c r="AE88" s="8"/>
      <c r="AF88" s="8"/>
      <c r="AG88" s="3"/>
      <c r="AH88" s="3"/>
      <c r="AI88" s="3"/>
      <c r="AJ88" s="3"/>
      <c r="AK88" s="3"/>
      <c r="AL88" s="8"/>
      <c r="AM88" s="8"/>
      <c r="AN88" s="3"/>
      <c r="AO88" s="3"/>
      <c r="AP88" s="3"/>
      <c r="AQ88" s="3"/>
      <c r="AR88" s="3"/>
      <c r="AS88" s="8"/>
      <c r="AT88" s="8"/>
      <c r="AU88" s="3"/>
      <c r="AV88" s="3"/>
      <c r="AW88" s="3"/>
      <c r="AX88" s="3"/>
      <c r="AY88" s="3"/>
      <c r="AZ88" s="8"/>
      <c r="BA88" s="12"/>
      <c r="BB88" s="59"/>
      <c r="BC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4"/>
      <c r="X89" s="8"/>
      <c r="Y89" s="8"/>
      <c r="Z89" s="3"/>
      <c r="AA89" s="3"/>
      <c r="AB89" s="3"/>
      <c r="AC89" s="3"/>
      <c r="AD89" s="3"/>
      <c r="AE89" s="8"/>
      <c r="AF89" s="8"/>
      <c r="AG89" s="3"/>
      <c r="AH89" s="3"/>
      <c r="AI89" s="3"/>
      <c r="AJ89" s="3"/>
      <c r="AK89" s="3"/>
      <c r="AL89" s="8"/>
      <c r="AM89" s="8"/>
      <c r="AN89" s="3"/>
      <c r="AO89" s="3"/>
      <c r="AP89" s="3"/>
      <c r="AQ89" s="3"/>
      <c r="AR89" s="3"/>
      <c r="AS89" s="8"/>
      <c r="AT89" s="8"/>
      <c r="AU89" s="3"/>
      <c r="AV89" s="3"/>
      <c r="AW89" s="3"/>
      <c r="AX89" s="3"/>
      <c r="AY89" s="3"/>
      <c r="AZ89" s="8"/>
      <c r="BA89" s="12"/>
      <c r="BB89" s="58"/>
      <c r="BC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4"/>
      <c r="X90" s="8"/>
      <c r="Y90" s="8"/>
      <c r="Z90" s="3"/>
      <c r="AA90" s="3"/>
      <c r="AB90" s="3"/>
      <c r="AC90" s="3"/>
      <c r="AD90" s="3"/>
      <c r="AE90" s="8"/>
      <c r="AF90" s="8"/>
      <c r="AG90" s="3"/>
      <c r="AH90" s="3"/>
      <c r="AI90" s="3"/>
      <c r="AJ90" s="3"/>
      <c r="AK90" s="3"/>
      <c r="AL90" s="8"/>
      <c r="AM90" s="8"/>
      <c r="AN90" s="3"/>
      <c r="AO90" s="3"/>
      <c r="AP90" s="3"/>
      <c r="AQ90" s="3"/>
      <c r="AR90" s="3"/>
      <c r="AS90" s="8"/>
      <c r="AT90" s="8"/>
      <c r="AU90" s="3"/>
      <c r="AV90" s="3"/>
      <c r="AW90" s="3"/>
      <c r="AX90" s="3"/>
      <c r="AY90" s="3"/>
      <c r="AZ90" s="8"/>
      <c r="BA90" s="12"/>
      <c r="BB90" s="58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4"/>
      <c r="X91" s="8"/>
      <c r="Y91" s="8"/>
      <c r="Z91" s="3"/>
      <c r="AA91" s="3"/>
      <c r="AB91" s="3"/>
      <c r="AC91" s="3"/>
      <c r="AD91" s="3"/>
      <c r="AE91" s="8"/>
      <c r="AF91" s="8"/>
      <c r="AG91" s="3"/>
      <c r="AH91" s="3"/>
      <c r="AI91" s="3"/>
      <c r="AJ91" s="3"/>
      <c r="AK91" s="3"/>
      <c r="AL91" s="8"/>
      <c r="AM91" s="8"/>
      <c r="AN91" s="3"/>
      <c r="AO91" s="3"/>
      <c r="AP91" s="3"/>
      <c r="AQ91" s="3"/>
      <c r="AR91" s="3"/>
      <c r="AS91" s="8"/>
      <c r="AT91" s="8"/>
      <c r="AU91" s="3"/>
      <c r="AV91" s="3"/>
      <c r="AW91" s="3"/>
      <c r="AX91" s="3"/>
      <c r="AY91" s="3"/>
      <c r="AZ91" s="8"/>
      <c r="BA91" s="12"/>
      <c r="BB91" s="59"/>
      <c r="BC91" s="59"/>
      <c r="GP91" s="54"/>
      <c r="GQ91" s="54"/>
    </row>
    <row r="92" spans="1:199" ht="15" hidden="1" customHeight="1" x14ac:dyDescent="0.25">
      <c r="A92" s="97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4"/>
      <c r="X92" s="8"/>
      <c r="Y92" s="8"/>
      <c r="Z92" s="3"/>
      <c r="AA92" s="3"/>
      <c r="AB92" s="3"/>
      <c r="AC92" s="3"/>
      <c r="AD92" s="3"/>
      <c r="AE92" s="8"/>
      <c r="AF92" s="8"/>
      <c r="AG92" s="3"/>
      <c r="AH92" s="3"/>
      <c r="AI92" s="3"/>
      <c r="AJ92" s="3"/>
      <c r="AK92" s="3"/>
      <c r="AL92" s="8"/>
      <c r="AM92" s="8"/>
      <c r="AN92" s="3"/>
      <c r="AO92" s="3"/>
      <c r="AP92" s="3"/>
      <c r="AQ92" s="3"/>
      <c r="AR92" s="3"/>
      <c r="AS92" s="8"/>
      <c r="AT92" s="8"/>
      <c r="AU92" s="3"/>
      <c r="AV92" s="3"/>
      <c r="AW92" s="3"/>
      <c r="AX92" s="3"/>
      <c r="AY92" s="3"/>
      <c r="AZ92" s="8"/>
      <c r="BA92" s="12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GP92" s="54"/>
      <c r="GQ92" s="54"/>
    </row>
    <row r="93" spans="1:199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4"/>
      <c r="X93" s="8"/>
      <c r="Y93" s="8"/>
      <c r="Z93" s="3"/>
      <c r="AA93" s="3"/>
      <c r="AB93" s="3"/>
      <c r="AC93" s="3"/>
      <c r="AD93" s="3"/>
      <c r="AE93" s="8"/>
      <c r="AF93" s="8"/>
      <c r="AG93" s="3"/>
      <c r="AH93" s="3"/>
      <c r="AI93" s="3"/>
      <c r="AJ93" s="3"/>
      <c r="AK93" s="3"/>
      <c r="AL93" s="8"/>
      <c r="AM93" s="8"/>
      <c r="AN93" s="3"/>
      <c r="AO93" s="3"/>
      <c r="AP93" s="3"/>
      <c r="AQ93" s="3"/>
      <c r="AR93" s="3"/>
      <c r="AS93" s="8"/>
      <c r="AT93" s="8"/>
      <c r="AU93" s="3"/>
      <c r="AV93" s="3"/>
      <c r="AW93" s="3"/>
      <c r="AX93" s="3"/>
      <c r="AY93" s="3"/>
      <c r="AZ93" s="8"/>
      <c r="BA93" s="12"/>
      <c r="BB93" s="106"/>
      <c r="BC93" s="59"/>
      <c r="GP93" s="54"/>
      <c r="GQ93" s="54"/>
    </row>
    <row r="94" spans="1:199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4"/>
      <c r="X94" s="8"/>
      <c r="Y94" s="8"/>
      <c r="Z94" s="3"/>
      <c r="AA94" s="3"/>
      <c r="AB94" s="3"/>
      <c r="AC94" s="3"/>
      <c r="AD94" s="3"/>
      <c r="AE94" s="8"/>
      <c r="AF94" s="8"/>
      <c r="AG94" s="3"/>
      <c r="AH94" s="3"/>
      <c r="AI94" s="3"/>
      <c r="AJ94" s="3"/>
      <c r="AK94" s="3"/>
      <c r="AL94" s="8"/>
      <c r="AM94" s="8"/>
      <c r="AN94" s="3"/>
      <c r="AO94" s="3"/>
      <c r="AP94" s="3"/>
      <c r="AQ94" s="3"/>
      <c r="AR94" s="3"/>
      <c r="AS94" s="8"/>
      <c r="AT94" s="8"/>
      <c r="AU94" s="3"/>
      <c r="AV94" s="3"/>
      <c r="AW94" s="3"/>
      <c r="AX94" s="3"/>
      <c r="AY94" s="3"/>
      <c r="AZ94" s="8"/>
      <c r="BA94" s="12"/>
      <c r="BB94" s="59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4"/>
      <c r="X95" s="8"/>
      <c r="Y95" s="8"/>
      <c r="Z95" s="3"/>
      <c r="AA95" s="3"/>
      <c r="AB95" s="3"/>
      <c r="AC95" s="3"/>
      <c r="AD95" s="3"/>
      <c r="AE95" s="8"/>
      <c r="AF95" s="8"/>
      <c r="AG95" s="3"/>
      <c r="AH95" s="3"/>
      <c r="AI95" s="3"/>
      <c r="AJ95" s="3"/>
      <c r="AK95" s="3"/>
      <c r="AL95" s="8"/>
      <c r="AM95" s="8"/>
      <c r="AN95" s="3"/>
      <c r="AO95" s="3"/>
      <c r="AP95" s="3"/>
      <c r="AQ95" s="3"/>
      <c r="AR95" s="3"/>
      <c r="AS95" s="8"/>
      <c r="AT95" s="8"/>
      <c r="AU95" s="3"/>
      <c r="AV95" s="3"/>
      <c r="AW95" s="3"/>
      <c r="AX95" s="3"/>
      <c r="AY95" s="3"/>
      <c r="AZ95" s="8"/>
      <c r="BA95" s="12"/>
      <c r="BB95" s="59"/>
      <c r="BC95" s="59"/>
      <c r="GP95" s="54"/>
      <c r="GQ95" s="54"/>
    </row>
    <row r="96" spans="1:199" ht="15" hidden="1" customHeight="1" x14ac:dyDescent="0.25">
      <c r="A96" s="102">
        <v>85</v>
      </c>
      <c r="B96" s="103"/>
      <c r="C96" s="104"/>
      <c r="D96" s="2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4"/>
      <c r="X96" s="8"/>
      <c r="Y96" s="8"/>
      <c r="Z96" s="3"/>
      <c r="AA96" s="3"/>
      <c r="AB96" s="3"/>
      <c r="AC96" s="3"/>
      <c r="AD96" s="3"/>
      <c r="AE96" s="8"/>
      <c r="AF96" s="8"/>
      <c r="AG96" s="3"/>
      <c r="AH96" s="3"/>
      <c r="AI96" s="3"/>
      <c r="AJ96" s="3"/>
      <c r="AK96" s="3"/>
      <c r="AL96" s="8"/>
      <c r="AM96" s="8"/>
      <c r="AN96" s="3"/>
      <c r="AO96" s="3"/>
      <c r="AP96" s="3"/>
      <c r="AQ96" s="3"/>
      <c r="AR96" s="3"/>
      <c r="AS96" s="8"/>
      <c r="AT96" s="8"/>
      <c r="AU96" s="3"/>
      <c r="AV96" s="3"/>
      <c r="AW96" s="3"/>
      <c r="AX96" s="3"/>
      <c r="AY96" s="3"/>
      <c r="AZ96" s="8"/>
      <c r="BA96" s="12"/>
      <c r="BB96" s="59"/>
      <c r="BC96" s="59"/>
      <c r="GP96" s="54"/>
      <c r="GQ96" s="54"/>
    </row>
    <row r="97" spans="1:199" ht="15" hidden="1" customHeight="1" x14ac:dyDescent="0.25">
      <c r="A97" s="97">
        <v>86</v>
      </c>
      <c r="B97" s="103"/>
      <c r="C97" s="104"/>
      <c r="D97" s="1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4"/>
      <c r="X97" s="8"/>
      <c r="Y97" s="8"/>
      <c r="Z97" s="3"/>
      <c r="AA97" s="3"/>
      <c r="AB97" s="3"/>
      <c r="AC97" s="3"/>
      <c r="AD97" s="3"/>
      <c r="AE97" s="8"/>
      <c r="AF97" s="8"/>
      <c r="AG97" s="3"/>
      <c r="AH97" s="3"/>
      <c r="AI97" s="3"/>
      <c r="AJ97" s="3"/>
      <c r="AK97" s="3"/>
      <c r="AL97" s="8"/>
      <c r="AM97" s="8"/>
      <c r="AN97" s="3"/>
      <c r="AO97" s="3"/>
      <c r="AP97" s="3"/>
      <c r="AQ97" s="3"/>
      <c r="AR97" s="3"/>
      <c r="AS97" s="8"/>
      <c r="AT97" s="8"/>
      <c r="AU97" s="3"/>
      <c r="AV97" s="3"/>
      <c r="AW97" s="3"/>
      <c r="AX97" s="3"/>
      <c r="AY97" s="3"/>
      <c r="AZ97" s="8"/>
      <c r="BA97" s="12"/>
      <c r="BB97" s="59"/>
      <c r="BC97" s="59"/>
      <c r="GP97" s="54"/>
      <c r="GQ97" s="54"/>
    </row>
    <row r="98" spans="1:199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4"/>
      <c r="X98" s="8"/>
      <c r="Y98" s="8"/>
      <c r="Z98" s="3"/>
      <c r="AA98" s="3"/>
      <c r="AB98" s="3"/>
      <c r="AC98" s="3"/>
      <c r="AD98" s="3"/>
      <c r="AE98" s="8"/>
      <c r="AF98" s="8"/>
      <c r="AG98" s="3"/>
      <c r="AH98" s="3"/>
      <c r="AI98" s="3"/>
      <c r="AJ98" s="3"/>
      <c r="AK98" s="3"/>
      <c r="AL98" s="8"/>
      <c r="AM98" s="8"/>
      <c r="AN98" s="3"/>
      <c r="AO98" s="3"/>
      <c r="AP98" s="3"/>
      <c r="AQ98" s="3"/>
      <c r="AR98" s="3"/>
      <c r="AS98" s="8"/>
      <c r="AT98" s="8"/>
      <c r="AU98" s="3"/>
      <c r="AV98" s="3"/>
      <c r="AW98" s="3"/>
      <c r="AX98" s="3"/>
      <c r="AY98" s="3"/>
      <c r="AZ98" s="8"/>
      <c r="BA98" s="12"/>
      <c r="BB98" s="59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4"/>
      <c r="X99" s="8"/>
      <c r="Y99" s="8"/>
      <c r="Z99" s="3"/>
      <c r="AA99" s="3"/>
      <c r="AB99" s="3"/>
      <c r="AC99" s="3"/>
      <c r="AD99" s="3"/>
      <c r="AE99" s="8"/>
      <c r="AF99" s="8"/>
      <c r="AG99" s="3"/>
      <c r="AH99" s="3"/>
      <c r="AI99" s="3"/>
      <c r="AJ99" s="3"/>
      <c r="AK99" s="3"/>
      <c r="AL99" s="8"/>
      <c r="AM99" s="8"/>
      <c r="AN99" s="3"/>
      <c r="AO99" s="3"/>
      <c r="AP99" s="3"/>
      <c r="AQ99" s="3"/>
      <c r="AR99" s="3"/>
      <c r="AS99" s="8"/>
      <c r="AT99" s="8"/>
      <c r="AU99" s="3"/>
      <c r="AV99" s="3"/>
      <c r="AW99" s="3"/>
      <c r="AX99" s="3"/>
      <c r="AY99" s="3"/>
      <c r="AZ99" s="8"/>
      <c r="BA99" s="12"/>
      <c r="BB99" s="59"/>
      <c r="BC99" s="59"/>
      <c r="GP99" s="54"/>
      <c r="GQ99" s="54"/>
    </row>
    <row r="100" spans="1:199" ht="15" hidden="1" customHeight="1" x14ac:dyDescent="0.25">
      <c r="A100" s="97">
        <v>89</v>
      </c>
      <c r="B100" s="103"/>
      <c r="C100" s="104"/>
      <c r="D100" s="1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4"/>
      <c r="X100" s="8"/>
      <c r="Y100" s="8"/>
      <c r="Z100" s="3"/>
      <c r="AA100" s="3"/>
      <c r="AB100" s="3"/>
      <c r="AC100" s="3"/>
      <c r="AD100" s="3"/>
      <c r="AE100" s="8"/>
      <c r="AF100" s="8"/>
      <c r="AG100" s="3"/>
      <c r="AH100" s="3"/>
      <c r="AI100" s="3"/>
      <c r="AJ100" s="3"/>
      <c r="AK100" s="3"/>
      <c r="AL100" s="8"/>
      <c r="AM100" s="8"/>
      <c r="AN100" s="3"/>
      <c r="AO100" s="3"/>
      <c r="AP100" s="3"/>
      <c r="AQ100" s="3"/>
      <c r="AR100" s="3"/>
      <c r="AS100" s="8"/>
      <c r="AT100" s="8"/>
      <c r="AU100" s="3"/>
      <c r="AV100" s="3"/>
      <c r="AW100" s="3"/>
      <c r="AX100" s="3"/>
      <c r="AY100" s="3"/>
      <c r="AZ100" s="8"/>
      <c r="BA100" s="12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4"/>
      <c r="X101" s="8"/>
      <c r="Y101" s="8"/>
      <c r="Z101" s="3"/>
      <c r="AA101" s="3"/>
      <c r="AB101" s="3"/>
      <c r="AC101" s="3"/>
      <c r="AD101" s="3"/>
      <c r="AE101" s="8"/>
      <c r="AF101" s="8"/>
      <c r="AG101" s="3"/>
      <c r="AH101" s="3"/>
      <c r="AI101" s="3"/>
      <c r="AJ101" s="3"/>
      <c r="AK101" s="3"/>
      <c r="AL101" s="8"/>
      <c r="AM101" s="8"/>
      <c r="AN101" s="3"/>
      <c r="AO101" s="3"/>
      <c r="AP101" s="3"/>
      <c r="AQ101" s="3"/>
      <c r="AR101" s="3"/>
      <c r="AS101" s="8"/>
      <c r="AT101" s="8"/>
      <c r="AU101" s="3"/>
      <c r="AV101" s="3"/>
      <c r="AW101" s="3"/>
      <c r="AX101" s="3"/>
      <c r="AY101" s="3"/>
      <c r="AZ101" s="8"/>
      <c r="BA101" s="12"/>
      <c r="BB101" s="59"/>
      <c r="BC101" s="59"/>
      <c r="GP101" s="54"/>
      <c r="GQ101" s="54"/>
    </row>
    <row r="102" spans="1:199" ht="15" hidden="1" customHeight="1" x14ac:dyDescent="0.25">
      <c r="A102" s="102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4"/>
      <c r="X102" s="8"/>
      <c r="Y102" s="8"/>
      <c r="Z102" s="3"/>
      <c r="AA102" s="3"/>
      <c r="AB102" s="3"/>
      <c r="AC102" s="3"/>
      <c r="AD102" s="3"/>
      <c r="AE102" s="8"/>
      <c r="AF102" s="8"/>
      <c r="AG102" s="3"/>
      <c r="AH102" s="3"/>
      <c r="AI102" s="3"/>
      <c r="AJ102" s="3"/>
      <c r="AK102" s="3"/>
      <c r="AL102" s="8"/>
      <c r="AM102" s="8"/>
      <c r="AN102" s="3"/>
      <c r="AO102" s="3"/>
      <c r="AP102" s="3"/>
      <c r="AQ102" s="3"/>
      <c r="AR102" s="3"/>
      <c r="AS102" s="8"/>
      <c r="AT102" s="8"/>
      <c r="AU102" s="3"/>
      <c r="AV102" s="3"/>
      <c r="AW102" s="3"/>
      <c r="AX102" s="3"/>
      <c r="AY102" s="3"/>
      <c r="AZ102" s="8"/>
      <c r="BA102" s="12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4"/>
      <c r="X103" s="8"/>
      <c r="Y103" s="8"/>
      <c r="Z103" s="3"/>
      <c r="AA103" s="3"/>
      <c r="AB103" s="3"/>
      <c r="AC103" s="3"/>
      <c r="AD103" s="3"/>
      <c r="AE103" s="8"/>
      <c r="AF103" s="8"/>
      <c r="AG103" s="3"/>
      <c r="AH103" s="3"/>
      <c r="AI103" s="3"/>
      <c r="AJ103" s="3"/>
      <c r="AK103" s="3"/>
      <c r="AL103" s="8"/>
      <c r="AM103" s="8"/>
      <c r="AN103" s="3"/>
      <c r="AO103" s="3"/>
      <c r="AP103" s="3"/>
      <c r="AQ103" s="3"/>
      <c r="AR103" s="3"/>
      <c r="AS103" s="8"/>
      <c r="AT103" s="8"/>
      <c r="AU103" s="3"/>
      <c r="AV103" s="3"/>
      <c r="AW103" s="3"/>
      <c r="AX103" s="3"/>
      <c r="AY103" s="3"/>
      <c r="AZ103" s="8"/>
      <c r="BA103" s="12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4"/>
      <c r="X104" s="8"/>
      <c r="Y104" s="8"/>
      <c r="Z104" s="3"/>
      <c r="AA104" s="3"/>
      <c r="AB104" s="3"/>
      <c r="AC104" s="3"/>
      <c r="AD104" s="3"/>
      <c r="AE104" s="8"/>
      <c r="AF104" s="8"/>
      <c r="AG104" s="3"/>
      <c r="AH104" s="3"/>
      <c r="AI104" s="3"/>
      <c r="AJ104" s="3"/>
      <c r="AK104" s="3"/>
      <c r="AL104" s="8"/>
      <c r="AM104" s="8"/>
      <c r="AN104" s="3"/>
      <c r="AO104" s="3"/>
      <c r="AP104" s="3"/>
      <c r="AQ104" s="3"/>
      <c r="AR104" s="3"/>
      <c r="AS104" s="8"/>
      <c r="AT104" s="8"/>
      <c r="AU104" s="3"/>
      <c r="AV104" s="3"/>
      <c r="AW104" s="3"/>
      <c r="AX104" s="3"/>
      <c r="AY104" s="3"/>
      <c r="AZ104" s="8"/>
      <c r="BA104" s="12"/>
      <c r="BB104" s="59"/>
      <c r="BC104" s="59"/>
      <c r="GP104" s="54"/>
      <c r="GQ104" s="54"/>
    </row>
    <row r="105" spans="1:199" ht="15" hidden="1" customHeight="1" x14ac:dyDescent="0.25">
      <c r="A105" s="97">
        <v>94</v>
      </c>
      <c r="B105" s="103"/>
      <c r="C105" s="104"/>
      <c r="D105" s="2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4"/>
      <c r="X105" s="8"/>
      <c r="Y105" s="8"/>
      <c r="Z105" s="3"/>
      <c r="AA105" s="3"/>
      <c r="AB105" s="3"/>
      <c r="AC105" s="3"/>
      <c r="AD105" s="3"/>
      <c r="AE105" s="8"/>
      <c r="AF105" s="8"/>
      <c r="AG105" s="3"/>
      <c r="AH105" s="3"/>
      <c r="AI105" s="3"/>
      <c r="AJ105" s="3"/>
      <c r="AK105" s="3"/>
      <c r="AL105" s="8"/>
      <c r="AM105" s="8"/>
      <c r="AN105" s="3"/>
      <c r="AO105" s="3"/>
      <c r="AP105" s="3"/>
      <c r="AQ105" s="3"/>
      <c r="AR105" s="3"/>
      <c r="AS105" s="8"/>
      <c r="AT105" s="8"/>
      <c r="AU105" s="3"/>
      <c r="AV105" s="3"/>
      <c r="AW105" s="3"/>
      <c r="AX105" s="3"/>
      <c r="AY105" s="3"/>
      <c r="AZ105" s="8"/>
      <c r="BA105" s="12"/>
      <c r="BB105" s="59"/>
      <c r="BC105" s="59"/>
      <c r="GP105" s="54"/>
      <c r="GQ105" s="54"/>
    </row>
    <row r="106" spans="1:199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4"/>
      <c r="X106" s="8"/>
      <c r="Y106" s="8"/>
      <c r="Z106" s="3"/>
      <c r="AA106" s="3"/>
      <c r="AB106" s="3"/>
      <c r="AC106" s="3"/>
      <c r="AD106" s="3"/>
      <c r="AE106" s="8"/>
      <c r="AF106" s="8"/>
      <c r="AG106" s="3"/>
      <c r="AH106" s="3"/>
      <c r="AI106" s="3"/>
      <c r="AJ106" s="3"/>
      <c r="AK106" s="3"/>
      <c r="AL106" s="8"/>
      <c r="AM106" s="8"/>
      <c r="AN106" s="3"/>
      <c r="AO106" s="3"/>
      <c r="AP106" s="3"/>
      <c r="AQ106" s="3"/>
      <c r="AR106" s="3"/>
      <c r="AS106" s="8"/>
      <c r="AT106" s="8"/>
      <c r="AU106" s="3"/>
      <c r="AV106" s="3"/>
      <c r="AW106" s="3"/>
      <c r="AX106" s="3"/>
      <c r="AY106" s="3"/>
      <c r="AZ106" s="8"/>
      <c r="BA106" s="12"/>
      <c r="BB106" s="59"/>
      <c r="BC106" s="59"/>
      <c r="GP106" s="54"/>
      <c r="GQ106" s="54"/>
    </row>
    <row r="107" spans="1:199" ht="15" hidden="1" customHeight="1" x14ac:dyDescent="0.25">
      <c r="A107" s="102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4"/>
      <c r="X107" s="8"/>
      <c r="Y107" s="8"/>
      <c r="Z107" s="3"/>
      <c r="AA107" s="3"/>
      <c r="AB107" s="3"/>
      <c r="AC107" s="3"/>
      <c r="AD107" s="3"/>
      <c r="AE107" s="8"/>
      <c r="AF107" s="8"/>
      <c r="AG107" s="3"/>
      <c r="AH107" s="3"/>
      <c r="AI107" s="3"/>
      <c r="AJ107" s="3"/>
      <c r="AK107" s="3"/>
      <c r="AL107" s="8"/>
      <c r="AM107" s="8"/>
      <c r="AN107" s="3"/>
      <c r="AO107" s="3"/>
      <c r="AP107" s="3"/>
      <c r="AQ107" s="3"/>
      <c r="AR107" s="3"/>
      <c r="AS107" s="8"/>
      <c r="AT107" s="8"/>
      <c r="AU107" s="3"/>
      <c r="AV107" s="3"/>
      <c r="AW107" s="3"/>
      <c r="AX107" s="3"/>
      <c r="AY107" s="3"/>
      <c r="AZ107" s="8"/>
      <c r="BA107" s="12"/>
      <c r="BB107" s="59"/>
      <c r="BC107" s="59"/>
      <c r="GP107" s="54"/>
      <c r="GQ107" s="54"/>
    </row>
    <row r="108" spans="1:199" ht="15" hidden="1" customHeight="1" x14ac:dyDescent="0.25">
      <c r="A108" s="97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4"/>
      <c r="X108" s="8"/>
      <c r="Y108" s="8"/>
      <c r="Z108" s="3"/>
      <c r="AA108" s="3"/>
      <c r="AB108" s="3"/>
      <c r="AC108" s="3"/>
      <c r="AD108" s="3"/>
      <c r="AE108" s="8"/>
      <c r="AF108" s="8"/>
      <c r="AG108" s="3"/>
      <c r="AH108" s="3"/>
      <c r="AI108" s="3"/>
      <c r="AJ108" s="3"/>
      <c r="AK108" s="3"/>
      <c r="AL108" s="8"/>
      <c r="AM108" s="8"/>
      <c r="AN108" s="3"/>
      <c r="AO108" s="3"/>
      <c r="AP108" s="3"/>
      <c r="AQ108" s="3"/>
      <c r="AR108" s="3"/>
      <c r="AS108" s="8"/>
      <c r="AT108" s="8"/>
      <c r="AU108" s="3"/>
      <c r="AV108" s="3"/>
      <c r="AW108" s="3"/>
      <c r="AX108" s="3"/>
      <c r="AY108" s="3"/>
      <c r="AZ108" s="8"/>
      <c r="BA108" s="12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4"/>
      <c r="X109" s="8"/>
      <c r="Y109" s="8"/>
      <c r="Z109" s="3"/>
      <c r="AA109" s="3"/>
      <c r="AB109" s="3"/>
      <c r="AC109" s="3"/>
      <c r="AD109" s="3"/>
      <c r="AE109" s="8"/>
      <c r="AF109" s="8"/>
      <c r="AG109" s="3"/>
      <c r="AH109" s="3"/>
      <c r="AI109" s="3"/>
      <c r="AJ109" s="3"/>
      <c r="AK109" s="3"/>
      <c r="AL109" s="8"/>
      <c r="AM109" s="8"/>
      <c r="AN109" s="3"/>
      <c r="AO109" s="3"/>
      <c r="AP109" s="3"/>
      <c r="AQ109" s="3"/>
      <c r="AR109" s="3"/>
      <c r="AS109" s="8"/>
      <c r="AT109" s="8"/>
      <c r="AU109" s="3"/>
      <c r="AV109" s="3"/>
      <c r="AW109" s="3"/>
      <c r="AX109" s="3"/>
      <c r="AY109" s="3"/>
      <c r="AZ109" s="8"/>
      <c r="BA109" s="12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4"/>
      <c r="X110" s="8"/>
      <c r="Y110" s="8"/>
      <c r="Z110" s="3"/>
      <c r="AA110" s="3"/>
      <c r="AB110" s="3"/>
      <c r="AC110" s="3"/>
      <c r="AD110" s="3"/>
      <c r="AE110" s="8"/>
      <c r="AF110" s="8"/>
      <c r="AG110" s="3"/>
      <c r="AH110" s="3"/>
      <c r="AI110" s="3"/>
      <c r="AJ110" s="3"/>
      <c r="AK110" s="3"/>
      <c r="AL110" s="8"/>
      <c r="AM110" s="8"/>
      <c r="AN110" s="3"/>
      <c r="AO110" s="3"/>
      <c r="AP110" s="3"/>
      <c r="AQ110" s="3"/>
      <c r="AR110" s="3"/>
      <c r="AS110" s="8"/>
      <c r="AT110" s="8"/>
      <c r="AU110" s="3"/>
      <c r="AV110" s="3"/>
      <c r="AW110" s="3"/>
      <c r="AX110" s="3"/>
      <c r="AY110" s="3"/>
      <c r="AZ110" s="8"/>
      <c r="BA110" s="12"/>
      <c r="BB110" s="59"/>
      <c r="BC110" s="59"/>
      <c r="GP110" s="54"/>
      <c r="GQ110" s="54"/>
    </row>
    <row r="111" spans="1:199" ht="15" hidden="1" customHeight="1" thickBot="1" x14ac:dyDescent="0.3">
      <c r="A111" s="102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4"/>
      <c r="X111" s="8"/>
      <c r="Y111" s="8"/>
      <c r="Z111" s="3"/>
      <c r="AA111" s="3"/>
      <c r="AB111" s="3"/>
      <c r="AC111" s="3"/>
      <c r="AD111" s="3"/>
      <c r="AE111" s="8"/>
      <c r="AF111" s="8"/>
      <c r="AG111" s="3"/>
      <c r="AH111" s="3"/>
      <c r="AI111" s="3"/>
      <c r="AJ111" s="3"/>
      <c r="AK111" s="3"/>
      <c r="AL111" s="8"/>
      <c r="AM111" s="8"/>
      <c r="AN111" s="3"/>
      <c r="AO111" s="3"/>
      <c r="AP111" s="3"/>
      <c r="AQ111" s="3"/>
      <c r="AR111" s="3"/>
      <c r="AS111" s="8"/>
      <c r="AT111" s="8"/>
      <c r="AU111" s="3"/>
      <c r="AV111" s="3"/>
      <c r="AW111" s="3"/>
      <c r="AX111" s="3"/>
      <c r="AY111" s="3"/>
      <c r="AZ111" s="8"/>
      <c r="BA111" s="12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31" priority="2" operator="lessThan">
      <formula>2</formula>
    </cfRule>
  </conditionalFormatting>
  <conditionalFormatting sqref="I12:I111">
    <cfRule type="cellIs" dxfId="30" priority="1" operator="lessThan">
      <formula>10</formula>
    </cfRule>
  </conditionalFormatting>
  <conditionalFormatting sqref="J12:J111">
    <cfRule type="cellIs" dxfId="29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1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30044EB5-1B5D-4804-AF41-2CAD1A8BF2B5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P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2" width="4.88671875" style="120" customWidth="1"/>
    <col min="53" max="53" width="3" style="121" customWidth="1"/>
    <col min="54" max="54" width="33.88671875" style="54" customWidth="1"/>
    <col min="55" max="55" width="11.44140625" style="58"/>
    <col min="56" max="56" width="7.88671875" style="58" customWidth="1"/>
    <col min="57" max="57" width="6.109375" style="58" customWidth="1"/>
    <col min="58" max="58" width="4.88671875" style="58" customWidth="1"/>
    <col min="59" max="59" width="5.88671875" style="58" customWidth="1"/>
    <col min="60" max="60" width="6.109375" style="58" customWidth="1"/>
    <col min="61" max="61" width="5.88671875" style="58" customWidth="1"/>
    <col min="62" max="62" width="5.109375" style="58" customWidth="1"/>
    <col min="63" max="63" width="6.44140625" style="58" customWidth="1"/>
    <col min="64" max="64" width="5.44140625" style="58" customWidth="1"/>
    <col min="65" max="65" width="6.109375" style="58" customWidth="1"/>
    <col min="66" max="198" width="11.44140625" style="58"/>
    <col min="199" max="16384" width="11.44140625" style="54"/>
  </cols>
  <sheetData>
    <row r="1" spans="1:198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15"/>
      <c r="BB1" s="58"/>
      <c r="BD1" s="59"/>
    </row>
    <row r="2" spans="1:198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17"/>
      <c r="BB2" s="61"/>
      <c r="BC2" s="61"/>
      <c r="BD2" s="62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</row>
    <row r="3" spans="1:198" s="63" customFormat="1" ht="16.8" thickTop="1" thickBot="1" x14ac:dyDescent="0.35">
      <c r="A3" s="64" t="s">
        <v>34</v>
      </c>
      <c r="B3" s="65"/>
      <c r="C3" s="122">
        <v>46174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17"/>
      <c r="BB3" s="61"/>
      <c r="BC3" s="61"/>
      <c r="BD3" s="62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</row>
    <row r="4" spans="1:198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17"/>
      <c r="BB4" s="61"/>
      <c r="BC4" s="61"/>
      <c r="BD4" s="62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</row>
    <row r="5" spans="1:198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17"/>
      <c r="BB5" s="61"/>
      <c r="BC5" s="61"/>
      <c r="BD5" s="62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</row>
    <row r="6" spans="1:198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17"/>
      <c r="BB6" s="61"/>
      <c r="BC6" s="61"/>
      <c r="BD6" s="62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</row>
    <row r="7" spans="1:198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7"/>
      <c r="BB7" s="61"/>
      <c r="BC7" s="61"/>
      <c r="BD7" s="62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</row>
    <row r="8" spans="1:198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7"/>
      <c r="BB8" s="61"/>
      <c r="BC8" s="61"/>
      <c r="BD8" s="62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</row>
    <row r="9" spans="1:198" s="63" customFormat="1" ht="16.8" thickTop="1" thickBot="1" x14ac:dyDescent="0.35">
      <c r="A9" s="83" t="s">
        <v>78</v>
      </c>
      <c r="B9" s="84"/>
      <c r="C9" s="85" t="str">
        <f>Jahresübersicht!E14</f>
        <v>-</v>
      </c>
      <c r="D9" s="13"/>
      <c r="E9" s="13"/>
      <c r="F9" s="13"/>
      <c r="G9" s="13"/>
      <c r="H9" s="13"/>
      <c r="I9" s="13"/>
      <c r="J9" s="13"/>
      <c r="K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7"/>
      <c r="BB9" s="61"/>
      <c r="BC9" s="61"/>
      <c r="BD9" s="62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</row>
    <row r="10" spans="1:198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7"/>
      <c r="BB10" s="61"/>
      <c r="BC10" s="61"/>
      <c r="BD10" s="62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</row>
    <row r="11" spans="1:198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59"/>
      <c r="BB11" s="96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GO11" s="54"/>
      <c r="GP11" s="54"/>
    </row>
    <row r="12" spans="1:198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>(IF(O12="hT",4,0))+(IF(P12="hT",4,0))+(IF(Q12="hT",4,0))+(IF(R12="hT",4,0))+(IF(S12="hT",4,0))+T12+(COUNTIF(W12:AZ12,"hT"))</f>
        <v>0</v>
      </c>
      <c r="N12" s="7">
        <f>(IF(O12="x",4,0))+(IF(P12="x",4,0))+(IF(Q12="x",4,0))+(IF(R12="x",4,0))+(IF(S12="x",4,0))+U12+(COUNTIF(W12:AZ12,"x"))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4"/>
      <c r="X12" s="10"/>
      <c r="Y12" s="10"/>
      <c r="Z12" s="10"/>
      <c r="AA12" s="10"/>
      <c r="AB12" s="11"/>
      <c r="AC12" s="11"/>
      <c r="AD12" s="10"/>
      <c r="AE12" s="10"/>
      <c r="AF12" s="10"/>
      <c r="AG12" s="10"/>
      <c r="AH12" s="10"/>
      <c r="AI12" s="11"/>
      <c r="AJ12" s="11"/>
      <c r="AK12" s="10"/>
      <c r="AL12" s="10"/>
      <c r="AM12" s="10"/>
      <c r="AN12" s="10"/>
      <c r="AO12" s="10"/>
      <c r="AP12" s="11"/>
      <c r="AQ12" s="11"/>
      <c r="AR12" s="10"/>
      <c r="AS12" s="10"/>
      <c r="AT12" s="10"/>
      <c r="AU12" s="10"/>
      <c r="AV12" s="3"/>
      <c r="AW12" s="11"/>
      <c r="AX12" s="11"/>
      <c r="AY12" s="10"/>
      <c r="AZ12" s="130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GO12" s="54"/>
      <c r="GP12" s="54"/>
    </row>
    <row r="13" spans="1:198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2">IF(ISBLANK(E13),"",E13*10)</f>
        <v/>
      </c>
      <c r="H13" s="100" t="str">
        <f t="shared" ref="H13:H111" si="3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4">IF(M13=E13,"","X")</f>
        <v/>
      </c>
      <c r="L13" s="6" t="str">
        <f t="shared" si="4"/>
        <v/>
      </c>
      <c r="M13" s="6">
        <f t="shared" ref="M13:M76" si="5">(IF(O13="hT",4,0))+(IF(P13="hT",4,0))+(IF(Q13="hT",4,0))+(IF(R13="hT",4,0))+(IF(S13="hT",4,0))+T13+(COUNTIF(W13:AZ13,"hT"))</f>
        <v>0</v>
      </c>
      <c r="N13" s="7">
        <f t="shared" ref="N13:N76" si="6">(IF(O13="x",4,0))+(IF(P13="x",4,0))+(IF(Q13="x",4,0))+(IF(R13="x",4,0))+(IF(S13="x",4,0))+U13+(COUNTIF(W13:AZ13,"x"))</f>
        <v>0</v>
      </c>
      <c r="O13" s="4"/>
      <c r="P13" s="3"/>
      <c r="Q13" s="3"/>
      <c r="R13" s="3"/>
      <c r="S13" s="3"/>
      <c r="T13" s="3"/>
      <c r="U13" s="5"/>
      <c r="V13" s="125"/>
      <c r="W13" s="4"/>
      <c r="X13" s="3"/>
      <c r="Y13" s="3"/>
      <c r="Z13" s="3"/>
      <c r="AA13" s="3"/>
      <c r="AB13" s="8"/>
      <c r="AC13" s="8"/>
      <c r="AD13" s="3"/>
      <c r="AE13" s="3"/>
      <c r="AF13" s="3"/>
      <c r="AG13" s="3"/>
      <c r="AH13" s="3"/>
      <c r="AI13" s="8"/>
      <c r="AJ13" s="8"/>
      <c r="AK13" s="3"/>
      <c r="AL13" s="3"/>
      <c r="AM13" s="3"/>
      <c r="AN13" s="3"/>
      <c r="AO13" s="3"/>
      <c r="AP13" s="8"/>
      <c r="AQ13" s="8"/>
      <c r="AR13" s="3"/>
      <c r="AS13" s="3"/>
      <c r="AT13" s="3"/>
      <c r="AU13" s="3"/>
      <c r="AV13" s="3"/>
      <c r="AW13" s="8"/>
      <c r="AX13" s="8"/>
      <c r="AY13" s="3"/>
      <c r="AZ13" s="130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GO13" s="54"/>
      <c r="GP13" s="54"/>
    </row>
    <row r="14" spans="1:198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2"/>
        <v/>
      </c>
      <c r="H14" s="100" t="str">
        <f t="shared" si="3"/>
        <v/>
      </c>
      <c r="I14" s="101">
        <f t="shared" si="0"/>
        <v>0</v>
      </c>
      <c r="J14" s="100" t="str">
        <f t="shared" si="1"/>
        <v/>
      </c>
      <c r="K14" s="6" t="str">
        <f t="shared" si="4"/>
        <v/>
      </c>
      <c r="L14" s="6" t="str">
        <f t="shared" si="4"/>
        <v/>
      </c>
      <c r="M14" s="6">
        <f t="shared" si="5"/>
        <v>0</v>
      </c>
      <c r="N14" s="7">
        <f t="shared" si="6"/>
        <v>0</v>
      </c>
      <c r="O14" s="4"/>
      <c r="P14" s="3"/>
      <c r="Q14" s="3"/>
      <c r="R14" s="3"/>
      <c r="S14" s="3"/>
      <c r="T14" s="3"/>
      <c r="U14" s="5"/>
      <c r="V14" s="125"/>
      <c r="W14" s="4"/>
      <c r="X14" s="3"/>
      <c r="Y14" s="3"/>
      <c r="Z14" s="3"/>
      <c r="AA14" s="3"/>
      <c r="AB14" s="8"/>
      <c r="AC14" s="8"/>
      <c r="AD14" s="3"/>
      <c r="AE14" s="3"/>
      <c r="AF14" s="3"/>
      <c r="AG14" s="3"/>
      <c r="AH14" s="3"/>
      <c r="AI14" s="8"/>
      <c r="AJ14" s="8"/>
      <c r="AK14" s="3"/>
      <c r="AL14" s="3"/>
      <c r="AM14" s="3"/>
      <c r="AN14" s="3"/>
      <c r="AO14" s="3"/>
      <c r="AP14" s="8"/>
      <c r="AQ14" s="8"/>
      <c r="AR14" s="3"/>
      <c r="AS14" s="3"/>
      <c r="AT14" s="3"/>
      <c r="AU14" s="3"/>
      <c r="AV14" s="3"/>
      <c r="AW14" s="8"/>
      <c r="AX14" s="8"/>
      <c r="AY14" s="3"/>
      <c r="AZ14" s="130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GO14" s="54"/>
      <c r="GP14" s="54"/>
    </row>
    <row r="15" spans="1:198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2"/>
        <v/>
      </c>
      <c r="H15" s="100" t="str">
        <f t="shared" si="3"/>
        <v/>
      </c>
      <c r="I15" s="101">
        <f t="shared" si="0"/>
        <v>0</v>
      </c>
      <c r="J15" s="100" t="str">
        <f t="shared" si="1"/>
        <v/>
      </c>
      <c r="K15" s="6" t="str">
        <f t="shared" si="4"/>
        <v/>
      </c>
      <c r="L15" s="6" t="str">
        <f t="shared" si="4"/>
        <v/>
      </c>
      <c r="M15" s="6">
        <f t="shared" si="5"/>
        <v>0</v>
      </c>
      <c r="N15" s="7">
        <f t="shared" si="6"/>
        <v>0</v>
      </c>
      <c r="O15" s="4"/>
      <c r="P15" s="3"/>
      <c r="Q15" s="3"/>
      <c r="R15" s="3"/>
      <c r="S15" s="3"/>
      <c r="T15" s="3"/>
      <c r="U15" s="5"/>
      <c r="V15" s="125"/>
      <c r="W15" s="4"/>
      <c r="X15" s="3"/>
      <c r="Y15" s="3"/>
      <c r="Z15" s="3"/>
      <c r="AA15" s="3"/>
      <c r="AB15" s="8"/>
      <c r="AC15" s="8"/>
      <c r="AD15" s="3"/>
      <c r="AE15" s="3"/>
      <c r="AF15" s="3"/>
      <c r="AG15" s="3"/>
      <c r="AH15" s="3"/>
      <c r="AI15" s="8"/>
      <c r="AJ15" s="8"/>
      <c r="AK15" s="3"/>
      <c r="AL15" s="3"/>
      <c r="AM15" s="3"/>
      <c r="AN15" s="3"/>
      <c r="AO15" s="3"/>
      <c r="AP15" s="8"/>
      <c r="AQ15" s="8"/>
      <c r="AR15" s="3"/>
      <c r="AS15" s="3"/>
      <c r="AT15" s="3"/>
      <c r="AU15" s="3"/>
      <c r="AV15" s="3"/>
      <c r="AW15" s="8"/>
      <c r="AX15" s="8"/>
      <c r="AY15" s="3"/>
      <c r="AZ15" s="130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GO15" s="54"/>
      <c r="GP15" s="54"/>
    </row>
    <row r="16" spans="1:198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2"/>
        <v/>
      </c>
      <c r="H16" s="100" t="str">
        <f t="shared" si="3"/>
        <v/>
      </c>
      <c r="I16" s="101">
        <f t="shared" si="0"/>
        <v>0</v>
      </c>
      <c r="J16" s="100" t="str">
        <f t="shared" si="1"/>
        <v/>
      </c>
      <c r="K16" s="6" t="str">
        <f t="shared" si="4"/>
        <v/>
      </c>
      <c r="L16" s="6" t="str">
        <f t="shared" si="4"/>
        <v/>
      </c>
      <c r="M16" s="6">
        <f t="shared" si="5"/>
        <v>0</v>
      </c>
      <c r="N16" s="7">
        <f t="shared" si="6"/>
        <v>0</v>
      </c>
      <c r="O16" s="4"/>
      <c r="P16" s="3"/>
      <c r="Q16" s="3"/>
      <c r="R16" s="3"/>
      <c r="S16" s="3"/>
      <c r="T16" s="3"/>
      <c r="U16" s="5"/>
      <c r="V16" s="125"/>
      <c r="W16" s="4"/>
      <c r="X16" s="3"/>
      <c r="Y16" s="3"/>
      <c r="Z16" s="3"/>
      <c r="AA16" s="3"/>
      <c r="AB16" s="8"/>
      <c r="AC16" s="8"/>
      <c r="AD16" s="3"/>
      <c r="AE16" s="3"/>
      <c r="AF16" s="3"/>
      <c r="AG16" s="3"/>
      <c r="AH16" s="3"/>
      <c r="AI16" s="8"/>
      <c r="AJ16" s="8"/>
      <c r="AK16" s="3"/>
      <c r="AL16" s="3"/>
      <c r="AM16" s="3"/>
      <c r="AN16" s="3"/>
      <c r="AO16" s="3"/>
      <c r="AP16" s="8"/>
      <c r="AQ16" s="8"/>
      <c r="AR16" s="3"/>
      <c r="AS16" s="3"/>
      <c r="AT16" s="3"/>
      <c r="AU16" s="3"/>
      <c r="AV16" s="3"/>
      <c r="AW16" s="8"/>
      <c r="AX16" s="8"/>
      <c r="AY16" s="3"/>
      <c r="AZ16" s="130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GO16" s="54"/>
      <c r="GP16" s="54"/>
    </row>
    <row r="17" spans="1:198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2"/>
        <v/>
      </c>
      <c r="H17" s="100" t="str">
        <f t="shared" si="3"/>
        <v/>
      </c>
      <c r="I17" s="101">
        <f t="shared" si="0"/>
        <v>0</v>
      </c>
      <c r="J17" s="100" t="str">
        <f t="shared" si="1"/>
        <v/>
      </c>
      <c r="K17" s="6" t="str">
        <f t="shared" si="4"/>
        <v/>
      </c>
      <c r="L17" s="6" t="str">
        <f t="shared" si="4"/>
        <v/>
      </c>
      <c r="M17" s="6">
        <f t="shared" si="5"/>
        <v>0</v>
      </c>
      <c r="N17" s="7">
        <f t="shared" si="6"/>
        <v>0</v>
      </c>
      <c r="O17" s="4"/>
      <c r="P17" s="3"/>
      <c r="Q17" s="3"/>
      <c r="R17" s="3"/>
      <c r="S17" s="3"/>
      <c r="T17" s="3"/>
      <c r="U17" s="5"/>
      <c r="V17" s="125"/>
      <c r="W17" s="4"/>
      <c r="X17" s="3"/>
      <c r="Y17" s="3"/>
      <c r="Z17" s="3"/>
      <c r="AA17" s="3"/>
      <c r="AB17" s="8"/>
      <c r="AC17" s="8"/>
      <c r="AD17" s="3"/>
      <c r="AE17" s="3"/>
      <c r="AF17" s="3"/>
      <c r="AG17" s="3"/>
      <c r="AH17" s="3"/>
      <c r="AI17" s="8"/>
      <c r="AJ17" s="8"/>
      <c r="AK17" s="3"/>
      <c r="AL17" s="3"/>
      <c r="AM17" s="3"/>
      <c r="AN17" s="3"/>
      <c r="AO17" s="3"/>
      <c r="AP17" s="8"/>
      <c r="AQ17" s="8"/>
      <c r="AR17" s="3"/>
      <c r="AS17" s="3"/>
      <c r="AT17" s="3"/>
      <c r="AU17" s="3"/>
      <c r="AV17" s="3"/>
      <c r="AW17" s="8"/>
      <c r="AX17" s="8"/>
      <c r="AY17" s="3"/>
      <c r="AZ17" s="130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GO17" s="54"/>
      <c r="GP17" s="54"/>
    </row>
    <row r="18" spans="1:198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2"/>
        <v/>
      </c>
      <c r="H18" s="100" t="str">
        <f t="shared" si="3"/>
        <v/>
      </c>
      <c r="I18" s="101">
        <f t="shared" si="0"/>
        <v>0</v>
      </c>
      <c r="J18" s="100" t="str">
        <f t="shared" si="1"/>
        <v/>
      </c>
      <c r="K18" s="6" t="str">
        <f t="shared" si="4"/>
        <v/>
      </c>
      <c r="L18" s="6" t="str">
        <f t="shared" si="4"/>
        <v/>
      </c>
      <c r="M18" s="6">
        <f t="shared" si="5"/>
        <v>0</v>
      </c>
      <c r="N18" s="7">
        <f t="shared" si="6"/>
        <v>0</v>
      </c>
      <c r="O18" s="4"/>
      <c r="P18" s="3"/>
      <c r="Q18" s="3"/>
      <c r="R18" s="3"/>
      <c r="S18" s="3"/>
      <c r="T18" s="3"/>
      <c r="U18" s="5"/>
      <c r="V18" s="125"/>
      <c r="W18" s="4"/>
      <c r="X18" s="3"/>
      <c r="Y18" s="3"/>
      <c r="Z18" s="3"/>
      <c r="AA18" s="3"/>
      <c r="AB18" s="8"/>
      <c r="AC18" s="8"/>
      <c r="AD18" s="3"/>
      <c r="AE18" s="3"/>
      <c r="AF18" s="3"/>
      <c r="AG18" s="3"/>
      <c r="AH18" s="3"/>
      <c r="AI18" s="8"/>
      <c r="AJ18" s="8"/>
      <c r="AK18" s="3"/>
      <c r="AL18" s="3"/>
      <c r="AM18" s="3"/>
      <c r="AN18" s="3"/>
      <c r="AO18" s="3"/>
      <c r="AP18" s="8"/>
      <c r="AQ18" s="8"/>
      <c r="AR18" s="3"/>
      <c r="AS18" s="3"/>
      <c r="AT18" s="3"/>
      <c r="AU18" s="3"/>
      <c r="AV18" s="3"/>
      <c r="AW18" s="8"/>
      <c r="AX18" s="8"/>
      <c r="AY18" s="3"/>
      <c r="AZ18" s="130"/>
      <c r="BA18" s="58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GO18" s="54"/>
      <c r="GP18" s="54"/>
    </row>
    <row r="19" spans="1:198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2"/>
        <v/>
      </c>
      <c r="H19" s="100" t="str">
        <f t="shared" si="3"/>
        <v/>
      </c>
      <c r="I19" s="101">
        <f t="shared" si="0"/>
        <v>0</v>
      </c>
      <c r="J19" s="100" t="str">
        <f t="shared" si="1"/>
        <v/>
      </c>
      <c r="K19" s="6" t="str">
        <f t="shared" si="4"/>
        <v/>
      </c>
      <c r="L19" s="6" t="str">
        <f t="shared" si="4"/>
        <v/>
      </c>
      <c r="M19" s="6">
        <f t="shared" si="5"/>
        <v>0</v>
      </c>
      <c r="N19" s="7">
        <f t="shared" si="6"/>
        <v>0</v>
      </c>
      <c r="O19" s="4"/>
      <c r="P19" s="3"/>
      <c r="Q19" s="3"/>
      <c r="R19" s="3"/>
      <c r="S19" s="3"/>
      <c r="T19" s="3"/>
      <c r="U19" s="5"/>
      <c r="V19" s="125"/>
      <c r="W19" s="4"/>
      <c r="X19" s="3"/>
      <c r="Y19" s="3"/>
      <c r="Z19" s="3"/>
      <c r="AA19" s="3"/>
      <c r="AB19" s="8"/>
      <c r="AC19" s="8"/>
      <c r="AD19" s="3"/>
      <c r="AE19" s="3"/>
      <c r="AF19" s="3"/>
      <c r="AG19" s="3"/>
      <c r="AH19" s="3"/>
      <c r="AI19" s="8"/>
      <c r="AJ19" s="8"/>
      <c r="AK19" s="3"/>
      <c r="AL19" s="3"/>
      <c r="AM19" s="3"/>
      <c r="AN19" s="3"/>
      <c r="AO19" s="3"/>
      <c r="AP19" s="8"/>
      <c r="AQ19" s="8"/>
      <c r="AR19" s="3"/>
      <c r="AS19" s="3"/>
      <c r="AT19" s="3"/>
      <c r="AU19" s="3"/>
      <c r="AV19" s="3"/>
      <c r="AW19" s="8"/>
      <c r="AX19" s="8"/>
      <c r="AY19" s="3"/>
      <c r="AZ19" s="130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GO19" s="54"/>
      <c r="GP19" s="54"/>
    </row>
    <row r="20" spans="1:198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2"/>
        <v/>
      </c>
      <c r="H20" s="100" t="str">
        <f t="shared" si="3"/>
        <v/>
      </c>
      <c r="I20" s="101">
        <f t="shared" si="0"/>
        <v>0</v>
      </c>
      <c r="J20" s="100" t="str">
        <f t="shared" si="1"/>
        <v/>
      </c>
      <c r="K20" s="6" t="str">
        <f t="shared" si="4"/>
        <v/>
      </c>
      <c r="L20" s="6" t="str">
        <f t="shared" si="4"/>
        <v/>
      </c>
      <c r="M20" s="6">
        <f t="shared" si="5"/>
        <v>0</v>
      </c>
      <c r="N20" s="7">
        <f t="shared" si="6"/>
        <v>0</v>
      </c>
      <c r="O20" s="4"/>
      <c r="P20" s="3"/>
      <c r="Q20" s="3"/>
      <c r="R20" s="3"/>
      <c r="S20" s="3"/>
      <c r="T20" s="3"/>
      <c r="U20" s="5"/>
      <c r="V20" s="125"/>
      <c r="W20" s="4"/>
      <c r="X20" s="3"/>
      <c r="Y20" s="3"/>
      <c r="Z20" s="3"/>
      <c r="AA20" s="3"/>
      <c r="AB20" s="8"/>
      <c r="AC20" s="8"/>
      <c r="AD20" s="3"/>
      <c r="AE20" s="3"/>
      <c r="AF20" s="3"/>
      <c r="AG20" s="3"/>
      <c r="AH20" s="3"/>
      <c r="AI20" s="8"/>
      <c r="AJ20" s="8"/>
      <c r="AK20" s="3"/>
      <c r="AL20" s="3"/>
      <c r="AM20" s="3"/>
      <c r="AN20" s="3"/>
      <c r="AO20" s="3"/>
      <c r="AP20" s="8"/>
      <c r="AQ20" s="8"/>
      <c r="AR20" s="3"/>
      <c r="AS20" s="3"/>
      <c r="AT20" s="3"/>
      <c r="AU20" s="3"/>
      <c r="AV20" s="3"/>
      <c r="AW20" s="8"/>
      <c r="AX20" s="8"/>
      <c r="AY20" s="3"/>
      <c r="AZ20" s="130"/>
      <c r="BA20" s="58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GO20" s="54"/>
      <c r="GP20" s="54"/>
    </row>
    <row r="21" spans="1:198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2"/>
        <v/>
      </c>
      <c r="H21" s="100" t="str">
        <f t="shared" si="3"/>
        <v/>
      </c>
      <c r="I21" s="101">
        <f t="shared" si="0"/>
        <v>0</v>
      </c>
      <c r="J21" s="100" t="str">
        <f t="shared" si="1"/>
        <v/>
      </c>
      <c r="K21" s="6" t="str">
        <f t="shared" si="4"/>
        <v/>
      </c>
      <c r="L21" s="6" t="str">
        <f t="shared" si="4"/>
        <v/>
      </c>
      <c r="M21" s="6">
        <f t="shared" si="5"/>
        <v>0</v>
      </c>
      <c r="N21" s="7">
        <f t="shared" si="6"/>
        <v>0</v>
      </c>
      <c r="O21" s="4"/>
      <c r="P21" s="3"/>
      <c r="Q21" s="3"/>
      <c r="R21" s="3"/>
      <c r="S21" s="3"/>
      <c r="T21" s="3"/>
      <c r="U21" s="5"/>
      <c r="V21" s="125"/>
      <c r="W21" s="4"/>
      <c r="X21" s="3"/>
      <c r="Y21" s="3"/>
      <c r="Z21" s="3"/>
      <c r="AA21" s="3"/>
      <c r="AB21" s="8"/>
      <c r="AC21" s="8"/>
      <c r="AD21" s="3"/>
      <c r="AE21" s="3"/>
      <c r="AF21" s="3"/>
      <c r="AG21" s="3"/>
      <c r="AH21" s="3"/>
      <c r="AI21" s="8"/>
      <c r="AJ21" s="8"/>
      <c r="AK21" s="3"/>
      <c r="AL21" s="3"/>
      <c r="AM21" s="3"/>
      <c r="AN21" s="3"/>
      <c r="AO21" s="3"/>
      <c r="AP21" s="8"/>
      <c r="AQ21" s="8"/>
      <c r="AR21" s="3"/>
      <c r="AS21" s="3"/>
      <c r="AT21" s="3"/>
      <c r="AU21" s="3"/>
      <c r="AV21" s="3"/>
      <c r="AW21" s="8"/>
      <c r="AX21" s="8"/>
      <c r="AY21" s="3"/>
      <c r="AZ21" s="130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GO21" s="54"/>
      <c r="GP21" s="54"/>
    </row>
    <row r="22" spans="1:198" ht="15" hidden="1" customHeight="1" x14ac:dyDescent="0.25">
      <c r="A22" s="97">
        <v>11</v>
      </c>
      <c r="B22" s="103"/>
      <c r="C22" s="104"/>
      <c r="D22" s="1"/>
      <c r="E22" s="105"/>
      <c r="F22" s="105"/>
      <c r="G22" s="100" t="str">
        <f t="shared" ref="G22:G70" si="7">IF(ISBLANK(E22),"",E22*10)</f>
        <v/>
      </c>
      <c r="H22" s="100" t="str">
        <f t="shared" ref="H22:H70" si="8">IF(ISBLANK(F22),"",F22*20)</f>
        <v/>
      </c>
      <c r="I22" s="101">
        <f t="shared" ref="I22:I70" si="9">SUM(G22,H22)</f>
        <v>0</v>
      </c>
      <c r="J22" s="100" t="str">
        <f t="shared" si="1"/>
        <v/>
      </c>
      <c r="K22" s="6" t="str">
        <f t="shared" ref="K22:K70" si="10">IF(M22=E22,"","X")</f>
        <v/>
      </c>
      <c r="L22" s="6" t="str">
        <f t="shared" ref="L22:L70" si="11">IF(N22=F22,"","X")</f>
        <v/>
      </c>
      <c r="M22" s="6">
        <f t="shared" si="5"/>
        <v>0</v>
      </c>
      <c r="N22" s="7">
        <f t="shared" si="6"/>
        <v>0</v>
      </c>
      <c r="O22" s="4"/>
      <c r="P22" s="3"/>
      <c r="Q22" s="3"/>
      <c r="R22" s="3"/>
      <c r="S22" s="3"/>
      <c r="T22" s="3"/>
      <c r="U22" s="5"/>
      <c r="V22" s="125"/>
      <c r="W22" s="4"/>
      <c r="X22" s="3"/>
      <c r="Y22" s="3"/>
      <c r="Z22" s="3"/>
      <c r="AA22" s="3"/>
      <c r="AB22" s="8"/>
      <c r="AC22" s="8"/>
      <c r="AD22" s="3"/>
      <c r="AE22" s="3"/>
      <c r="AF22" s="3"/>
      <c r="AG22" s="3"/>
      <c r="AH22" s="3"/>
      <c r="AI22" s="8"/>
      <c r="AJ22" s="8"/>
      <c r="AK22" s="3"/>
      <c r="AL22" s="3"/>
      <c r="AM22" s="3"/>
      <c r="AN22" s="3"/>
      <c r="AO22" s="3"/>
      <c r="AP22" s="8"/>
      <c r="AQ22" s="8"/>
      <c r="AR22" s="3"/>
      <c r="AS22" s="3"/>
      <c r="AT22" s="3"/>
      <c r="AU22" s="3"/>
      <c r="AV22" s="3"/>
      <c r="AW22" s="8"/>
      <c r="AX22" s="8"/>
      <c r="AY22" s="3"/>
      <c r="AZ22" s="130"/>
      <c r="BA22" s="58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GO22" s="54"/>
      <c r="GP22" s="54"/>
    </row>
    <row r="23" spans="1:198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5"/>
        <v>0</v>
      </c>
      <c r="N23" s="7">
        <f t="shared" si="6"/>
        <v>0</v>
      </c>
      <c r="O23" s="4"/>
      <c r="P23" s="3"/>
      <c r="Q23" s="3"/>
      <c r="R23" s="3"/>
      <c r="S23" s="3"/>
      <c r="T23" s="3"/>
      <c r="U23" s="5"/>
      <c r="V23" s="125"/>
      <c r="W23" s="4"/>
      <c r="X23" s="3"/>
      <c r="Y23" s="3"/>
      <c r="Z23" s="3"/>
      <c r="AA23" s="3"/>
      <c r="AB23" s="8"/>
      <c r="AC23" s="8"/>
      <c r="AD23" s="3"/>
      <c r="AE23" s="3"/>
      <c r="AF23" s="3"/>
      <c r="AG23" s="3"/>
      <c r="AH23" s="3"/>
      <c r="AI23" s="8"/>
      <c r="AJ23" s="8"/>
      <c r="AK23" s="3"/>
      <c r="AL23" s="3"/>
      <c r="AM23" s="3"/>
      <c r="AN23" s="3"/>
      <c r="AO23" s="3"/>
      <c r="AP23" s="8"/>
      <c r="AQ23" s="8"/>
      <c r="AR23" s="3"/>
      <c r="AS23" s="3"/>
      <c r="AT23" s="3"/>
      <c r="AU23" s="3"/>
      <c r="AV23" s="3"/>
      <c r="AW23" s="8"/>
      <c r="AX23" s="8"/>
      <c r="AY23" s="3"/>
      <c r="AZ23" s="130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GO23" s="54"/>
      <c r="GP23" s="54"/>
    </row>
    <row r="24" spans="1:198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5"/>
        <v>0</v>
      </c>
      <c r="N24" s="7">
        <f t="shared" si="6"/>
        <v>0</v>
      </c>
      <c r="O24" s="4"/>
      <c r="P24" s="3"/>
      <c r="Q24" s="3"/>
      <c r="R24" s="3"/>
      <c r="S24" s="3"/>
      <c r="T24" s="3"/>
      <c r="U24" s="5"/>
      <c r="V24" s="125"/>
      <c r="W24" s="4"/>
      <c r="X24" s="3"/>
      <c r="Y24" s="3"/>
      <c r="Z24" s="3"/>
      <c r="AA24" s="3"/>
      <c r="AB24" s="8"/>
      <c r="AC24" s="8"/>
      <c r="AD24" s="3"/>
      <c r="AE24" s="3"/>
      <c r="AF24" s="3"/>
      <c r="AG24" s="3"/>
      <c r="AH24" s="3"/>
      <c r="AI24" s="8"/>
      <c r="AJ24" s="8"/>
      <c r="AK24" s="3"/>
      <c r="AL24" s="3"/>
      <c r="AM24" s="3"/>
      <c r="AN24" s="3"/>
      <c r="AO24" s="3"/>
      <c r="AP24" s="8"/>
      <c r="AQ24" s="8"/>
      <c r="AR24" s="3"/>
      <c r="AS24" s="3"/>
      <c r="AT24" s="3"/>
      <c r="AU24" s="3"/>
      <c r="AV24" s="3"/>
      <c r="AW24" s="8"/>
      <c r="AX24" s="8"/>
      <c r="AY24" s="3"/>
      <c r="AZ24" s="130"/>
      <c r="BA24" s="58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GO24" s="54"/>
      <c r="GP24" s="54"/>
    </row>
    <row r="25" spans="1:198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5"/>
        <v>0</v>
      </c>
      <c r="N25" s="7">
        <f t="shared" si="6"/>
        <v>0</v>
      </c>
      <c r="O25" s="4"/>
      <c r="P25" s="3"/>
      <c r="Q25" s="3"/>
      <c r="R25" s="3"/>
      <c r="S25" s="3"/>
      <c r="T25" s="3"/>
      <c r="U25" s="5"/>
      <c r="V25" s="125"/>
      <c r="W25" s="4"/>
      <c r="X25" s="3"/>
      <c r="Y25" s="3"/>
      <c r="Z25" s="3"/>
      <c r="AA25" s="3"/>
      <c r="AB25" s="8"/>
      <c r="AC25" s="8"/>
      <c r="AD25" s="3"/>
      <c r="AE25" s="3"/>
      <c r="AF25" s="3"/>
      <c r="AG25" s="3"/>
      <c r="AH25" s="3"/>
      <c r="AI25" s="8"/>
      <c r="AJ25" s="8"/>
      <c r="AK25" s="3"/>
      <c r="AL25" s="3"/>
      <c r="AM25" s="3"/>
      <c r="AN25" s="3"/>
      <c r="AO25" s="3"/>
      <c r="AP25" s="8"/>
      <c r="AQ25" s="8"/>
      <c r="AR25" s="3"/>
      <c r="AS25" s="3"/>
      <c r="AT25" s="3"/>
      <c r="AU25" s="3"/>
      <c r="AV25" s="3"/>
      <c r="AW25" s="8"/>
      <c r="AX25" s="8"/>
      <c r="AY25" s="3"/>
      <c r="AZ25" s="130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GO25" s="54"/>
      <c r="GP25" s="54"/>
    </row>
    <row r="26" spans="1:198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5"/>
        <v>0</v>
      </c>
      <c r="N26" s="7">
        <f t="shared" si="6"/>
        <v>0</v>
      </c>
      <c r="O26" s="4"/>
      <c r="P26" s="3"/>
      <c r="Q26" s="3"/>
      <c r="R26" s="3"/>
      <c r="S26" s="3"/>
      <c r="T26" s="3"/>
      <c r="U26" s="5"/>
      <c r="V26" s="125"/>
      <c r="W26" s="4"/>
      <c r="X26" s="3"/>
      <c r="Y26" s="3"/>
      <c r="Z26" s="3"/>
      <c r="AA26" s="3"/>
      <c r="AB26" s="8"/>
      <c r="AC26" s="8"/>
      <c r="AD26" s="3"/>
      <c r="AE26" s="3"/>
      <c r="AF26" s="3"/>
      <c r="AG26" s="3"/>
      <c r="AH26" s="3"/>
      <c r="AI26" s="8"/>
      <c r="AJ26" s="8"/>
      <c r="AK26" s="3"/>
      <c r="AL26" s="3"/>
      <c r="AM26" s="3"/>
      <c r="AN26" s="3"/>
      <c r="AO26" s="3"/>
      <c r="AP26" s="8"/>
      <c r="AQ26" s="8"/>
      <c r="AR26" s="3"/>
      <c r="AS26" s="3"/>
      <c r="AT26" s="3"/>
      <c r="AU26" s="3"/>
      <c r="AV26" s="3"/>
      <c r="AW26" s="8"/>
      <c r="AX26" s="8"/>
      <c r="AY26" s="3"/>
      <c r="AZ26" s="130"/>
      <c r="BA26" s="58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GO26" s="54"/>
      <c r="GP26" s="54"/>
    </row>
    <row r="27" spans="1:198" ht="15" hidden="1" customHeight="1" x14ac:dyDescent="0.25">
      <c r="A27" s="97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5"/>
        <v>0</v>
      </c>
      <c r="N27" s="7">
        <f t="shared" si="6"/>
        <v>0</v>
      </c>
      <c r="O27" s="4"/>
      <c r="P27" s="3"/>
      <c r="Q27" s="3"/>
      <c r="R27" s="3"/>
      <c r="S27" s="3"/>
      <c r="T27" s="3"/>
      <c r="U27" s="5"/>
      <c r="V27" s="125"/>
      <c r="W27" s="4"/>
      <c r="X27" s="3"/>
      <c r="Y27" s="3"/>
      <c r="Z27" s="3"/>
      <c r="AA27" s="3"/>
      <c r="AB27" s="8"/>
      <c r="AC27" s="8"/>
      <c r="AD27" s="3"/>
      <c r="AE27" s="3"/>
      <c r="AF27" s="3"/>
      <c r="AG27" s="3"/>
      <c r="AH27" s="3"/>
      <c r="AI27" s="8"/>
      <c r="AJ27" s="8"/>
      <c r="AK27" s="3"/>
      <c r="AL27" s="3"/>
      <c r="AM27" s="3"/>
      <c r="AN27" s="3"/>
      <c r="AO27" s="3"/>
      <c r="AP27" s="8"/>
      <c r="AQ27" s="8"/>
      <c r="AR27" s="3"/>
      <c r="AS27" s="3"/>
      <c r="AT27" s="3"/>
      <c r="AU27" s="3"/>
      <c r="AV27" s="3"/>
      <c r="AW27" s="8"/>
      <c r="AX27" s="8"/>
      <c r="AY27" s="3"/>
      <c r="AZ27" s="130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GO27" s="54"/>
      <c r="GP27" s="54"/>
    </row>
    <row r="28" spans="1:198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5"/>
        <v>0</v>
      </c>
      <c r="N28" s="7">
        <f t="shared" si="6"/>
        <v>0</v>
      </c>
      <c r="O28" s="4"/>
      <c r="P28" s="3"/>
      <c r="Q28" s="3"/>
      <c r="R28" s="3"/>
      <c r="S28" s="3"/>
      <c r="T28" s="3"/>
      <c r="U28" s="5"/>
      <c r="V28" s="125"/>
      <c r="W28" s="4"/>
      <c r="X28" s="3"/>
      <c r="Y28" s="3"/>
      <c r="Z28" s="3"/>
      <c r="AA28" s="3"/>
      <c r="AB28" s="8"/>
      <c r="AC28" s="8"/>
      <c r="AD28" s="3"/>
      <c r="AE28" s="3"/>
      <c r="AF28" s="3"/>
      <c r="AG28" s="3"/>
      <c r="AH28" s="3"/>
      <c r="AI28" s="8"/>
      <c r="AJ28" s="8"/>
      <c r="AK28" s="3"/>
      <c r="AL28" s="3"/>
      <c r="AM28" s="3"/>
      <c r="AN28" s="3"/>
      <c r="AO28" s="3"/>
      <c r="AP28" s="8"/>
      <c r="AQ28" s="8"/>
      <c r="AR28" s="3"/>
      <c r="AS28" s="3"/>
      <c r="AT28" s="3"/>
      <c r="AU28" s="3"/>
      <c r="AV28" s="3"/>
      <c r="AW28" s="8"/>
      <c r="AX28" s="8"/>
      <c r="AY28" s="3"/>
      <c r="AZ28" s="130"/>
      <c r="BA28" s="58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GO28" s="54"/>
      <c r="GP28" s="54"/>
    </row>
    <row r="29" spans="1:198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5"/>
        <v>0</v>
      </c>
      <c r="N29" s="7">
        <f t="shared" si="6"/>
        <v>0</v>
      </c>
      <c r="O29" s="4"/>
      <c r="P29" s="3"/>
      <c r="Q29" s="3"/>
      <c r="R29" s="3"/>
      <c r="S29" s="3"/>
      <c r="T29" s="3"/>
      <c r="U29" s="5"/>
      <c r="V29" s="125"/>
      <c r="W29" s="4"/>
      <c r="X29" s="3"/>
      <c r="Y29" s="3"/>
      <c r="Z29" s="3"/>
      <c r="AA29" s="3"/>
      <c r="AB29" s="8"/>
      <c r="AC29" s="8"/>
      <c r="AD29" s="3"/>
      <c r="AE29" s="3"/>
      <c r="AF29" s="3"/>
      <c r="AG29" s="3"/>
      <c r="AH29" s="3"/>
      <c r="AI29" s="8"/>
      <c r="AJ29" s="8"/>
      <c r="AK29" s="3"/>
      <c r="AL29" s="3"/>
      <c r="AM29" s="3"/>
      <c r="AN29" s="3"/>
      <c r="AO29" s="3"/>
      <c r="AP29" s="8"/>
      <c r="AQ29" s="8"/>
      <c r="AR29" s="3"/>
      <c r="AS29" s="3"/>
      <c r="AT29" s="3"/>
      <c r="AU29" s="3"/>
      <c r="AV29" s="3"/>
      <c r="AW29" s="8"/>
      <c r="AX29" s="8"/>
      <c r="AY29" s="3"/>
      <c r="AZ29" s="130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GO29" s="54"/>
      <c r="GP29" s="54"/>
    </row>
    <row r="30" spans="1:198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5"/>
        <v>0</v>
      </c>
      <c r="N30" s="7">
        <f t="shared" si="6"/>
        <v>0</v>
      </c>
      <c r="O30" s="4"/>
      <c r="P30" s="3"/>
      <c r="Q30" s="3"/>
      <c r="R30" s="3"/>
      <c r="S30" s="3"/>
      <c r="T30" s="3"/>
      <c r="U30" s="5"/>
      <c r="V30" s="125"/>
      <c r="W30" s="4"/>
      <c r="X30" s="3"/>
      <c r="Y30" s="3"/>
      <c r="Z30" s="3"/>
      <c r="AA30" s="3"/>
      <c r="AB30" s="8"/>
      <c r="AC30" s="8"/>
      <c r="AD30" s="3"/>
      <c r="AE30" s="3"/>
      <c r="AF30" s="3"/>
      <c r="AG30" s="3"/>
      <c r="AH30" s="3"/>
      <c r="AI30" s="8"/>
      <c r="AJ30" s="8"/>
      <c r="AK30" s="3"/>
      <c r="AL30" s="3"/>
      <c r="AM30" s="3"/>
      <c r="AN30" s="3"/>
      <c r="AO30" s="3"/>
      <c r="AP30" s="8"/>
      <c r="AQ30" s="8"/>
      <c r="AR30" s="3"/>
      <c r="AS30" s="3"/>
      <c r="AT30" s="3"/>
      <c r="AU30" s="3"/>
      <c r="AV30" s="3"/>
      <c r="AW30" s="8"/>
      <c r="AX30" s="8"/>
      <c r="AY30" s="3"/>
      <c r="AZ30" s="130"/>
      <c r="BA30" s="58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GO30" s="54"/>
      <c r="GP30" s="54"/>
    </row>
    <row r="31" spans="1:198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5"/>
        <v>0</v>
      </c>
      <c r="N31" s="7">
        <f t="shared" si="6"/>
        <v>0</v>
      </c>
      <c r="O31" s="4"/>
      <c r="P31" s="3"/>
      <c r="Q31" s="3"/>
      <c r="R31" s="3"/>
      <c r="S31" s="3"/>
      <c r="T31" s="3"/>
      <c r="U31" s="5"/>
      <c r="V31" s="125"/>
      <c r="W31" s="4"/>
      <c r="X31" s="3"/>
      <c r="Y31" s="3"/>
      <c r="Z31" s="3"/>
      <c r="AA31" s="3"/>
      <c r="AB31" s="8"/>
      <c r="AC31" s="8"/>
      <c r="AD31" s="3"/>
      <c r="AE31" s="3"/>
      <c r="AF31" s="3"/>
      <c r="AG31" s="3"/>
      <c r="AH31" s="3"/>
      <c r="AI31" s="8"/>
      <c r="AJ31" s="8"/>
      <c r="AK31" s="3"/>
      <c r="AL31" s="3"/>
      <c r="AM31" s="3"/>
      <c r="AN31" s="3"/>
      <c r="AO31" s="3"/>
      <c r="AP31" s="8"/>
      <c r="AQ31" s="8"/>
      <c r="AR31" s="3"/>
      <c r="AS31" s="3"/>
      <c r="AT31" s="3"/>
      <c r="AU31" s="3"/>
      <c r="AV31" s="3"/>
      <c r="AW31" s="8"/>
      <c r="AX31" s="8"/>
      <c r="AY31" s="3"/>
      <c r="AZ31" s="130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GO31" s="54"/>
      <c r="GP31" s="54"/>
    </row>
    <row r="32" spans="1:198" ht="15" hidden="1" customHeight="1" x14ac:dyDescent="0.25">
      <c r="A32" s="97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5"/>
        <v>0</v>
      </c>
      <c r="N32" s="7">
        <f t="shared" si="6"/>
        <v>0</v>
      </c>
      <c r="O32" s="4"/>
      <c r="P32" s="3"/>
      <c r="Q32" s="3"/>
      <c r="R32" s="3"/>
      <c r="S32" s="3"/>
      <c r="T32" s="3"/>
      <c r="U32" s="5"/>
      <c r="V32" s="125"/>
      <c r="W32" s="4"/>
      <c r="X32" s="3"/>
      <c r="Y32" s="3"/>
      <c r="Z32" s="3"/>
      <c r="AA32" s="3"/>
      <c r="AB32" s="8"/>
      <c r="AC32" s="8"/>
      <c r="AD32" s="3"/>
      <c r="AE32" s="3"/>
      <c r="AF32" s="3"/>
      <c r="AG32" s="3"/>
      <c r="AH32" s="3"/>
      <c r="AI32" s="8"/>
      <c r="AJ32" s="8"/>
      <c r="AK32" s="3"/>
      <c r="AL32" s="3"/>
      <c r="AM32" s="3"/>
      <c r="AN32" s="3"/>
      <c r="AO32" s="3"/>
      <c r="AP32" s="8"/>
      <c r="AQ32" s="8"/>
      <c r="AR32" s="3"/>
      <c r="AS32" s="3"/>
      <c r="AT32" s="3"/>
      <c r="AU32" s="3"/>
      <c r="AV32" s="3"/>
      <c r="AW32" s="8"/>
      <c r="AX32" s="8"/>
      <c r="AY32" s="3"/>
      <c r="AZ32" s="130"/>
      <c r="BA32" s="58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GO32" s="54"/>
      <c r="GP32" s="54"/>
    </row>
    <row r="33" spans="1:198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5"/>
        <v>0</v>
      </c>
      <c r="N33" s="7">
        <f t="shared" si="6"/>
        <v>0</v>
      </c>
      <c r="O33" s="4"/>
      <c r="P33" s="3"/>
      <c r="Q33" s="3"/>
      <c r="R33" s="3"/>
      <c r="S33" s="3"/>
      <c r="T33" s="3"/>
      <c r="U33" s="5"/>
      <c r="V33" s="125"/>
      <c r="W33" s="4"/>
      <c r="X33" s="3"/>
      <c r="Y33" s="3"/>
      <c r="Z33" s="3"/>
      <c r="AA33" s="3"/>
      <c r="AB33" s="8"/>
      <c r="AC33" s="8"/>
      <c r="AD33" s="3"/>
      <c r="AE33" s="3"/>
      <c r="AF33" s="3"/>
      <c r="AG33" s="3"/>
      <c r="AH33" s="3"/>
      <c r="AI33" s="8"/>
      <c r="AJ33" s="8"/>
      <c r="AK33" s="3"/>
      <c r="AL33" s="3"/>
      <c r="AM33" s="3"/>
      <c r="AN33" s="3"/>
      <c r="AO33" s="3"/>
      <c r="AP33" s="8"/>
      <c r="AQ33" s="8"/>
      <c r="AR33" s="3"/>
      <c r="AS33" s="3"/>
      <c r="AT33" s="3"/>
      <c r="AU33" s="3"/>
      <c r="AV33" s="3"/>
      <c r="AW33" s="8"/>
      <c r="AX33" s="8"/>
      <c r="AY33" s="3"/>
      <c r="AZ33" s="130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GO33" s="54"/>
      <c r="GP33" s="54"/>
    </row>
    <row r="34" spans="1:198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5"/>
        <v>0</v>
      </c>
      <c r="N34" s="7">
        <f t="shared" si="6"/>
        <v>0</v>
      </c>
      <c r="O34" s="4"/>
      <c r="P34" s="3"/>
      <c r="Q34" s="3"/>
      <c r="R34" s="3"/>
      <c r="S34" s="3"/>
      <c r="T34" s="3"/>
      <c r="U34" s="5"/>
      <c r="V34" s="125"/>
      <c r="W34" s="4"/>
      <c r="X34" s="3"/>
      <c r="Y34" s="3"/>
      <c r="Z34" s="3"/>
      <c r="AA34" s="3"/>
      <c r="AB34" s="8"/>
      <c r="AC34" s="8"/>
      <c r="AD34" s="3"/>
      <c r="AE34" s="3"/>
      <c r="AF34" s="3"/>
      <c r="AG34" s="3"/>
      <c r="AH34" s="3"/>
      <c r="AI34" s="8"/>
      <c r="AJ34" s="8"/>
      <c r="AK34" s="3"/>
      <c r="AL34" s="3"/>
      <c r="AM34" s="3"/>
      <c r="AN34" s="3"/>
      <c r="AO34" s="3"/>
      <c r="AP34" s="8"/>
      <c r="AQ34" s="8"/>
      <c r="AR34" s="3"/>
      <c r="AS34" s="3"/>
      <c r="AT34" s="3"/>
      <c r="AU34" s="3"/>
      <c r="AV34" s="3"/>
      <c r="AW34" s="8"/>
      <c r="AX34" s="8"/>
      <c r="AY34" s="3"/>
      <c r="AZ34" s="130"/>
      <c r="BA34" s="58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GO34" s="54"/>
      <c r="GP34" s="54"/>
    </row>
    <row r="35" spans="1:198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5"/>
        <v>0</v>
      </c>
      <c r="N35" s="7">
        <f t="shared" si="6"/>
        <v>0</v>
      </c>
      <c r="O35" s="4"/>
      <c r="P35" s="3"/>
      <c r="Q35" s="3"/>
      <c r="R35" s="3"/>
      <c r="S35" s="3"/>
      <c r="T35" s="3"/>
      <c r="U35" s="5"/>
      <c r="V35" s="125"/>
      <c r="W35" s="4"/>
      <c r="X35" s="3"/>
      <c r="Y35" s="3"/>
      <c r="Z35" s="3"/>
      <c r="AA35" s="3"/>
      <c r="AB35" s="8"/>
      <c r="AC35" s="8"/>
      <c r="AD35" s="3"/>
      <c r="AE35" s="3"/>
      <c r="AF35" s="3"/>
      <c r="AG35" s="3"/>
      <c r="AH35" s="3"/>
      <c r="AI35" s="8"/>
      <c r="AJ35" s="8"/>
      <c r="AK35" s="3"/>
      <c r="AL35" s="3"/>
      <c r="AM35" s="3"/>
      <c r="AN35" s="3"/>
      <c r="AO35" s="3"/>
      <c r="AP35" s="8"/>
      <c r="AQ35" s="8"/>
      <c r="AR35" s="3"/>
      <c r="AS35" s="3"/>
      <c r="AT35" s="3"/>
      <c r="AU35" s="3"/>
      <c r="AV35" s="3"/>
      <c r="AW35" s="8"/>
      <c r="AX35" s="8"/>
      <c r="AY35" s="3"/>
      <c r="AZ35" s="130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GO35" s="54"/>
      <c r="GP35" s="54"/>
    </row>
    <row r="36" spans="1:198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5"/>
        <v>0</v>
      </c>
      <c r="N36" s="7">
        <f t="shared" si="6"/>
        <v>0</v>
      </c>
      <c r="O36" s="4"/>
      <c r="P36" s="3"/>
      <c r="Q36" s="3"/>
      <c r="R36" s="3"/>
      <c r="S36" s="3"/>
      <c r="T36" s="3"/>
      <c r="U36" s="5"/>
      <c r="V36" s="125"/>
      <c r="W36" s="4"/>
      <c r="X36" s="3"/>
      <c r="Y36" s="3"/>
      <c r="Z36" s="3"/>
      <c r="AA36" s="3"/>
      <c r="AB36" s="8"/>
      <c r="AC36" s="8"/>
      <c r="AD36" s="3"/>
      <c r="AE36" s="3"/>
      <c r="AF36" s="3"/>
      <c r="AG36" s="3"/>
      <c r="AH36" s="3"/>
      <c r="AI36" s="8"/>
      <c r="AJ36" s="8"/>
      <c r="AK36" s="3"/>
      <c r="AL36" s="3"/>
      <c r="AM36" s="3"/>
      <c r="AN36" s="3"/>
      <c r="AO36" s="3"/>
      <c r="AP36" s="8"/>
      <c r="AQ36" s="8"/>
      <c r="AR36" s="3"/>
      <c r="AS36" s="3"/>
      <c r="AT36" s="3"/>
      <c r="AU36" s="3"/>
      <c r="AV36" s="3"/>
      <c r="AW36" s="8"/>
      <c r="AX36" s="8"/>
      <c r="AY36" s="3"/>
      <c r="AZ36" s="130"/>
      <c r="BA36" s="58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GO36" s="54"/>
      <c r="GP36" s="54"/>
    </row>
    <row r="37" spans="1:198" ht="15" hidden="1" customHeight="1" x14ac:dyDescent="0.25">
      <c r="A37" s="97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5"/>
        <v>0</v>
      </c>
      <c r="N37" s="7">
        <f t="shared" si="6"/>
        <v>0</v>
      </c>
      <c r="O37" s="4"/>
      <c r="P37" s="3"/>
      <c r="Q37" s="3"/>
      <c r="R37" s="3"/>
      <c r="S37" s="3"/>
      <c r="T37" s="3"/>
      <c r="U37" s="5"/>
      <c r="V37" s="125"/>
      <c r="W37" s="4"/>
      <c r="X37" s="3"/>
      <c r="Y37" s="3"/>
      <c r="Z37" s="3"/>
      <c r="AA37" s="3"/>
      <c r="AB37" s="8"/>
      <c r="AC37" s="8"/>
      <c r="AD37" s="3"/>
      <c r="AE37" s="3"/>
      <c r="AF37" s="3"/>
      <c r="AG37" s="3"/>
      <c r="AH37" s="3"/>
      <c r="AI37" s="8"/>
      <c r="AJ37" s="8"/>
      <c r="AK37" s="3"/>
      <c r="AL37" s="3"/>
      <c r="AM37" s="3"/>
      <c r="AN37" s="3"/>
      <c r="AO37" s="3"/>
      <c r="AP37" s="8"/>
      <c r="AQ37" s="8"/>
      <c r="AR37" s="3"/>
      <c r="AS37" s="3"/>
      <c r="AT37" s="3"/>
      <c r="AU37" s="3"/>
      <c r="AV37" s="3"/>
      <c r="AW37" s="8"/>
      <c r="AX37" s="8"/>
      <c r="AY37" s="3"/>
      <c r="AZ37" s="130"/>
      <c r="BA37" s="58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GO37" s="54"/>
      <c r="GP37" s="54"/>
    </row>
    <row r="38" spans="1:198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5"/>
        <v>0</v>
      </c>
      <c r="N38" s="7">
        <f t="shared" si="6"/>
        <v>0</v>
      </c>
      <c r="O38" s="4"/>
      <c r="P38" s="3"/>
      <c r="Q38" s="3"/>
      <c r="R38" s="3"/>
      <c r="S38" s="3"/>
      <c r="T38" s="3"/>
      <c r="U38" s="5"/>
      <c r="V38" s="125"/>
      <c r="W38" s="4"/>
      <c r="X38" s="3"/>
      <c r="Y38" s="3"/>
      <c r="Z38" s="3"/>
      <c r="AA38" s="3"/>
      <c r="AB38" s="8"/>
      <c r="AC38" s="8"/>
      <c r="AD38" s="3"/>
      <c r="AE38" s="3"/>
      <c r="AF38" s="3"/>
      <c r="AG38" s="3"/>
      <c r="AH38" s="3"/>
      <c r="AI38" s="8"/>
      <c r="AJ38" s="8"/>
      <c r="AK38" s="3"/>
      <c r="AL38" s="3"/>
      <c r="AM38" s="3"/>
      <c r="AN38" s="3"/>
      <c r="AO38" s="3"/>
      <c r="AP38" s="8"/>
      <c r="AQ38" s="8"/>
      <c r="AR38" s="3"/>
      <c r="AS38" s="3"/>
      <c r="AT38" s="3"/>
      <c r="AU38" s="3"/>
      <c r="AV38" s="3"/>
      <c r="AW38" s="8"/>
      <c r="AX38" s="8"/>
      <c r="AY38" s="3"/>
      <c r="AZ38" s="130"/>
      <c r="BA38" s="58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GO38" s="54"/>
      <c r="GP38" s="54"/>
    </row>
    <row r="39" spans="1:198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5"/>
        <v>0</v>
      </c>
      <c r="N39" s="7">
        <f t="shared" si="6"/>
        <v>0</v>
      </c>
      <c r="O39" s="4"/>
      <c r="P39" s="3"/>
      <c r="Q39" s="3"/>
      <c r="R39" s="3"/>
      <c r="S39" s="3"/>
      <c r="T39" s="3"/>
      <c r="U39" s="5"/>
      <c r="V39" s="125"/>
      <c r="W39" s="4"/>
      <c r="X39" s="3"/>
      <c r="Y39" s="3"/>
      <c r="Z39" s="3"/>
      <c r="AA39" s="3"/>
      <c r="AB39" s="8"/>
      <c r="AC39" s="8"/>
      <c r="AD39" s="3"/>
      <c r="AE39" s="3"/>
      <c r="AF39" s="3"/>
      <c r="AG39" s="3"/>
      <c r="AH39" s="3"/>
      <c r="AI39" s="8"/>
      <c r="AJ39" s="8"/>
      <c r="AK39" s="3"/>
      <c r="AL39" s="3"/>
      <c r="AM39" s="3"/>
      <c r="AN39" s="3"/>
      <c r="AO39" s="3"/>
      <c r="AP39" s="8"/>
      <c r="AQ39" s="8"/>
      <c r="AR39" s="3"/>
      <c r="AS39" s="3"/>
      <c r="AT39" s="3"/>
      <c r="AU39" s="3"/>
      <c r="AV39" s="3"/>
      <c r="AW39" s="8"/>
      <c r="AX39" s="8"/>
      <c r="AY39" s="3"/>
      <c r="AZ39" s="130"/>
      <c r="BA39" s="58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GO39" s="54"/>
      <c r="GP39" s="54"/>
    </row>
    <row r="40" spans="1:198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5"/>
        <v>0</v>
      </c>
      <c r="N40" s="7">
        <f t="shared" si="6"/>
        <v>0</v>
      </c>
      <c r="O40" s="4"/>
      <c r="P40" s="3"/>
      <c r="Q40" s="3"/>
      <c r="R40" s="3"/>
      <c r="S40" s="3"/>
      <c r="T40" s="3"/>
      <c r="U40" s="5"/>
      <c r="V40" s="125"/>
      <c r="W40" s="4"/>
      <c r="X40" s="3"/>
      <c r="Y40" s="3"/>
      <c r="Z40" s="3"/>
      <c r="AA40" s="3"/>
      <c r="AB40" s="8"/>
      <c r="AC40" s="8"/>
      <c r="AD40" s="3"/>
      <c r="AE40" s="3"/>
      <c r="AF40" s="3"/>
      <c r="AG40" s="3"/>
      <c r="AH40" s="3"/>
      <c r="AI40" s="8"/>
      <c r="AJ40" s="8"/>
      <c r="AK40" s="3"/>
      <c r="AL40" s="3"/>
      <c r="AM40" s="3"/>
      <c r="AN40" s="3"/>
      <c r="AO40" s="3"/>
      <c r="AP40" s="8"/>
      <c r="AQ40" s="8"/>
      <c r="AR40" s="3"/>
      <c r="AS40" s="3"/>
      <c r="AT40" s="3"/>
      <c r="AU40" s="3"/>
      <c r="AV40" s="3"/>
      <c r="AW40" s="8"/>
      <c r="AX40" s="8"/>
      <c r="AY40" s="3"/>
      <c r="AZ40" s="130"/>
      <c r="BA40" s="58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GO40" s="54"/>
      <c r="GP40" s="54"/>
    </row>
    <row r="41" spans="1:198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5"/>
        <v>0</v>
      </c>
      <c r="N41" s="7">
        <f t="shared" si="6"/>
        <v>0</v>
      </c>
      <c r="O41" s="4"/>
      <c r="P41" s="3"/>
      <c r="Q41" s="3"/>
      <c r="R41" s="3"/>
      <c r="S41" s="3"/>
      <c r="T41" s="3"/>
      <c r="U41" s="5"/>
      <c r="V41" s="125"/>
      <c r="W41" s="4"/>
      <c r="X41" s="3"/>
      <c r="Y41" s="3"/>
      <c r="Z41" s="3"/>
      <c r="AA41" s="3"/>
      <c r="AB41" s="8"/>
      <c r="AC41" s="8"/>
      <c r="AD41" s="3"/>
      <c r="AE41" s="3"/>
      <c r="AF41" s="3"/>
      <c r="AG41" s="3"/>
      <c r="AH41" s="3"/>
      <c r="AI41" s="8"/>
      <c r="AJ41" s="8"/>
      <c r="AK41" s="3"/>
      <c r="AL41" s="3"/>
      <c r="AM41" s="3"/>
      <c r="AN41" s="3"/>
      <c r="AO41" s="3"/>
      <c r="AP41" s="8"/>
      <c r="AQ41" s="8"/>
      <c r="AR41" s="3"/>
      <c r="AS41" s="3"/>
      <c r="AT41" s="3"/>
      <c r="AU41" s="3"/>
      <c r="AV41" s="3"/>
      <c r="AW41" s="8"/>
      <c r="AX41" s="8"/>
      <c r="AY41" s="3"/>
      <c r="AZ41" s="130"/>
      <c r="BA41" s="58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GO41" s="54"/>
      <c r="GP41" s="54"/>
    </row>
    <row r="42" spans="1:198" ht="15" hidden="1" customHeight="1" x14ac:dyDescent="0.25">
      <c r="A42" s="97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5"/>
        <v>0</v>
      </c>
      <c r="N42" s="7">
        <f t="shared" si="6"/>
        <v>0</v>
      </c>
      <c r="O42" s="4"/>
      <c r="P42" s="3"/>
      <c r="Q42" s="3"/>
      <c r="R42" s="3"/>
      <c r="S42" s="3"/>
      <c r="T42" s="3"/>
      <c r="U42" s="5"/>
      <c r="V42" s="125"/>
      <c r="W42" s="4"/>
      <c r="X42" s="3"/>
      <c r="Y42" s="3"/>
      <c r="Z42" s="3"/>
      <c r="AA42" s="3"/>
      <c r="AB42" s="8"/>
      <c r="AC42" s="8"/>
      <c r="AD42" s="3"/>
      <c r="AE42" s="3"/>
      <c r="AF42" s="3"/>
      <c r="AG42" s="3"/>
      <c r="AH42" s="3"/>
      <c r="AI42" s="8"/>
      <c r="AJ42" s="8"/>
      <c r="AK42" s="3"/>
      <c r="AL42" s="3"/>
      <c r="AM42" s="3"/>
      <c r="AN42" s="3"/>
      <c r="AO42" s="3"/>
      <c r="AP42" s="8"/>
      <c r="AQ42" s="8"/>
      <c r="AR42" s="3"/>
      <c r="AS42" s="3"/>
      <c r="AT42" s="3"/>
      <c r="AU42" s="3"/>
      <c r="AV42" s="3"/>
      <c r="AW42" s="8"/>
      <c r="AX42" s="8"/>
      <c r="AY42" s="3"/>
      <c r="AZ42" s="130"/>
      <c r="BA42" s="58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GO42" s="54"/>
      <c r="GP42" s="54"/>
    </row>
    <row r="43" spans="1:198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5"/>
        <v>0</v>
      </c>
      <c r="N43" s="7">
        <f t="shared" si="6"/>
        <v>0</v>
      </c>
      <c r="O43" s="4"/>
      <c r="P43" s="3"/>
      <c r="Q43" s="3"/>
      <c r="R43" s="3"/>
      <c r="S43" s="3"/>
      <c r="T43" s="3"/>
      <c r="U43" s="5"/>
      <c r="V43" s="125"/>
      <c r="W43" s="4"/>
      <c r="X43" s="3"/>
      <c r="Y43" s="3"/>
      <c r="Z43" s="3"/>
      <c r="AA43" s="3"/>
      <c r="AB43" s="8"/>
      <c r="AC43" s="8"/>
      <c r="AD43" s="3"/>
      <c r="AE43" s="3"/>
      <c r="AF43" s="3"/>
      <c r="AG43" s="3"/>
      <c r="AH43" s="3"/>
      <c r="AI43" s="8"/>
      <c r="AJ43" s="8"/>
      <c r="AK43" s="3"/>
      <c r="AL43" s="3"/>
      <c r="AM43" s="3"/>
      <c r="AN43" s="3"/>
      <c r="AO43" s="3"/>
      <c r="AP43" s="8"/>
      <c r="AQ43" s="8"/>
      <c r="AR43" s="3"/>
      <c r="AS43" s="3"/>
      <c r="AT43" s="3"/>
      <c r="AU43" s="3"/>
      <c r="AV43" s="3"/>
      <c r="AW43" s="8"/>
      <c r="AX43" s="8"/>
      <c r="AY43" s="3"/>
      <c r="AZ43" s="130"/>
      <c r="BA43" s="58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GO43" s="54"/>
      <c r="GP43" s="54"/>
    </row>
    <row r="44" spans="1:198" ht="15" hidden="1" customHeight="1" x14ac:dyDescent="0.25">
      <c r="A44" s="102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si="5"/>
        <v>0</v>
      </c>
      <c r="N44" s="7">
        <f t="shared" si="6"/>
        <v>0</v>
      </c>
      <c r="O44" s="4"/>
      <c r="P44" s="3"/>
      <c r="Q44" s="3"/>
      <c r="R44" s="3"/>
      <c r="S44" s="3"/>
      <c r="T44" s="3"/>
      <c r="U44" s="5"/>
      <c r="V44" s="125"/>
      <c r="W44" s="4"/>
      <c r="X44" s="3"/>
      <c r="Y44" s="3"/>
      <c r="Z44" s="3"/>
      <c r="AA44" s="3"/>
      <c r="AB44" s="8"/>
      <c r="AC44" s="8"/>
      <c r="AD44" s="3"/>
      <c r="AE44" s="3"/>
      <c r="AF44" s="3"/>
      <c r="AG44" s="3"/>
      <c r="AH44" s="3"/>
      <c r="AI44" s="8"/>
      <c r="AJ44" s="8"/>
      <c r="AK44" s="3"/>
      <c r="AL44" s="3"/>
      <c r="AM44" s="3"/>
      <c r="AN44" s="3"/>
      <c r="AO44" s="3"/>
      <c r="AP44" s="8"/>
      <c r="AQ44" s="8"/>
      <c r="AR44" s="3"/>
      <c r="AS44" s="3"/>
      <c r="AT44" s="3"/>
      <c r="AU44" s="3"/>
      <c r="AV44" s="3"/>
      <c r="AW44" s="8"/>
      <c r="AX44" s="8"/>
      <c r="AY44" s="3"/>
      <c r="AZ44" s="130"/>
      <c r="BA44" s="58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GO44" s="54"/>
      <c r="GP44" s="54"/>
    </row>
    <row r="45" spans="1:198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5"/>
        <v>0</v>
      </c>
      <c r="N45" s="7">
        <f t="shared" si="6"/>
        <v>0</v>
      </c>
      <c r="O45" s="4"/>
      <c r="P45" s="3"/>
      <c r="Q45" s="3"/>
      <c r="R45" s="3"/>
      <c r="S45" s="3"/>
      <c r="T45" s="3"/>
      <c r="U45" s="5"/>
      <c r="V45" s="125"/>
      <c r="W45" s="4"/>
      <c r="X45" s="3"/>
      <c r="Y45" s="3"/>
      <c r="Z45" s="3"/>
      <c r="AA45" s="3"/>
      <c r="AB45" s="8"/>
      <c r="AC45" s="8"/>
      <c r="AD45" s="3"/>
      <c r="AE45" s="3"/>
      <c r="AF45" s="3"/>
      <c r="AG45" s="3"/>
      <c r="AH45" s="3"/>
      <c r="AI45" s="8"/>
      <c r="AJ45" s="8"/>
      <c r="AK45" s="3"/>
      <c r="AL45" s="3"/>
      <c r="AM45" s="3"/>
      <c r="AN45" s="3"/>
      <c r="AO45" s="3"/>
      <c r="AP45" s="8"/>
      <c r="AQ45" s="8"/>
      <c r="AR45" s="3"/>
      <c r="AS45" s="3"/>
      <c r="AT45" s="3"/>
      <c r="AU45" s="3"/>
      <c r="AV45" s="3"/>
      <c r="AW45" s="8"/>
      <c r="AX45" s="8"/>
      <c r="AY45" s="3"/>
      <c r="AZ45" s="130"/>
      <c r="BA45" s="58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GO45" s="54"/>
      <c r="GP45" s="54"/>
    </row>
    <row r="46" spans="1:198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5"/>
        <v>0</v>
      </c>
      <c r="N46" s="7">
        <f t="shared" si="6"/>
        <v>0</v>
      </c>
      <c r="O46" s="4"/>
      <c r="P46" s="3"/>
      <c r="Q46" s="3"/>
      <c r="R46" s="3"/>
      <c r="S46" s="3"/>
      <c r="T46" s="3"/>
      <c r="U46" s="5"/>
      <c r="V46" s="125"/>
      <c r="W46" s="4"/>
      <c r="X46" s="3"/>
      <c r="Y46" s="3"/>
      <c r="Z46" s="3"/>
      <c r="AA46" s="3"/>
      <c r="AB46" s="8"/>
      <c r="AC46" s="8"/>
      <c r="AD46" s="3"/>
      <c r="AE46" s="3"/>
      <c r="AF46" s="3"/>
      <c r="AG46" s="3"/>
      <c r="AH46" s="3"/>
      <c r="AI46" s="8"/>
      <c r="AJ46" s="8"/>
      <c r="AK46" s="3"/>
      <c r="AL46" s="3"/>
      <c r="AM46" s="3"/>
      <c r="AN46" s="3"/>
      <c r="AO46" s="3"/>
      <c r="AP46" s="8"/>
      <c r="AQ46" s="8"/>
      <c r="AR46" s="3"/>
      <c r="AS46" s="3"/>
      <c r="AT46" s="3"/>
      <c r="AU46" s="3"/>
      <c r="AV46" s="3"/>
      <c r="AW46" s="8"/>
      <c r="AX46" s="8"/>
      <c r="AY46" s="3"/>
      <c r="AZ46" s="130"/>
      <c r="BA46" s="58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GO46" s="54"/>
      <c r="GP46" s="54"/>
    </row>
    <row r="47" spans="1:198" ht="15" hidden="1" customHeight="1" x14ac:dyDescent="0.25">
      <c r="A47" s="97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5"/>
        <v>0</v>
      </c>
      <c r="N47" s="7">
        <f t="shared" si="6"/>
        <v>0</v>
      </c>
      <c r="O47" s="4"/>
      <c r="P47" s="3"/>
      <c r="Q47" s="3"/>
      <c r="R47" s="3"/>
      <c r="S47" s="3"/>
      <c r="T47" s="3"/>
      <c r="U47" s="5"/>
      <c r="V47" s="125"/>
      <c r="W47" s="4"/>
      <c r="X47" s="3"/>
      <c r="Y47" s="3"/>
      <c r="Z47" s="3"/>
      <c r="AA47" s="3"/>
      <c r="AB47" s="8"/>
      <c r="AC47" s="8"/>
      <c r="AD47" s="3"/>
      <c r="AE47" s="3"/>
      <c r="AF47" s="3"/>
      <c r="AG47" s="3"/>
      <c r="AH47" s="3"/>
      <c r="AI47" s="8"/>
      <c r="AJ47" s="8"/>
      <c r="AK47" s="3"/>
      <c r="AL47" s="3"/>
      <c r="AM47" s="3"/>
      <c r="AN47" s="3"/>
      <c r="AO47" s="3"/>
      <c r="AP47" s="8"/>
      <c r="AQ47" s="8"/>
      <c r="AR47" s="3"/>
      <c r="AS47" s="3"/>
      <c r="AT47" s="3"/>
      <c r="AU47" s="3"/>
      <c r="AV47" s="3"/>
      <c r="AW47" s="8"/>
      <c r="AX47" s="8"/>
      <c r="AY47" s="3"/>
      <c r="AZ47" s="130"/>
      <c r="BA47" s="58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GO47" s="54"/>
      <c r="GP47" s="54"/>
    </row>
    <row r="48" spans="1:198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5"/>
        <v>0</v>
      </c>
      <c r="N48" s="7">
        <f t="shared" si="6"/>
        <v>0</v>
      </c>
      <c r="O48" s="4"/>
      <c r="P48" s="3"/>
      <c r="Q48" s="3"/>
      <c r="R48" s="3"/>
      <c r="S48" s="3"/>
      <c r="T48" s="3"/>
      <c r="U48" s="5"/>
      <c r="V48" s="125"/>
      <c r="W48" s="4"/>
      <c r="X48" s="3"/>
      <c r="Y48" s="3"/>
      <c r="Z48" s="3"/>
      <c r="AA48" s="3"/>
      <c r="AB48" s="8"/>
      <c r="AC48" s="8"/>
      <c r="AD48" s="3"/>
      <c r="AE48" s="3"/>
      <c r="AF48" s="3"/>
      <c r="AG48" s="3"/>
      <c r="AH48" s="3"/>
      <c r="AI48" s="8"/>
      <c r="AJ48" s="8"/>
      <c r="AK48" s="3"/>
      <c r="AL48" s="3"/>
      <c r="AM48" s="3"/>
      <c r="AN48" s="3"/>
      <c r="AO48" s="3"/>
      <c r="AP48" s="8"/>
      <c r="AQ48" s="8"/>
      <c r="AR48" s="3"/>
      <c r="AS48" s="3"/>
      <c r="AT48" s="3"/>
      <c r="AU48" s="3"/>
      <c r="AV48" s="3"/>
      <c r="AW48" s="8"/>
      <c r="AX48" s="8"/>
      <c r="AY48" s="3"/>
      <c r="AZ48" s="130"/>
      <c r="BA48" s="58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GO48" s="54"/>
      <c r="GP48" s="54"/>
    </row>
    <row r="49" spans="1:198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5"/>
        <v>0</v>
      </c>
      <c r="N49" s="7">
        <f t="shared" si="6"/>
        <v>0</v>
      </c>
      <c r="O49" s="4"/>
      <c r="P49" s="3"/>
      <c r="Q49" s="3"/>
      <c r="R49" s="3"/>
      <c r="S49" s="3"/>
      <c r="T49" s="3"/>
      <c r="U49" s="5"/>
      <c r="V49" s="125"/>
      <c r="W49" s="4"/>
      <c r="X49" s="3"/>
      <c r="Y49" s="3"/>
      <c r="Z49" s="3"/>
      <c r="AA49" s="3"/>
      <c r="AB49" s="8"/>
      <c r="AC49" s="8"/>
      <c r="AD49" s="3"/>
      <c r="AE49" s="3"/>
      <c r="AF49" s="3"/>
      <c r="AG49" s="3"/>
      <c r="AH49" s="3"/>
      <c r="AI49" s="8"/>
      <c r="AJ49" s="8"/>
      <c r="AK49" s="3"/>
      <c r="AL49" s="3"/>
      <c r="AM49" s="3"/>
      <c r="AN49" s="3"/>
      <c r="AO49" s="3"/>
      <c r="AP49" s="8"/>
      <c r="AQ49" s="8"/>
      <c r="AR49" s="3"/>
      <c r="AS49" s="3"/>
      <c r="AT49" s="3"/>
      <c r="AU49" s="3"/>
      <c r="AV49" s="3"/>
      <c r="AW49" s="8"/>
      <c r="AX49" s="8"/>
      <c r="AY49" s="3"/>
      <c r="AZ49" s="130"/>
      <c r="BA49" s="58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GO49" s="54"/>
      <c r="GP49" s="54"/>
    </row>
    <row r="50" spans="1:198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5"/>
        <v>0</v>
      </c>
      <c r="N50" s="7">
        <f t="shared" si="6"/>
        <v>0</v>
      </c>
      <c r="O50" s="4"/>
      <c r="P50" s="3"/>
      <c r="Q50" s="3"/>
      <c r="R50" s="3"/>
      <c r="S50" s="3"/>
      <c r="T50" s="3"/>
      <c r="U50" s="5"/>
      <c r="V50" s="125"/>
      <c r="W50" s="4"/>
      <c r="X50" s="3"/>
      <c r="Y50" s="3"/>
      <c r="Z50" s="3"/>
      <c r="AA50" s="3"/>
      <c r="AB50" s="8"/>
      <c r="AC50" s="8"/>
      <c r="AD50" s="3"/>
      <c r="AE50" s="3"/>
      <c r="AF50" s="3"/>
      <c r="AG50" s="3"/>
      <c r="AH50" s="3"/>
      <c r="AI50" s="8"/>
      <c r="AJ50" s="8"/>
      <c r="AK50" s="3"/>
      <c r="AL50" s="3"/>
      <c r="AM50" s="3"/>
      <c r="AN50" s="3"/>
      <c r="AO50" s="3"/>
      <c r="AP50" s="8"/>
      <c r="AQ50" s="8"/>
      <c r="AR50" s="3"/>
      <c r="AS50" s="3"/>
      <c r="AT50" s="3"/>
      <c r="AU50" s="3"/>
      <c r="AV50" s="3"/>
      <c r="AW50" s="8"/>
      <c r="AX50" s="8"/>
      <c r="AY50" s="3"/>
      <c r="AZ50" s="130"/>
      <c r="BA50" s="58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GO50" s="54"/>
      <c r="GP50" s="54"/>
    </row>
    <row r="51" spans="1:198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5"/>
        <v>0</v>
      </c>
      <c r="N51" s="7">
        <f t="shared" si="6"/>
        <v>0</v>
      </c>
      <c r="O51" s="4"/>
      <c r="P51" s="3"/>
      <c r="Q51" s="3"/>
      <c r="R51" s="3"/>
      <c r="S51" s="3"/>
      <c r="T51" s="3"/>
      <c r="U51" s="5"/>
      <c r="V51" s="125"/>
      <c r="W51" s="4"/>
      <c r="X51" s="3"/>
      <c r="Y51" s="3"/>
      <c r="Z51" s="3"/>
      <c r="AA51" s="3"/>
      <c r="AB51" s="8"/>
      <c r="AC51" s="8"/>
      <c r="AD51" s="3"/>
      <c r="AE51" s="3"/>
      <c r="AF51" s="3"/>
      <c r="AG51" s="3"/>
      <c r="AH51" s="3"/>
      <c r="AI51" s="8"/>
      <c r="AJ51" s="8"/>
      <c r="AK51" s="3"/>
      <c r="AL51" s="3"/>
      <c r="AM51" s="3"/>
      <c r="AN51" s="3"/>
      <c r="AO51" s="3"/>
      <c r="AP51" s="8"/>
      <c r="AQ51" s="8"/>
      <c r="AR51" s="3"/>
      <c r="AS51" s="3"/>
      <c r="AT51" s="3"/>
      <c r="AU51" s="3"/>
      <c r="AV51" s="3"/>
      <c r="AW51" s="8"/>
      <c r="AX51" s="8"/>
      <c r="AY51" s="3"/>
      <c r="AZ51" s="130"/>
      <c r="BA51" s="58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GO51" s="54"/>
      <c r="GP51" s="54"/>
    </row>
    <row r="52" spans="1:198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5"/>
        <v>0</v>
      </c>
      <c r="N52" s="7">
        <f t="shared" si="6"/>
        <v>0</v>
      </c>
      <c r="O52" s="4"/>
      <c r="P52" s="3"/>
      <c r="Q52" s="3"/>
      <c r="R52" s="3"/>
      <c r="S52" s="3"/>
      <c r="T52" s="3"/>
      <c r="U52" s="5"/>
      <c r="V52" s="125"/>
      <c r="W52" s="4"/>
      <c r="X52" s="3"/>
      <c r="Y52" s="3"/>
      <c r="Z52" s="3"/>
      <c r="AA52" s="3"/>
      <c r="AB52" s="8"/>
      <c r="AC52" s="8"/>
      <c r="AD52" s="3"/>
      <c r="AE52" s="3"/>
      <c r="AF52" s="3"/>
      <c r="AG52" s="3"/>
      <c r="AH52" s="3"/>
      <c r="AI52" s="8"/>
      <c r="AJ52" s="8"/>
      <c r="AK52" s="3"/>
      <c r="AL52" s="3"/>
      <c r="AM52" s="3"/>
      <c r="AN52" s="3"/>
      <c r="AO52" s="3"/>
      <c r="AP52" s="8"/>
      <c r="AQ52" s="8"/>
      <c r="AR52" s="3"/>
      <c r="AS52" s="3"/>
      <c r="AT52" s="3"/>
      <c r="AU52" s="3"/>
      <c r="AV52" s="3"/>
      <c r="AW52" s="8"/>
      <c r="AX52" s="8"/>
      <c r="AY52" s="3"/>
      <c r="AZ52" s="130"/>
      <c r="BA52" s="58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GO52" s="54"/>
      <c r="GP52" s="54"/>
    </row>
    <row r="53" spans="1:198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5"/>
        <v>0</v>
      </c>
      <c r="N53" s="7">
        <f t="shared" si="6"/>
        <v>0</v>
      </c>
      <c r="O53" s="4"/>
      <c r="P53" s="3"/>
      <c r="Q53" s="3"/>
      <c r="R53" s="3"/>
      <c r="S53" s="3"/>
      <c r="T53" s="3"/>
      <c r="U53" s="5"/>
      <c r="V53" s="125"/>
      <c r="W53" s="4"/>
      <c r="X53" s="3"/>
      <c r="Y53" s="3"/>
      <c r="Z53" s="3"/>
      <c r="AA53" s="3"/>
      <c r="AB53" s="8"/>
      <c r="AC53" s="8"/>
      <c r="AD53" s="3"/>
      <c r="AE53" s="3"/>
      <c r="AF53" s="3"/>
      <c r="AG53" s="3"/>
      <c r="AH53" s="3"/>
      <c r="AI53" s="8"/>
      <c r="AJ53" s="8"/>
      <c r="AK53" s="3"/>
      <c r="AL53" s="3"/>
      <c r="AM53" s="3"/>
      <c r="AN53" s="3"/>
      <c r="AO53" s="3"/>
      <c r="AP53" s="8"/>
      <c r="AQ53" s="8"/>
      <c r="AR53" s="3"/>
      <c r="AS53" s="3"/>
      <c r="AT53" s="3"/>
      <c r="AU53" s="3"/>
      <c r="AV53" s="3"/>
      <c r="AW53" s="8"/>
      <c r="AX53" s="8"/>
      <c r="AY53" s="3"/>
      <c r="AZ53" s="130"/>
      <c r="BA53" s="58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GO53" s="54"/>
      <c r="GP53" s="54"/>
    </row>
    <row r="54" spans="1:198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5"/>
        <v>0</v>
      </c>
      <c r="N54" s="7">
        <f t="shared" si="6"/>
        <v>0</v>
      </c>
      <c r="O54" s="4"/>
      <c r="P54" s="3"/>
      <c r="Q54" s="3"/>
      <c r="R54" s="3"/>
      <c r="S54" s="3"/>
      <c r="T54" s="3"/>
      <c r="U54" s="5"/>
      <c r="V54" s="125"/>
      <c r="W54" s="4"/>
      <c r="X54" s="3"/>
      <c r="Y54" s="3"/>
      <c r="Z54" s="3"/>
      <c r="AA54" s="3"/>
      <c r="AB54" s="8"/>
      <c r="AC54" s="8"/>
      <c r="AD54" s="3"/>
      <c r="AE54" s="3"/>
      <c r="AF54" s="3"/>
      <c r="AG54" s="3"/>
      <c r="AH54" s="3"/>
      <c r="AI54" s="8"/>
      <c r="AJ54" s="8"/>
      <c r="AK54" s="3"/>
      <c r="AL54" s="3"/>
      <c r="AM54" s="3"/>
      <c r="AN54" s="3"/>
      <c r="AO54" s="3"/>
      <c r="AP54" s="8"/>
      <c r="AQ54" s="8"/>
      <c r="AR54" s="3"/>
      <c r="AS54" s="3"/>
      <c r="AT54" s="3"/>
      <c r="AU54" s="3"/>
      <c r="AV54" s="3"/>
      <c r="AW54" s="8"/>
      <c r="AX54" s="8"/>
      <c r="AY54" s="3"/>
      <c r="AZ54" s="130"/>
      <c r="BA54" s="58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GO54" s="54"/>
      <c r="GP54" s="54"/>
    </row>
    <row r="55" spans="1:198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5"/>
        <v>0</v>
      </c>
      <c r="N55" s="7">
        <f t="shared" si="6"/>
        <v>0</v>
      </c>
      <c r="O55" s="4"/>
      <c r="P55" s="3"/>
      <c r="Q55" s="3"/>
      <c r="R55" s="3"/>
      <c r="S55" s="3"/>
      <c r="T55" s="3"/>
      <c r="U55" s="5"/>
      <c r="V55" s="125"/>
      <c r="W55" s="4"/>
      <c r="X55" s="3"/>
      <c r="Y55" s="3"/>
      <c r="Z55" s="3"/>
      <c r="AA55" s="3"/>
      <c r="AB55" s="8"/>
      <c r="AC55" s="8"/>
      <c r="AD55" s="3"/>
      <c r="AE55" s="3"/>
      <c r="AF55" s="3"/>
      <c r="AG55" s="3"/>
      <c r="AH55" s="3"/>
      <c r="AI55" s="8"/>
      <c r="AJ55" s="8"/>
      <c r="AK55" s="3"/>
      <c r="AL55" s="3"/>
      <c r="AM55" s="3"/>
      <c r="AN55" s="3"/>
      <c r="AO55" s="3"/>
      <c r="AP55" s="8"/>
      <c r="AQ55" s="8"/>
      <c r="AR55" s="3"/>
      <c r="AS55" s="3"/>
      <c r="AT55" s="3"/>
      <c r="AU55" s="3"/>
      <c r="AV55" s="3"/>
      <c r="AW55" s="8"/>
      <c r="AX55" s="8"/>
      <c r="AY55" s="3"/>
      <c r="AZ55" s="130"/>
      <c r="BA55" s="58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GO55" s="54"/>
      <c r="GP55" s="54"/>
    </row>
    <row r="56" spans="1:198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5"/>
        <v>0</v>
      </c>
      <c r="N56" s="7">
        <f t="shared" si="6"/>
        <v>0</v>
      </c>
      <c r="O56" s="4"/>
      <c r="P56" s="3"/>
      <c r="Q56" s="3"/>
      <c r="R56" s="3"/>
      <c r="S56" s="3"/>
      <c r="T56" s="3"/>
      <c r="U56" s="5"/>
      <c r="V56" s="125"/>
      <c r="W56" s="4"/>
      <c r="X56" s="3"/>
      <c r="Y56" s="3"/>
      <c r="Z56" s="3"/>
      <c r="AA56" s="3"/>
      <c r="AB56" s="8"/>
      <c r="AC56" s="8"/>
      <c r="AD56" s="3"/>
      <c r="AE56" s="3"/>
      <c r="AF56" s="3"/>
      <c r="AG56" s="3"/>
      <c r="AH56" s="3"/>
      <c r="AI56" s="8"/>
      <c r="AJ56" s="8"/>
      <c r="AK56" s="3"/>
      <c r="AL56" s="3"/>
      <c r="AM56" s="3"/>
      <c r="AN56" s="3"/>
      <c r="AO56" s="3"/>
      <c r="AP56" s="8"/>
      <c r="AQ56" s="8"/>
      <c r="AR56" s="3"/>
      <c r="AS56" s="3"/>
      <c r="AT56" s="3"/>
      <c r="AU56" s="3"/>
      <c r="AV56" s="3"/>
      <c r="AW56" s="8"/>
      <c r="AX56" s="8"/>
      <c r="AY56" s="3"/>
      <c r="AZ56" s="130"/>
      <c r="BA56" s="58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GO56" s="54"/>
      <c r="GP56" s="54"/>
    </row>
    <row r="57" spans="1:198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5"/>
        <v>0</v>
      </c>
      <c r="N57" s="7">
        <f t="shared" si="6"/>
        <v>0</v>
      </c>
      <c r="O57" s="4"/>
      <c r="P57" s="3"/>
      <c r="Q57" s="3"/>
      <c r="R57" s="3"/>
      <c r="S57" s="3"/>
      <c r="T57" s="3"/>
      <c r="U57" s="5"/>
      <c r="V57" s="125"/>
      <c r="W57" s="4"/>
      <c r="X57" s="3"/>
      <c r="Y57" s="3"/>
      <c r="Z57" s="3"/>
      <c r="AA57" s="3"/>
      <c r="AB57" s="8"/>
      <c r="AC57" s="8"/>
      <c r="AD57" s="3"/>
      <c r="AE57" s="3"/>
      <c r="AF57" s="3"/>
      <c r="AG57" s="3"/>
      <c r="AH57" s="3"/>
      <c r="AI57" s="8"/>
      <c r="AJ57" s="8"/>
      <c r="AK57" s="3"/>
      <c r="AL57" s="3"/>
      <c r="AM57" s="3"/>
      <c r="AN57" s="3"/>
      <c r="AO57" s="3"/>
      <c r="AP57" s="8"/>
      <c r="AQ57" s="8"/>
      <c r="AR57" s="3"/>
      <c r="AS57" s="3"/>
      <c r="AT57" s="3"/>
      <c r="AU57" s="3"/>
      <c r="AV57" s="3"/>
      <c r="AW57" s="8"/>
      <c r="AX57" s="8"/>
      <c r="AY57" s="3"/>
      <c r="AZ57" s="130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GO57" s="54"/>
      <c r="GP57" s="54"/>
    </row>
    <row r="58" spans="1:198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5"/>
        <v>0</v>
      </c>
      <c r="N58" s="7">
        <f t="shared" si="6"/>
        <v>0</v>
      </c>
      <c r="O58" s="4"/>
      <c r="P58" s="3"/>
      <c r="Q58" s="3"/>
      <c r="R58" s="3"/>
      <c r="S58" s="3"/>
      <c r="T58" s="3"/>
      <c r="U58" s="5"/>
      <c r="V58" s="125"/>
      <c r="W58" s="4"/>
      <c r="X58" s="3"/>
      <c r="Y58" s="3"/>
      <c r="Z58" s="3"/>
      <c r="AA58" s="3"/>
      <c r="AB58" s="8"/>
      <c r="AC58" s="8"/>
      <c r="AD58" s="3"/>
      <c r="AE58" s="3"/>
      <c r="AF58" s="3"/>
      <c r="AG58" s="3"/>
      <c r="AH58" s="3"/>
      <c r="AI58" s="8"/>
      <c r="AJ58" s="8"/>
      <c r="AK58" s="3"/>
      <c r="AL58" s="3"/>
      <c r="AM58" s="3"/>
      <c r="AN58" s="3"/>
      <c r="AO58" s="3"/>
      <c r="AP58" s="8"/>
      <c r="AQ58" s="8"/>
      <c r="AR58" s="3"/>
      <c r="AS58" s="3"/>
      <c r="AT58" s="3"/>
      <c r="AU58" s="3"/>
      <c r="AV58" s="3"/>
      <c r="AW58" s="8"/>
      <c r="AX58" s="8"/>
      <c r="AY58" s="3"/>
      <c r="AZ58" s="130"/>
      <c r="BA58" s="58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GO58" s="54"/>
      <c r="GP58" s="54"/>
    </row>
    <row r="59" spans="1:198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5"/>
        <v>0</v>
      </c>
      <c r="N59" s="7">
        <f t="shared" si="6"/>
        <v>0</v>
      </c>
      <c r="O59" s="4"/>
      <c r="P59" s="3"/>
      <c r="Q59" s="3"/>
      <c r="R59" s="3"/>
      <c r="S59" s="3"/>
      <c r="T59" s="3"/>
      <c r="U59" s="5"/>
      <c r="V59" s="125"/>
      <c r="W59" s="4"/>
      <c r="X59" s="3"/>
      <c r="Y59" s="3"/>
      <c r="Z59" s="3"/>
      <c r="AA59" s="3"/>
      <c r="AB59" s="8"/>
      <c r="AC59" s="8"/>
      <c r="AD59" s="3"/>
      <c r="AE59" s="3"/>
      <c r="AF59" s="3"/>
      <c r="AG59" s="3"/>
      <c r="AH59" s="3"/>
      <c r="AI59" s="8"/>
      <c r="AJ59" s="8"/>
      <c r="AK59" s="3"/>
      <c r="AL59" s="3"/>
      <c r="AM59" s="3"/>
      <c r="AN59" s="3"/>
      <c r="AO59" s="3"/>
      <c r="AP59" s="8"/>
      <c r="AQ59" s="8"/>
      <c r="AR59" s="3"/>
      <c r="AS59" s="3"/>
      <c r="AT59" s="3"/>
      <c r="AU59" s="3"/>
      <c r="AV59" s="3"/>
      <c r="AW59" s="8"/>
      <c r="AX59" s="8"/>
      <c r="AY59" s="3"/>
      <c r="AZ59" s="130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GO59" s="54"/>
      <c r="GP59" s="54"/>
    </row>
    <row r="60" spans="1:198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5"/>
        <v>0</v>
      </c>
      <c r="N60" s="7">
        <f t="shared" si="6"/>
        <v>0</v>
      </c>
      <c r="O60" s="4"/>
      <c r="P60" s="3"/>
      <c r="Q60" s="3"/>
      <c r="R60" s="3"/>
      <c r="S60" s="3"/>
      <c r="T60" s="3"/>
      <c r="U60" s="5"/>
      <c r="V60" s="125"/>
      <c r="W60" s="4"/>
      <c r="X60" s="3"/>
      <c r="Y60" s="3"/>
      <c r="Z60" s="3"/>
      <c r="AA60" s="3"/>
      <c r="AB60" s="8"/>
      <c r="AC60" s="8"/>
      <c r="AD60" s="3"/>
      <c r="AE60" s="3"/>
      <c r="AF60" s="3"/>
      <c r="AG60" s="3"/>
      <c r="AH60" s="3"/>
      <c r="AI60" s="8"/>
      <c r="AJ60" s="8"/>
      <c r="AK60" s="3"/>
      <c r="AL60" s="3"/>
      <c r="AM60" s="3"/>
      <c r="AN60" s="3"/>
      <c r="AO60" s="3"/>
      <c r="AP60" s="8"/>
      <c r="AQ60" s="8"/>
      <c r="AR60" s="3"/>
      <c r="AS60" s="3"/>
      <c r="AT60" s="3"/>
      <c r="AU60" s="3"/>
      <c r="AV60" s="3"/>
      <c r="AW60" s="8"/>
      <c r="AX60" s="8"/>
      <c r="AY60" s="3"/>
      <c r="AZ60" s="130"/>
      <c r="BA60" s="58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GO60" s="54"/>
      <c r="GP60" s="54"/>
    </row>
    <row r="61" spans="1:198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5"/>
        <v>0</v>
      </c>
      <c r="N61" s="7">
        <f t="shared" si="6"/>
        <v>0</v>
      </c>
      <c r="O61" s="4"/>
      <c r="P61" s="3"/>
      <c r="Q61" s="3"/>
      <c r="R61" s="3"/>
      <c r="S61" s="3"/>
      <c r="T61" s="3"/>
      <c r="U61" s="5"/>
      <c r="V61" s="125"/>
      <c r="W61" s="4"/>
      <c r="X61" s="3"/>
      <c r="Y61" s="3"/>
      <c r="Z61" s="3"/>
      <c r="AA61" s="3"/>
      <c r="AB61" s="8"/>
      <c r="AC61" s="8"/>
      <c r="AD61" s="3"/>
      <c r="AE61" s="3"/>
      <c r="AF61" s="3"/>
      <c r="AG61" s="3"/>
      <c r="AH61" s="3"/>
      <c r="AI61" s="8"/>
      <c r="AJ61" s="8"/>
      <c r="AK61" s="3"/>
      <c r="AL61" s="3"/>
      <c r="AM61" s="3"/>
      <c r="AN61" s="3"/>
      <c r="AO61" s="3"/>
      <c r="AP61" s="8"/>
      <c r="AQ61" s="8"/>
      <c r="AR61" s="3"/>
      <c r="AS61" s="3"/>
      <c r="AT61" s="3"/>
      <c r="AU61" s="3"/>
      <c r="AV61" s="3"/>
      <c r="AW61" s="8"/>
      <c r="AX61" s="8"/>
      <c r="AY61" s="3"/>
      <c r="AZ61" s="130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GO61" s="54"/>
      <c r="GP61" s="54"/>
    </row>
    <row r="62" spans="1:198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5"/>
        <v>0</v>
      </c>
      <c r="N62" s="7">
        <f t="shared" si="6"/>
        <v>0</v>
      </c>
      <c r="O62" s="4"/>
      <c r="P62" s="3"/>
      <c r="Q62" s="3"/>
      <c r="R62" s="3"/>
      <c r="S62" s="3"/>
      <c r="T62" s="3"/>
      <c r="U62" s="5"/>
      <c r="V62" s="125"/>
      <c r="W62" s="4"/>
      <c r="X62" s="3"/>
      <c r="Y62" s="3"/>
      <c r="Z62" s="3"/>
      <c r="AA62" s="3"/>
      <c r="AB62" s="8"/>
      <c r="AC62" s="8"/>
      <c r="AD62" s="3"/>
      <c r="AE62" s="3"/>
      <c r="AF62" s="3"/>
      <c r="AG62" s="3"/>
      <c r="AH62" s="3"/>
      <c r="AI62" s="8"/>
      <c r="AJ62" s="8"/>
      <c r="AK62" s="3"/>
      <c r="AL62" s="3"/>
      <c r="AM62" s="3"/>
      <c r="AN62" s="3"/>
      <c r="AO62" s="3"/>
      <c r="AP62" s="8"/>
      <c r="AQ62" s="8"/>
      <c r="AR62" s="3"/>
      <c r="AS62" s="3"/>
      <c r="AT62" s="3"/>
      <c r="AU62" s="3"/>
      <c r="AV62" s="3"/>
      <c r="AW62" s="8"/>
      <c r="AX62" s="8"/>
      <c r="AY62" s="3"/>
      <c r="AZ62" s="130"/>
      <c r="BA62" s="58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GO62" s="54"/>
      <c r="GP62" s="54"/>
    </row>
    <row r="63" spans="1:198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5"/>
        <v>0</v>
      </c>
      <c r="N63" s="7">
        <f t="shared" si="6"/>
        <v>0</v>
      </c>
      <c r="O63" s="4"/>
      <c r="P63" s="3"/>
      <c r="Q63" s="3"/>
      <c r="R63" s="3"/>
      <c r="S63" s="3"/>
      <c r="T63" s="3"/>
      <c r="U63" s="5"/>
      <c r="V63" s="125"/>
      <c r="W63" s="4"/>
      <c r="X63" s="3"/>
      <c r="Y63" s="3"/>
      <c r="Z63" s="3"/>
      <c r="AA63" s="3"/>
      <c r="AB63" s="8"/>
      <c r="AC63" s="8"/>
      <c r="AD63" s="3"/>
      <c r="AE63" s="3"/>
      <c r="AF63" s="3"/>
      <c r="AG63" s="3"/>
      <c r="AH63" s="3"/>
      <c r="AI63" s="8"/>
      <c r="AJ63" s="8"/>
      <c r="AK63" s="3"/>
      <c r="AL63" s="3"/>
      <c r="AM63" s="3"/>
      <c r="AN63" s="3"/>
      <c r="AO63" s="3"/>
      <c r="AP63" s="8"/>
      <c r="AQ63" s="8"/>
      <c r="AR63" s="3"/>
      <c r="AS63" s="3"/>
      <c r="AT63" s="3"/>
      <c r="AU63" s="3"/>
      <c r="AV63" s="3"/>
      <c r="AW63" s="8"/>
      <c r="AX63" s="8"/>
      <c r="AY63" s="3"/>
      <c r="AZ63" s="130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GO63" s="54"/>
      <c r="GP63" s="54"/>
    </row>
    <row r="64" spans="1:198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5"/>
        <v>0</v>
      </c>
      <c r="N64" s="7">
        <f t="shared" si="6"/>
        <v>0</v>
      </c>
      <c r="O64" s="4"/>
      <c r="P64" s="3"/>
      <c r="Q64" s="3"/>
      <c r="R64" s="3"/>
      <c r="S64" s="3"/>
      <c r="T64" s="3"/>
      <c r="U64" s="5"/>
      <c r="V64" s="125"/>
      <c r="W64" s="4"/>
      <c r="X64" s="3"/>
      <c r="Y64" s="3"/>
      <c r="Z64" s="3"/>
      <c r="AA64" s="3"/>
      <c r="AB64" s="8"/>
      <c r="AC64" s="8"/>
      <c r="AD64" s="3"/>
      <c r="AE64" s="3"/>
      <c r="AF64" s="3"/>
      <c r="AG64" s="3"/>
      <c r="AH64" s="3"/>
      <c r="AI64" s="8"/>
      <c r="AJ64" s="8"/>
      <c r="AK64" s="3"/>
      <c r="AL64" s="3"/>
      <c r="AM64" s="3"/>
      <c r="AN64" s="3"/>
      <c r="AO64" s="3"/>
      <c r="AP64" s="8"/>
      <c r="AQ64" s="8"/>
      <c r="AR64" s="3"/>
      <c r="AS64" s="3"/>
      <c r="AT64" s="3"/>
      <c r="AU64" s="3"/>
      <c r="AV64" s="3"/>
      <c r="AW64" s="8"/>
      <c r="AX64" s="8"/>
      <c r="AY64" s="3"/>
      <c r="AZ64" s="130"/>
      <c r="BA64" s="58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GO64" s="54"/>
      <c r="GP64" s="54"/>
    </row>
    <row r="65" spans="1:198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5"/>
        <v>0</v>
      </c>
      <c r="N65" s="7">
        <f t="shared" si="6"/>
        <v>0</v>
      </c>
      <c r="O65" s="4"/>
      <c r="P65" s="3"/>
      <c r="Q65" s="3"/>
      <c r="R65" s="3"/>
      <c r="S65" s="3"/>
      <c r="T65" s="3"/>
      <c r="U65" s="5"/>
      <c r="V65" s="125"/>
      <c r="W65" s="4"/>
      <c r="X65" s="3"/>
      <c r="Y65" s="3"/>
      <c r="Z65" s="3"/>
      <c r="AA65" s="3"/>
      <c r="AB65" s="8"/>
      <c r="AC65" s="8"/>
      <c r="AD65" s="3"/>
      <c r="AE65" s="3"/>
      <c r="AF65" s="3"/>
      <c r="AG65" s="3"/>
      <c r="AH65" s="3"/>
      <c r="AI65" s="8"/>
      <c r="AJ65" s="8"/>
      <c r="AK65" s="3"/>
      <c r="AL65" s="3"/>
      <c r="AM65" s="3"/>
      <c r="AN65" s="3"/>
      <c r="AO65" s="3"/>
      <c r="AP65" s="8"/>
      <c r="AQ65" s="8"/>
      <c r="AR65" s="3"/>
      <c r="AS65" s="3"/>
      <c r="AT65" s="3"/>
      <c r="AU65" s="3"/>
      <c r="AV65" s="3"/>
      <c r="AW65" s="8"/>
      <c r="AX65" s="8"/>
      <c r="AY65" s="3"/>
      <c r="AZ65" s="130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GO65" s="54"/>
      <c r="GP65" s="54"/>
    </row>
    <row r="66" spans="1:198" ht="15" hidden="1" customHeight="1" x14ac:dyDescent="0.25">
      <c r="A66" s="102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5"/>
        <v>0</v>
      </c>
      <c r="N66" s="7">
        <f t="shared" si="6"/>
        <v>0</v>
      </c>
      <c r="O66" s="4"/>
      <c r="P66" s="3"/>
      <c r="Q66" s="3"/>
      <c r="R66" s="3"/>
      <c r="S66" s="3"/>
      <c r="T66" s="3"/>
      <c r="U66" s="5"/>
      <c r="V66" s="125"/>
      <c r="W66" s="4"/>
      <c r="X66" s="3"/>
      <c r="Y66" s="3"/>
      <c r="Z66" s="3"/>
      <c r="AA66" s="3"/>
      <c r="AB66" s="8"/>
      <c r="AC66" s="8"/>
      <c r="AD66" s="3"/>
      <c r="AE66" s="3"/>
      <c r="AF66" s="3"/>
      <c r="AG66" s="3"/>
      <c r="AH66" s="3"/>
      <c r="AI66" s="8"/>
      <c r="AJ66" s="8"/>
      <c r="AK66" s="3"/>
      <c r="AL66" s="3"/>
      <c r="AM66" s="3"/>
      <c r="AN66" s="3"/>
      <c r="AO66" s="3"/>
      <c r="AP66" s="8"/>
      <c r="AQ66" s="8"/>
      <c r="AR66" s="3"/>
      <c r="AS66" s="3"/>
      <c r="AT66" s="3"/>
      <c r="AU66" s="3"/>
      <c r="AV66" s="3"/>
      <c r="AW66" s="8"/>
      <c r="AX66" s="8"/>
      <c r="AY66" s="3"/>
      <c r="AZ66" s="130"/>
      <c r="BA66" s="58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GO66" s="54"/>
      <c r="GP66" s="54"/>
    </row>
    <row r="67" spans="1:198" ht="15" hidden="1" customHeight="1" x14ac:dyDescent="0.25">
      <c r="A67" s="97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5"/>
        <v>0</v>
      </c>
      <c r="N67" s="7">
        <f t="shared" si="6"/>
        <v>0</v>
      </c>
      <c r="O67" s="4"/>
      <c r="P67" s="3"/>
      <c r="Q67" s="3"/>
      <c r="R67" s="3"/>
      <c r="S67" s="3"/>
      <c r="T67" s="3"/>
      <c r="U67" s="5"/>
      <c r="V67" s="125"/>
      <c r="W67" s="4"/>
      <c r="X67" s="3"/>
      <c r="Y67" s="3"/>
      <c r="Z67" s="3"/>
      <c r="AA67" s="3"/>
      <c r="AB67" s="8"/>
      <c r="AC67" s="8"/>
      <c r="AD67" s="3"/>
      <c r="AE67" s="3"/>
      <c r="AF67" s="3"/>
      <c r="AG67" s="3"/>
      <c r="AH67" s="3"/>
      <c r="AI67" s="8"/>
      <c r="AJ67" s="8"/>
      <c r="AK67" s="3"/>
      <c r="AL67" s="3"/>
      <c r="AM67" s="3"/>
      <c r="AN67" s="3"/>
      <c r="AO67" s="3"/>
      <c r="AP67" s="8"/>
      <c r="AQ67" s="8"/>
      <c r="AR67" s="3"/>
      <c r="AS67" s="3"/>
      <c r="AT67" s="3"/>
      <c r="AU67" s="3"/>
      <c r="AV67" s="3"/>
      <c r="AW67" s="8"/>
      <c r="AX67" s="8"/>
      <c r="AY67" s="3"/>
      <c r="AZ67" s="130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GO67" s="54"/>
      <c r="GP67" s="54"/>
    </row>
    <row r="68" spans="1:198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5"/>
        <v>0</v>
      </c>
      <c r="N68" s="7">
        <f t="shared" si="6"/>
        <v>0</v>
      </c>
      <c r="O68" s="4"/>
      <c r="P68" s="3"/>
      <c r="Q68" s="3"/>
      <c r="R68" s="3"/>
      <c r="S68" s="3"/>
      <c r="T68" s="3"/>
      <c r="U68" s="5"/>
      <c r="V68" s="125"/>
      <c r="W68" s="4"/>
      <c r="X68" s="3"/>
      <c r="Y68" s="3"/>
      <c r="Z68" s="3"/>
      <c r="AA68" s="3"/>
      <c r="AB68" s="8"/>
      <c r="AC68" s="8"/>
      <c r="AD68" s="3"/>
      <c r="AE68" s="3"/>
      <c r="AF68" s="3"/>
      <c r="AG68" s="3"/>
      <c r="AH68" s="3"/>
      <c r="AI68" s="8"/>
      <c r="AJ68" s="8"/>
      <c r="AK68" s="3"/>
      <c r="AL68" s="3"/>
      <c r="AM68" s="3"/>
      <c r="AN68" s="3"/>
      <c r="AO68" s="3"/>
      <c r="AP68" s="8"/>
      <c r="AQ68" s="8"/>
      <c r="AR68" s="3"/>
      <c r="AS68" s="3"/>
      <c r="AT68" s="3"/>
      <c r="AU68" s="3"/>
      <c r="AV68" s="3"/>
      <c r="AW68" s="8"/>
      <c r="AX68" s="8"/>
      <c r="AY68" s="3"/>
      <c r="AZ68" s="130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GO68" s="54"/>
      <c r="GP68" s="54"/>
    </row>
    <row r="69" spans="1:198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5"/>
        <v>0</v>
      </c>
      <c r="N69" s="7">
        <f t="shared" si="6"/>
        <v>0</v>
      </c>
      <c r="O69" s="4"/>
      <c r="P69" s="3"/>
      <c r="Q69" s="3"/>
      <c r="R69" s="3"/>
      <c r="S69" s="3"/>
      <c r="T69" s="3"/>
      <c r="U69" s="5"/>
      <c r="V69" s="125"/>
      <c r="W69" s="4"/>
      <c r="X69" s="3"/>
      <c r="Y69" s="3"/>
      <c r="Z69" s="3"/>
      <c r="AA69" s="3"/>
      <c r="AB69" s="8"/>
      <c r="AC69" s="8"/>
      <c r="AD69" s="3"/>
      <c r="AE69" s="3"/>
      <c r="AF69" s="3"/>
      <c r="AG69" s="3"/>
      <c r="AH69" s="3"/>
      <c r="AI69" s="8"/>
      <c r="AJ69" s="8"/>
      <c r="AK69" s="3"/>
      <c r="AL69" s="3"/>
      <c r="AM69" s="3"/>
      <c r="AN69" s="3"/>
      <c r="AO69" s="3"/>
      <c r="AP69" s="8"/>
      <c r="AQ69" s="8"/>
      <c r="AR69" s="3"/>
      <c r="AS69" s="3"/>
      <c r="AT69" s="3"/>
      <c r="AU69" s="3"/>
      <c r="AV69" s="3"/>
      <c r="AW69" s="8"/>
      <c r="AX69" s="8"/>
      <c r="AY69" s="3"/>
      <c r="AZ69" s="130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GO69" s="54"/>
      <c r="GP69" s="54"/>
    </row>
    <row r="70" spans="1:198" ht="15" hidden="1" customHeight="1" x14ac:dyDescent="0.25">
      <c r="A70" s="102">
        <v>59</v>
      </c>
      <c r="B70" s="103"/>
      <c r="C70" s="104"/>
      <c r="D70" s="2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5"/>
        <v>0</v>
      </c>
      <c r="N70" s="7">
        <f t="shared" si="6"/>
        <v>0</v>
      </c>
      <c r="O70" s="4"/>
      <c r="P70" s="3"/>
      <c r="Q70" s="3"/>
      <c r="R70" s="3"/>
      <c r="S70" s="3"/>
      <c r="T70" s="3"/>
      <c r="U70" s="5"/>
      <c r="V70" s="125"/>
      <c r="W70" s="4"/>
      <c r="X70" s="3"/>
      <c r="Y70" s="3"/>
      <c r="Z70" s="3"/>
      <c r="AA70" s="3"/>
      <c r="AB70" s="8"/>
      <c r="AC70" s="8"/>
      <c r="AD70" s="3"/>
      <c r="AE70" s="3"/>
      <c r="AF70" s="3"/>
      <c r="AG70" s="3"/>
      <c r="AH70" s="3"/>
      <c r="AI70" s="8"/>
      <c r="AJ70" s="8"/>
      <c r="AK70" s="3"/>
      <c r="AL70" s="3"/>
      <c r="AM70" s="3"/>
      <c r="AN70" s="3"/>
      <c r="AO70" s="3"/>
      <c r="AP70" s="8"/>
      <c r="AQ70" s="8"/>
      <c r="AR70" s="3"/>
      <c r="AS70" s="3"/>
      <c r="AT70" s="3"/>
      <c r="AU70" s="3"/>
      <c r="AV70" s="3"/>
      <c r="AW70" s="8"/>
      <c r="AX70" s="8"/>
      <c r="AY70" s="3"/>
      <c r="AZ70" s="130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GO70" s="54"/>
      <c r="GP70" s="54"/>
    </row>
    <row r="71" spans="1:198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2"/>
        <v/>
      </c>
      <c r="H71" s="100" t="str">
        <f t="shared" si="3"/>
        <v/>
      </c>
      <c r="I71" s="101">
        <f t="shared" si="0"/>
        <v>0</v>
      </c>
      <c r="J71" s="100" t="str">
        <f t="shared" si="1"/>
        <v/>
      </c>
      <c r="K71" s="6" t="str">
        <f t="shared" si="4"/>
        <v/>
      </c>
      <c r="L71" s="6" t="str">
        <f t="shared" si="4"/>
        <v/>
      </c>
      <c r="M71" s="6">
        <f t="shared" si="5"/>
        <v>0</v>
      </c>
      <c r="N71" s="7">
        <f t="shared" si="6"/>
        <v>0</v>
      </c>
      <c r="O71" s="4"/>
      <c r="P71" s="3"/>
      <c r="Q71" s="3"/>
      <c r="R71" s="3"/>
      <c r="S71" s="3"/>
      <c r="T71" s="3"/>
      <c r="U71" s="5"/>
      <c r="V71" s="125"/>
      <c r="W71" s="4"/>
      <c r="X71" s="3"/>
      <c r="Y71" s="3"/>
      <c r="Z71" s="3"/>
      <c r="AA71" s="3"/>
      <c r="AB71" s="8"/>
      <c r="AC71" s="8"/>
      <c r="AD71" s="3"/>
      <c r="AE71" s="3"/>
      <c r="AF71" s="3"/>
      <c r="AG71" s="3"/>
      <c r="AH71" s="3"/>
      <c r="AI71" s="8"/>
      <c r="AJ71" s="8"/>
      <c r="AK71" s="3"/>
      <c r="AL71" s="3"/>
      <c r="AM71" s="3"/>
      <c r="AN71" s="3"/>
      <c r="AO71" s="3"/>
      <c r="AP71" s="8"/>
      <c r="AQ71" s="8"/>
      <c r="AR71" s="3"/>
      <c r="AS71" s="3"/>
      <c r="AT71" s="3"/>
      <c r="AU71" s="3"/>
      <c r="AV71" s="3"/>
      <c r="AW71" s="8"/>
      <c r="AX71" s="8"/>
      <c r="AY71" s="3"/>
      <c r="AZ71" s="130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GO71" s="54"/>
      <c r="GP71" s="54"/>
    </row>
    <row r="72" spans="1:198" ht="15" hidden="1" customHeight="1" x14ac:dyDescent="0.25">
      <c r="A72" s="97">
        <v>61</v>
      </c>
      <c r="B72" s="103"/>
      <c r="C72" s="104"/>
      <c r="D72" s="1"/>
      <c r="E72" s="105"/>
      <c r="F72" s="105"/>
      <c r="G72" s="100" t="str">
        <f t="shared" si="2"/>
        <v/>
      </c>
      <c r="H72" s="100" t="str">
        <f t="shared" si="3"/>
        <v/>
      </c>
      <c r="I72" s="101">
        <f t="shared" si="0"/>
        <v>0</v>
      </c>
      <c r="J72" s="100" t="str">
        <f t="shared" si="1"/>
        <v/>
      </c>
      <c r="K72" s="6" t="str">
        <f t="shared" si="4"/>
        <v/>
      </c>
      <c r="L72" s="6" t="str">
        <f t="shared" si="4"/>
        <v/>
      </c>
      <c r="M72" s="6">
        <f t="shared" si="5"/>
        <v>0</v>
      </c>
      <c r="N72" s="7">
        <f t="shared" si="6"/>
        <v>0</v>
      </c>
      <c r="O72" s="4"/>
      <c r="P72" s="3"/>
      <c r="Q72" s="3"/>
      <c r="R72" s="3"/>
      <c r="S72" s="3"/>
      <c r="T72" s="3"/>
      <c r="U72" s="5"/>
      <c r="V72" s="125"/>
      <c r="W72" s="4"/>
      <c r="X72" s="3"/>
      <c r="Y72" s="3"/>
      <c r="Z72" s="3"/>
      <c r="AA72" s="3"/>
      <c r="AB72" s="8"/>
      <c r="AC72" s="8"/>
      <c r="AD72" s="3"/>
      <c r="AE72" s="3"/>
      <c r="AF72" s="3"/>
      <c r="AG72" s="3"/>
      <c r="AH72" s="3"/>
      <c r="AI72" s="8"/>
      <c r="AJ72" s="8"/>
      <c r="AK72" s="3"/>
      <c r="AL72" s="3"/>
      <c r="AM72" s="3"/>
      <c r="AN72" s="3"/>
      <c r="AO72" s="3"/>
      <c r="AP72" s="8"/>
      <c r="AQ72" s="8"/>
      <c r="AR72" s="3"/>
      <c r="AS72" s="3"/>
      <c r="AT72" s="3"/>
      <c r="AU72" s="3"/>
      <c r="AV72" s="3"/>
      <c r="AW72" s="8"/>
      <c r="AX72" s="8"/>
      <c r="AY72" s="3"/>
      <c r="AZ72" s="130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GO72" s="54"/>
      <c r="GP72" s="54"/>
    </row>
    <row r="73" spans="1:198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2"/>
        <v/>
      </c>
      <c r="H73" s="100" t="str">
        <f t="shared" si="3"/>
        <v/>
      </c>
      <c r="I73" s="101">
        <f t="shared" si="0"/>
        <v>0</v>
      </c>
      <c r="J73" s="100" t="str">
        <f t="shared" si="1"/>
        <v/>
      </c>
      <c r="K73" s="6" t="str">
        <f t="shared" si="4"/>
        <v/>
      </c>
      <c r="L73" s="6" t="str">
        <f t="shared" si="4"/>
        <v/>
      </c>
      <c r="M73" s="6">
        <f t="shared" si="5"/>
        <v>0</v>
      </c>
      <c r="N73" s="7">
        <f t="shared" si="6"/>
        <v>0</v>
      </c>
      <c r="O73" s="4"/>
      <c r="P73" s="3"/>
      <c r="Q73" s="3"/>
      <c r="R73" s="3"/>
      <c r="S73" s="3"/>
      <c r="T73" s="3"/>
      <c r="U73" s="5"/>
      <c r="V73" s="125"/>
      <c r="W73" s="4"/>
      <c r="X73" s="3"/>
      <c r="Y73" s="3"/>
      <c r="Z73" s="3"/>
      <c r="AA73" s="3"/>
      <c r="AB73" s="8"/>
      <c r="AC73" s="8"/>
      <c r="AD73" s="3"/>
      <c r="AE73" s="3"/>
      <c r="AF73" s="3"/>
      <c r="AG73" s="3"/>
      <c r="AH73" s="3"/>
      <c r="AI73" s="8"/>
      <c r="AJ73" s="8"/>
      <c r="AK73" s="3"/>
      <c r="AL73" s="3"/>
      <c r="AM73" s="3"/>
      <c r="AN73" s="3"/>
      <c r="AO73" s="3"/>
      <c r="AP73" s="8"/>
      <c r="AQ73" s="8"/>
      <c r="AR73" s="3"/>
      <c r="AS73" s="3"/>
      <c r="AT73" s="3"/>
      <c r="AU73" s="3"/>
      <c r="AV73" s="3"/>
      <c r="AW73" s="8"/>
      <c r="AX73" s="8"/>
      <c r="AY73" s="3"/>
      <c r="AZ73" s="130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GO73" s="54"/>
      <c r="GP73" s="54"/>
    </row>
    <row r="74" spans="1:198" ht="15" hidden="1" customHeight="1" x14ac:dyDescent="0.25">
      <c r="A74" s="102">
        <v>63</v>
      </c>
      <c r="B74" s="103"/>
      <c r="C74" s="104"/>
      <c r="D74" s="2"/>
      <c r="E74" s="105"/>
      <c r="F74" s="105"/>
      <c r="G74" s="100" t="str">
        <f t="shared" si="2"/>
        <v/>
      </c>
      <c r="H74" s="100" t="str">
        <f t="shared" si="3"/>
        <v/>
      </c>
      <c r="I74" s="101">
        <f t="shared" si="0"/>
        <v>0</v>
      </c>
      <c r="J74" s="100" t="str">
        <f t="shared" si="1"/>
        <v/>
      </c>
      <c r="K74" s="6" t="str">
        <f t="shared" si="4"/>
        <v/>
      </c>
      <c r="L74" s="6" t="str">
        <f t="shared" si="4"/>
        <v/>
      </c>
      <c r="M74" s="6">
        <f t="shared" si="5"/>
        <v>0</v>
      </c>
      <c r="N74" s="7">
        <f t="shared" si="6"/>
        <v>0</v>
      </c>
      <c r="O74" s="4"/>
      <c r="P74" s="3"/>
      <c r="Q74" s="3"/>
      <c r="R74" s="3"/>
      <c r="S74" s="3"/>
      <c r="T74" s="3"/>
      <c r="U74" s="5"/>
      <c r="V74" s="125"/>
      <c r="W74" s="4"/>
      <c r="X74" s="3"/>
      <c r="Y74" s="3"/>
      <c r="Z74" s="3"/>
      <c r="AA74" s="3"/>
      <c r="AB74" s="8"/>
      <c r="AC74" s="8"/>
      <c r="AD74" s="3"/>
      <c r="AE74" s="3"/>
      <c r="AF74" s="3"/>
      <c r="AG74" s="3"/>
      <c r="AH74" s="3"/>
      <c r="AI74" s="8"/>
      <c r="AJ74" s="8"/>
      <c r="AK74" s="3"/>
      <c r="AL74" s="3"/>
      <c r="AM74" s="3"/>
      <c r="AN74" s="3"/>
      <c r="AO74" s="3"/>
      <c r="AP74" s="8"/>
      <c r="AQ74" s="8"/>
      <c r="AR74" s="3"/>
      <c r="AS74" s="3"/>
      <c r="AT74" s="3"/>
      <c r="AU74" s="3"/>
      <c r="AV74" s="3"/>
      <c r="AW74" s="8"/>
      <c r="AX74" s="8"/>
      <c r="AY74" s="3"/>
      <c r="AZ74" s="130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GO74" s="54"/>
      <c r="GP74" s="54"/>
    </row>
    <row r="75" spans="1:198" ht="15" hidden="1" customHeight="1" x14ac:dyDescent="0.25">
      <c r="A75" s="102">
        <v>64</v>
      </c>
      <c r="B75" s="103"/>
      <c r="C75" s="104"/>
      <c r="D75" s="1"/>
      <c r="E75" s="105"/>
      <c r="F75" s="105"/>
      <c r="G75" s="100" t="str">
        <f t="shared" si="2"/>
        <v/>
      </c>
      <c r="H75" s="100" t="str">
        <f t="shared" si="3"/>
        <v/>
      </c>
      <c r="I75" s="101">
        <f t="shared" si="0"/>
        <v>0</v>
      </c>
      <c r="J75" s="100" t="str">
        <f t="shared" si="1"/>
        <v/>
      </c>
      <c r="K75" s="6" t="str">
        <f t="shared" si="4"/>
        <v/>
      </c>
      <c r="L75" s="6" t="str">
        <f t="shared" si="4"/>
        <v/>
      </c>
      <c r="M75" s="6">
        <f t="shared" si="5"/>
        <v>0</v>
      </c>
      <c r="N75" s="7">
        <f t="shared" si="6"/>
        <v>0</v>
      </c>
      <c r="O75" s="4"/>
      <c r="P75" s="3"/>
      <c r="Q75" s="3"/>
      <c r="R75" s="3"/>
      <c r="S75" s="3"/>
      <c r="T75" s="3"/>
      <c r="U75" s="5"/>
      <c r="V75" s="125"/>
      <c r="W75" s="4"/>
      <c r="X75" s="3"/>
      <c r="Y75" s="3"/>
      <c r="Z75" s="3"/>
      <c r="AA75" s="3"/>
      <c r="AB75" s="8"/>
      <c r="AC75" s="8"/>
      <c r="AD75" s="3"/>
      <c r="AE75" s="3"/>
      <c r="AF75" s="3"/>
      <c r="AG75" s="3"/>
      <c r="AH75" s="3"/>
      <c r="AI75" s="8"/>
      <c r="AJ75" s="8"/>
      <c r="AK75" s="3"/>
      <c r="AL75" s="3"/>
      <c r="AM75" s="3"/>
      <c r="AN75" s="3"/>
      <c r="AO75" s="3"/>
      <c r="AP75" s="8"/>
      <c r="AQ75" s="8"/>
      <c r="AR75" s="3"/>
      <c r="AS75" s="3"/>
      <c r="AT75" s="3"/>
      <c r="AU75" s="3"/>
      <c r="AV75" s="3"/>
      <c r="AW75" s="8"/>
      <c r="AX75" s="8"/>
      <c r="AY75" s="3"/>
      <c r="AZ75" s="130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GO75" s="54"/>
      <c r="GP75" s="54"/>
    </row>
    <row r="76" spans="1:198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2"/>
        <v/>
      </c>
      <c r="H76" s="100" t="str">
        <f t="shared" si="3"/>
        <v/>
      </c>
      <c r="I76" s="101">
        <f t="shared" si="0"/>
        <v>0</v>
      </c>
      <c r="J76" s="100" t="str">
        <f t="shared" ref="J76:J110" si="12">IF(I76&gt;0,12,"")</f>
        <v/>
      </c>
      <c r="K76" s="6" t="str">
        <f t="shared" si="4"/>
        <v/>
      </c>
      <c r="L76" s="6" t="str">
        <f t="shared" si="4"/>
        <v/>
      </c>
      <c r="M76" s="6">
        <f t="shared" si="5"/>
        <v>0</v>
      </c>
      <c r="N76" s="7">
        <f t="shared" si="6"/>
        <v>0</v>
      </c>
      <c r="O76" s="4"/>
      <c r="P76" s="3"/>
      <c r="Q76" s="3"/>
      <c r="R76" s="3"/>
      <c r="S76" s="3"/>
      <c r="T76" s="3"/>
      <c r="U76" s="5"/>
      <c r="V76" s="125"/>
      <c r="W76" s="4"/>
      <c r="X76" s="3"/>
      <c r="Y76" s="3"/>
      <c r="Z76" s="3"/>
      <c r="AA76" s="3"/>
      <c r="AB76" s="8"/>
      <c r="AC76" s="8"/>
      <c r="AD76" s="3"/>
      <c r="AE76" s="3"/>
      <c r="AF76" s="3"/>
      <c r="AG76" s="3"/>
      <c r="AH76" s="3"/>
      <c r="AI76" s="8"/>
      <c r="AJ76" s="8"/>
      <c r="AK76" s="3"/>
      <c r="AL76" s="3"/>
      <c r="AM76" s="3"/>
      <c r="AN76" s="3"/>
      <c r="AO76" s="3"/>
      <c r="AP76" s="8"/>
      <c r="AQ76" s="8"/>
      <c r="AR76" s="3"/>
      <c r="AS76" s="3"/>
      <c r="AT76" s="3"/>
      <c r="AU76" s="3"/>
      <c r="AV76" s="3"/>
      <c r="AW76" s="8"/>
      <c r="AX76" s="8"/>
      <c r="AY76" s="3"/>
      <c r="AZ76" s="130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GO76" s="54"/>
      <c r="GP76" s="54"/>
    </row>
    <row r="77" spans="1:198" ht="15" hidden="1" customHeight="1" x14ac:dyDescent="0.25">
      <c r="A77" s="97">
        <v>66</v>
      </c>
      <c r="B77" s="103"/>
      <c r="C77" s="104"/>
      <c r="D77" s="1"/>
      <c r="E77" s="105"/>
      <c r="F77" s="105"/>
      <c r="G77" s="100" t="str">
        <f t="shared" si="2"/>
        <v/>
      </c>
      <c r="H77" s="100" t="str">
        <f t="shared" si="3"/>
        <v/>
      </c>
      <c r="I77" s="101">
        <f t="shared" si="0"/>
        <v>0</v>
      </c>
      <c r="J77" s="100" t="str">
        <f t="shared" si="12"/>
        <v/>
      </c>
      <c r="K77" s="6" t="str">
        <f t="shared" si="4"/>
        <v/>
      </c>
      <c r="L77" s="6" t="str">
        <f t="shared" si="4"/>
        <v/>
      </c>
      <c r="M77" s="6">
        <f t="shared" ref="M77:M111" si="13">(IF(O77="hT",4,0))+(IF(P77="hT",4,0))+(IF(Q77="hT",4,0))+(IF(R77="hT",4,0))+(IF(S77="hT",4,0))+T77+(COUNTIF(W77:AZ77,"hT"))</f>
        <v>0</v>
      </c>
      <c r="N77" s="7">
        <f t="shared" ref="N77:N111" si="14">(IF(O77="x",4,0))+(IF(P77="x",4,0))+(IF(Q77="x",4,0))+(IF(R77="x",4,0))+(IF(S77="x",4,0))+U77+(COUNTIF(W77:AZ77,"x"))</f>
        <v>0</v>
      </c>
      <c r="O77" s="4"/>
      <c r="P77" s="3"/>
      <c r="Q77" s="3"/>
      <c r="R77" s="3"/>
      <c r="S77" s="3"/>
      <c r="T77" s="3"/>
      <c r="U77" s="5"/>
      <c r="V77" s="125"/>
      <c r="W77" s="4"/>
      <c r="X77" s="3"/>
      <c r="Y77" s="3"/>
      <c r="Z77" s="3"/>
      <c r="AA77" s="3"/>
      <c r="AB77" s="8"/>
      <c r="AC77" s="8"/>
      <c r="AD77" s="3"/>
      <c r="AE77" s="3"/>
      <c r="AF77" s="3"/>
      <c r="AG77" s="3"/>
      <c r="AH77" s="3"/>
      <c r="AI77" s="8"/>
      <c r="AJ77" s="8"/>
      <c r="AK77" s="3"/>
      <c r="AL77" s="3"/>
      <c r="AM77" s="3"/>
      <c r="AN77" s="3"/>
      <c r="AO77" s="3"/>
      <c r="AP77" s="8"/>
      <c r="AQ77" s="8"/>
      <c r="AR77" s="3"/>
      <c r="AS77" s="3"/>
      <c r="AT77" s="3"/>
      <c r="AU77" s="3"/>
      <c r="AV77" s="3"/>
      <c r="AW77" s="8"/>
      <c r="AX77" s="8"/>
      <c r="AY77" s="3"/>
      <c r="AZ77" s="130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GO77" s="54"/>
      <c r="GP77" s="54"/>
    </row>
    <row r="78" spans="1:198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2"/>
        <v/>
      </c>
      <c r="H78" s="100" t="str">
        <f t="shared" si="3"/>
        <v/>
      </c>
      <c r="I78" s="101">
        <f t="shared" si="0"/>
        <v>0</v>
      </c>
      <c r="J78" s="100" t="str">
        <f t="shared" si="12"/>
        <v/>
      </c>
      <c r="K78" s="6" t="str">
        <f t="shared" si="4"/>
        <v/>
      </c>
      <c r="L78" s="6" t="str">
        <f t="shared" si="4"/>
        <v/>
      </c>
      <c r="M78" s="6">
        <f t="shared" si="13"/>
        <v>0</v>
      </c>
      <c r="N78" s="7">
        <f t="shared" si="14"/>
        <v>0</v>
      </c>
      <c r="O78" s="4"/>
      <c r="P78" s="3"/>
      <c r="Q78" s="3"/>
      <c r="R78" s="3"/>
      <c r="S78" s="3"/>
      <c r="T78" s="3"/>
      <c r="U78" s="5"/>
      <c r="V78" s="125"/>
      <c r="W78" s="4"/>
      <c r="X78" s="3"/>
      <c r="Y78" s="3"/>
      <c r="Z78" s="3"/>
      <c r="AA78" s="3"/>
      <c r="AB78" s="8"/>
      <c r="AC78" s="8"/>
      <c r="AD78" s="3"/>
      <c r="AE78" s="3"/>
      <c r="AF78" s="3"/>
      <c r="AG78" s="3"/>
      <c r="AH78" s="3"/>
      <c r="AI78" s="8"/>
      <c r="AJ78" s="8"/>
      <c r="AK78" s="3"/>
      <c r="AL78" s="3"/>
      <c r="AM78" s="3"/>
      <c r="AN78" s="3"/>
      <c r="AO78" s="3"/>
      <c r="AP78" s="8"/>
      <c r="AQ78" s="8"/>
      <c r="AR78" s="3"/>
      <c r="AS78" s="3"/>
      <c r="AT78" s="3"/>
      <c r="AU78" s="3"/>
      <c r="AV78" s="3"/>
      <c r="AW78" s="8"/>
      <c r="AX78" s="8"/>
      <c r="AY78" s="3"/>
      <c r="AZ78" s="130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GO78" s="54"/>
      <c r="GP78" s="54"/>
    </row>
    <row r="79" spans="1:198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2"/>
        <v/>
      </c>
      <c r="H79" s="100" t="str">
        <f t="shared" si="3"/>
        <v/>
      </c>
      <c r="I79" s="101">
        <f t="shared" si="0"/>
        <v>0</v>
      </c>
      <c r="J79" s="100" t="str">
        <f t="shared" si="12"/>
        <v/>
      </c>
      <c r="K79" s="6" t="str">
        <f t="shared" si="4"/>
        <v/>
      </c>
      <c r="L79" s="6" t="str">
        <f t="shared" si="4"/>
        <v/>
      </c>
      <c r="M79" s="6">
        <f t="shared" si="13"/>
        <v>0</v>
      </c>
      <c r="N79" s="7">
        <f t="shared" si="14"/>
        <v>0</v>
      </c>
      <c r="O79" s="4"/>
      <c r="P79" s="3"/>
      <c r="Q79" s="3"/>
      <c r="R79" s="3"/>
      <c r="S79" s="3"/>
      <c r="T79" s="3"/>
      <c r="U79" s="5"/>
      <c r="V79" s="125"/>
      <c r="W79" s="4"/>
      <c r="X79" s="3"/>
      <c r="Y79" s="3"/>
      <c r="Z79" s="3"/>
      <c r="AA79" s="3"/>
      <c r="AB79" s="8"/>
      <c r="AC79" s="8"/>
      <c r="AD79" s="3"/>
      <c r="AE79" s="3"/>
      <c r="AF79" s="3"/>
      <c r="AG79" s="3"/>
      <c r="AH79" s="3"/>
      <c r="AI79" s="8"/>
      <c r="AJ79" s="8"/>
      <c r="AK79" s="3"/>
      <c r="AL79" s="3"/>
      <c r="AM79" s="3"/>
      <c r="AN79" s="3"/>
      <c r="AO79" s="3"/>
      <c r="AP79" s="8"/>
      <c r="AQ79" s="8"/>
      <c r="AR79" s="3"/>
      <c r="AS79" s="3"/>
      <c r="AT79" s="3"/>
      <c r="AU79" s="3"/>
      <c r="AV79" s="3"/>
      <c r="AW79" s="8"/>
      <c r="AX79" s="8"/>
      <c r="AY79" s="3"/>
      <c r="AZ79" s="130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GO79" s="54"/>
      <c r="GP79" s="54"/>
    </row>
    <row r="80" spans="1:198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2"/>
        <v/>
      </c>
      <c r="H80" s="100" t="str">
        <f t="shared" si="3"/>
        <v/>
      </c>
      <c r="I80" s="101">
        <f t="shared" si="0"/>
        <v>0</v>
      </c>
      <c r="J80" s="100" t="str">
        <f t="shared" si="12"/>
        <v/>
      </c>
      <c r="K80" s="6" t="str">
        <f t="shared" si="4"/>
        <v/>
      </c>
      <c r="L80" s="6" t="str">
        <f t="shared" si="4"/>
        <v/>
      </c>
      <c r="M80" s="6">
        <f t="shared" si="13"/>
        <v>0</v>
      </c>
      <c r="N80" s="7">
        <f t="shared" si="14"/>
        <v>0</v>
      </c>
      <c r="O80" s="4"/>
      <c r="P80" s="3"/>
      <c r="Q80" s="3"/>
      <c r="R80" s="3"/>
      <c r="S80" s="3"/>
      <c r="T80" s="3"/>
      <c r="U80" s="5"/>
      <c r="V80" s="125"/>
      <c r="W80" s="4"/>
      <c r="X80" s="3"/>
      <c r="Y80" s="3"/>
      <c r="Z80" s="3"/>
      <c r="AA80" s="3"/>
      <c r="AB80" s="8"/>
      <c r="AC80" s="8"/>
      <c r="AD80" s="3"/>
      <c r="AE80" s="3"/>
      <c r="AF80" s="3"/>
      <c r="AG80" s="3"/>
      <c r="AH80" s="3"/>
      <c r="AI80" s="8"/>
      <c r="AJ80" s="8"/>
      <c r="AK80" s="3"/>
      <c r="AL80" s="3"/>
      <c r="AM80" s="3"/>
      <c r="AN80" s="3"/>
      <c r="AO80" s="3"/>
      <c r="AP80" s="8"/>
      <c r="AQ80" s="8"/>
      <c r="AR80" s="3"/>
      <c r="AS80" s="3"/>
      <c r="AT80" s="3"/>
      <c r="AU80" s="3"/>
      <c r="AV80" s="3"/>
      <c r="AW80" s="8"/>
      <c r="AX80" s="8"/>
      <c r="AY80" s="3"/>
      <c r="AZ80" s="130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GO80" s="54"/>
      <c r="GP80" s="54"/>
    </row>
    <row r="81" spans="1:198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2"/>
        <v/>
      </c>
      <c r="H81" s="100" t="str">
        <f t="shared" si="3"/>
        <v/>
      </c>
      <c r="I81" s="101">
        <f t="shared" si="0"/>
        <v>0</v>
      </c>
      <c r="J81" s="100" t="str">
        <f t="shared" si="12"/>
        <v/>
      </c>
      <c r="K81" s="6" t="str">
        <f t="shared" si="4"/>
        <v/>
      </c>
      <c r="L81" s="6" t="str">
        <f t="shared" si="4"/>
        <v/>
      </c>
      <c r="M81" s="6">
        <f t="shared" si="13"/>
        <v>0</v>
      </c>
      <c r="N81" s="7">
        <f t="shared" si="14"/>
        <v>0</v>
      </c>
      <c r="O81" s="4"/>
      <c r="P81" s="3"/>
      <c r="Q81" s="3"/>
      <c r="R81" s="3"/>
      <c r="S81" s="3"/>
      <c r="T81" s="3"/>
      <c r="U81" s="5"/>
      <c r="V81" s="125"/>
      <c r="W81" s="4"/>
      <c r="X81" s="3"/>
      <c r="Y81" s="3"/>
      <c r="Z81" s="3"/>
      <c r="AA81" s="3"/>
      <c r="AB81" s="8"/>
      <c r="AC81" s="8"/>
      <c r="AD81" s="3"/>
      <c r="AE81" s="3"/>
      <c r="AF81" s="3"/>
      <c r="AG81" s="3"/>
      <c r="AH81" s="3"/>
      <c r="AI81" s="8"/>
      <c r="AJ81" s="8"/>
      <c r="AK81" s="3"/>
      <c r="AL81" s="3"/>
      <c r="AM81" s="3"/>
      <c r="AN81" s="3"/>
      <c r="AO81" s="3"/>
      <c r="AP81" s="8"/>
      <c r="AQ81" s="8"/>
      <c r="AR81" s="3"/>
      <c r="AS81" s="3"/>
      <c r="AT81" s="3"/>
      <c r="AU81" s="3"/>
      <c r="AV81" s="3"/>
      <c r="AW81" s="8"/>
      <c r="AX81" s="8"/>
      <c r="AY81" s="3"/>
      <c r="AZ81" s="130"/>
      <c r="BA81" s="59"/>
      <c r="BB81" s="59"/>
      <c r="GO81" s="54"/>
      <c r="GP81" s="54"/>
    </row>
    <row r="82" spans="1:198" ht="15" hidden="1" customHeight="1" x14ac:dyDescent="0.25">
      <c r="A82" s="97">
        <v>71</v>
      </c>
      <c r="B82" s="103"/>
      <c r="C82" s="104"/>
      <c r="D82" s="1"/>
      <c r="E82" s="105"/>
      <c r="F82" s="105"/>
      <c r="G82" s="100" t="str">
        <f t="shared" si="2"/>
        <v/>
      </c>
      <c r="H82" s="100" t="str">
        <f t="shared" si="3"/>
        <v/>
      </c>
      <c r="I82" s="101">
        <f t="shared" si="0"/>
        <v>0</v>
      </c>
      <c r="J82" s="100" t="str">
        <f t="shared" si="12"/>
        <v/>
      </c>
      <c r="K82" s="6" t="str">
        <f t="shared" si="4"/>
        <v/>
      </c>
      <c r="L82" s="6" t="str">
        <f t="shared" si="4"/>
        <v/>
      </c>
      <c r="M82" s="6">
        <f t="shared" si="13"/>
        <v>0</v>
      </c>
      <c r="N82" s="7">
        <f t="shared" si="14"/>
        <v>0</v>
      </c>
      <c r="O82" s="4"/>
      <c r="P82" s="3"/>
      <c r="Q82" s="3"/>
      <c r="R82" s="3"/>
      <c r="S82" s="3"/>
      <c r="T82" s="3"/>
      <c r="U82" s="5"/>
      <c r="V82" s="125"/>
      <c r="W82" s="4"/>
      <c r="X82" s="3"/>
      <c r="Y82" s="3"/>
      <c r="Z82" s="3"/>
      <c r="AA82" s="3"/>
      <c r="AB82" s="8"/>
      <c r="AC82" s="8"/>
      <c r="AD82" s="3"/>
      <c r="AE82" s="3"/>
      <c r="AF82" s="3"/>
      <c r="AG82" s="3"/>
      <c r="AH82" s="3"/>
      <c r="AI82" s="8"/>
      <c r="AJ82" s="8"/>
      <c r="AK82" s="3"/>
      <c r="AL82" s="3"/>
      <c r="AM82" s="3"/>
      <c r="AN82" s="3"/>
      <c r="AO82" s="3"/>
      <c r="AP82" s="8"/>
      <c r="AQ82" s="8"/>
      <c r="AR82" s="3"/>
      <c r="AS82" s="3"/>
      <c r="AT82" s="3"/>
      <c r="AU82" s="3"/>
      <c r="AV82" s="3"/>
      <c r="AW82" s="8"/>
      <c r="AX82" s="8"/>
      <c r="AY82" s="3"/>
      <c r="AZ82" s="130"/>
      <c r="BA82" s="59"/>
      <c r="BB82" s="59"/>
      <c r="GO82" s="54"/>
      <c r="GP82" s="54"/>
    </row>
    <row r="83" spans="1:198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2"/>
        <v/>
      </c>
      <c r="H83" s="100" t="str">
        <f t="shared" si="3"/>
        <v/>
      </c>
      <c r="I83" s="101">
        <f t="shared" si="0"/>
        <v>0</v>
      </c>
      <c r="J83" s="100" t="str">
        <f t="shared" si="12"/>
        <v/>
      </c>
      <c r="K83" s="6" t="str">
        <f t="shared" si="4"/>
        <v/>
      </c>
      <c r="L83" s="6" t="str">
        <f t="shared" si="4"/>
        <v/>
      </c>
      <c r="M83" s="6">
        <f t="shared" si="13"/>
        <v>0</v>
      </c>
      <c r="N83" s="7">
        <f t="shared" si="14"/>
        <v>0</v>
      </c>
      <c r="O83" s="4"/>
      <c r="P83" s="3"/>
      <c r="Q83" s="3"/>
      <c r="R83" s="3"/>
      <c r="S83" s="3"/>
      <c r="T83" s="3"/>
      <c r="U83" s="5"/>
      <c r="V83" s="125"/>
      <c r="W83" s="4"/>
      <c r="X83" s="3"/>
      <c r="Y83" s="3"/>
      <c r="Z83" s="3"/>
      <c r="AA83" s="3"/>
      <c r="AB83" s="8"/>
      <c r="AC83" s="8"/>
      <c r="AD83" s="3"/>
      <c r="AE83" s="3"/>
      <c r="AF83" s="3"/>
      <c r="AG83" s="3"/>
      <c r="AH83" s="3"/>
      <c r="AI83" s="8"/>
      <c r="AJ83" s="8"/>
      <c r="AK83" s="3"/>
      <c r="AL83" s="3"/>
      <c r="AM83" s="3"/>
      <c r="AN83" s="3"/>
      <c r="AO83" s="3"/>
      <c r="AP83" s="8"/>
      <c r="AQ83" s="8"/>
      <c r="AR83" s="3"/>
      <c r="AS83" s="3"/>
      <c r="AT83" s="3"/>
      <c r="AU83" s="3"/>
      <c r="AV83" s="3"/>
      <c r="AW83" s="8"/>
      <c r="AX83" s="8"/>
      <c r="AY83" s="3"/>
      <c r="AZ83" s="130"/>
      <c r="BA83" s="59"/>
      <c r="BB83" s="59"/>
      <c r="GO83" s="54"/>
      <c r="GP83" s="54"/>
    </row>
    <row r="84" spans="1:198" ht="15" hidden="1" customHeight="1" x14ac:dyDescent="0.25">
      <c r="A84" s="102">
        <v>73</v>
      </c>
      <c r="B84" s="103"/>
      <c r="C84" s="104"/>
      <c r="D84" s="1"/>
      <c r="E84" s="105"/>
      <c r="F84" s="105"/>
      <c r="G84" s="100" t="str">
        <f t="shared" si="2"/>
        <v/>
      </c>
      <c r="H84" s="100" t="str">
        <f t="shared" si="3"/>
        <v/>
      </c>
      <c r="I84" s="101">
        <f t="shared" si="0"/>
        <v>0</v>
      </c>
      <c r="J84" s="100" t="str">
        <f t="shared" si="12"/>
        <v/>
      </c>
      <c r="K84" s="6" t="str">
        <f t="shared" si="4"/>
        <v/>
      </c>
      <c r="L84" s="6" t="str">
        <f t="shared" si="4"/>
        <v/>
      </c>
      <c r="M84" s="6">
        <f t="shared" si="13"/>
        <v>0</v>
      </c>
      <c r="N84" s="7">
        <f t="shared" si="14"/>
        <v>0</v>
      </c>
      <c r="O84" s="4"/>
      <c r="P84" s="3"/>
      <c r="Q84" s="3"/>
      <c r="R84" s="3"/>
      <c r="S84" s="3"/>
      <c r="T84" s="3"/>
      <c r="U84" s="5"/>
      <c r="V84" s="125"/>
      <c r="W84" s="4"/>
      <c r="X84" s="3"/>
      <c r="Y84" s="3"/>
      <c r="Z84" s="3"/>
      <c r="AA84" s="3"/>
      <c r="AB84" s="8"/>
      <c r="AC84" s="8"/>
      <c r="AD84" s="3"/>
      <c r="AE84" s="3"/>
      <c r="AF84" s="3"/>
      <c r="AG84" s="3"/>
      <c r="AH84" s="3"/>
      <c r="AI84" s="8"/>
      <c r="AJ84" s="8"/>
      <c r="AK84" s="3"/>
      <c r="AL84" s="3"/>
      <c r="AM84" s="3"/>
      <c r="AN84" s="3"/>
      <c r="AO84" s="3"/>
      <c r="AP84" s="8"/>
      <c r="AQ84" s="8"/>
      <c r="AR84" s="3"/>
      <c r="AS84" s="3"/>
      <c r="AT84" s="3"/>
      <c r="AU84" s="3"/>
      <c r="AV84" s="3"/>
      <c r="AW84" s="8"/>
      <c r="AX84" s="8"/>
      <c r="AY84" s="3"/>
      <c r="AZ84" s="130"/>
      <c r="BA84" s="58"/>
      <c r="BB84" s="59"/>
      <c r="GO84" s="54"/>
      <c r="GP84" s="54"/>
    </row>
    <row r="85" spans="1:198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2"/>
        <v/>
      </c>
      <c r="H85" s="100" t="str">
        <f t="shared" si="3"/>
        <v/>
      </c>
      <c r="I85" s="101">
        <f t="shared" si="0"/>
        <v>0</v>
      </c>
      <c r="J85" s="100" t="str">
        <f t="shared" si="12"/>
        <v/>
      </c>
      <c r="K85" s="6" t="str">
        <f t="shared" si="4"/>
        <v/>
      </c>
      <c r="L85" s="6" t="str">
        <f t="shared" si="4"/>
        <v/>
      </c>
      <c r="M85" s="6">
        <f t="shared" si="13"/>
        <v>0</v>
      </c>
      <c r="N85" s="7">
        <f t="shared" si="14"/>
        <v>0</v>
      </c>
      <c r="O85" s="4"/>
      <c r="P85" s="3"/>
      <c r="Q85" s="3"/>
      <c r="R85" s="3"/>
      <c r="S85" s="3"/>
      <c r="T85" s="3"/>
      <c r="U85" s="5"/>
      <c r="V85" s="125"/>
      <c r="W85" s="4"/>
      <c r="X85" s="3"/>
      <c r="Y85" s="3"/>
      <c r="Z85" s="3"/>
      <c r="AA85" s="3"/>
      <c r="AB85" s="8"/>
      <c r="AC85" s="8"/>
      <c r="AD85" s="3"/>
      <c r="AE85" s="3"/>
      <c r="AF85" s="3"/>
      <c r="AG85" s="3"/>
      <c r="AH85" s="3"/>
      <c r="AI85" s="8"/>
      <c r="AJ85" s="8"/>
      <c r="AK85" s="3"/>
      <c r="AL85" s="3"/>
      <c r="AM85" s="3"/>
      <c r="AN85" s="3"/>
      <c r="AO85" s="3"/>
      <c r="AP85" s="8"/>
      <c r="AQ85" s="8"/>
      <c r="AR85" s="3"/>
      <c r="AS85" s="3"/>
      <c r="AT85" s="3"/>
      <c r="AU85" s="3"/>
      <c r="AV85" s="3"/>
      <c r="AW85" s="8"/>
      <c r="AX85" s="8"/>
      <c r="AY85" s="3"/>
      <c r="AZ85" s="130"/>
      <c r="BA85" s="58"/>
      <c r="BB85" s="59"/>
      <c r="GO85" s="54"/>
      <c r="GP85" s="54"/>
    </row>
    <row r="86" spans="1:198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2"/>
        <v/>
      </c>
      <c r="H86" s="100" t="str">
        <f t="shared" si="3"/>
        <v/>
      </c>
      <c r="I86" s="101">
        <f t="shared" si="0"/>
        <v>0</v>
      </c>
      <c r="J86" s="100" t="str">
        <f t="shared" si="12"/>
        <v/>
      </c>
      <c r="K86" s="6" t="str">
        <f t="shared" si="4"/>
        <v/>
      </c>
      <c r="L86" s="6" t="str">
        <f t="shared" si="4"/>
        <v/>
      </c>
      <c r="M86" s="6">
        <f t="shared" si="13"/>
        <v>0</v>
      </c>
      <c r="N86" s="7">
        <f t="shared" si="14"/>
        <v>0</v>
      </c>
      <c r="O86" s="4"/>
      <c r="P86" s="3"/>
      <c r="Q86" s="3"/>
      <c r="R86" s="3"/>
      <c r="S86" s="3"/>
      <c r="T86" s="3"/>
      <c r="U86" s="5"/>
      <c r="V86" s="125"/>
      <c r="W86" s="4"/>
      <c r="X86" s="3"/>
      <c r="Y86" s="3"/>
      <c r="Z86" s="3"/>
      <c r="AA86" s="3"/>
      <c r="AB86" s="8"/>
      <c r="AC86" s="8"/>
      <c r="AD86" s="3"/>
      <c r="AE86" s="3"/>
      <c r="AF86" s="3"/>
      <c r="AG86" s="3"/>
      <c r="AH86" s="3"/>
      <c r="AI86" s="8"/>
      <c r="AJ86" s="8"/>
      <c r="AK86" s="3"/>
      <c r="AL86" s="3"/>
      <c r="AM86" s="3"/>
      <c r="AN86" s="3"/>
      <c r="AO86" s="3"/>
      <c r="AP86" s="8"/>
      <c r="AQ86" s="8"/>
      <c r="AR86" s="3"/>
      <c r="AS86" s="3"/>
      <c r="AT86" s="3"/>
      <c r="AU86" s="3"/>
      <c r="AV86" s="3"/>
      <c r="AW86" s="8"/>
      <c r="AX86" s="8"/>
      <c r="AY86" s="3"/>
      <c r="AZ86" s="130"/>
      <c r="BA86" s="59"/>
      <c r="BB86" s="59"/>
      <c r="GO86" s="54"/>
      <c r="GP86" s="54"/>
    </row>
    <row r="87" spans="1:198" ht="15" hidden="1" customHeight="1" x14ac:dyDescent="0.25">
      <c r="A87" s="97">
        <v>76</v>
      </c>
      <c r="B87" s="103"/>
      <c r="C87" s="104"/>
      <c r="D87" s="1"/>
      <c r="E87" s="105"/>
      <c r="F87" s="105"/>
      <c r="G87" s="100" t="str">
        <f t="shared" si="2"/>
        <v/>
      </c>
      <c r="H87" s="100" t="str">
        <f t="shared" si="3"/>
        <v/>
      </c>
      <c r="I87" s="101">
        <f t="shared" si="0"/>
        <v>0</v>
      </c>
      <c r="J87" s="100" t="str">
        <f t="shared" si="12"/>
        <v/>
      </c>
      <c r="K87" s="6" t="str">
        <f t="shared" si="4"/>
        <v/>
      </c>
      <c r="L87" s="6" t="str">
        <f t="shared" si="4"/>
        <v/>
      </c>
      <c r="M87" s="6">
        <f t="shared" si="13"/>
        <v>0</v>
      </c>
      <c r="N87" s="7">
        <f t="shared" si="14"/>
        <v>0</v>
      </c>
      <c r="O87" s="4"/>
      <c r="P87" s="3"/>
      <c r="Q87" s="3"/>
      <c r="R87" s="3"/>
      <c r="S87" s="3"/>
      <c r="T87" s="3"/>
      <c r="U87" s="5"/>
      <c r="V87" s="125"/>
      <c r="W87" s="4"/>
      <c r="X87" s="3"/>
      <c r="Y87" s="3"/>
      <c r="Z87" s="3"/>
      <c r="AA87" s="3"/>
      <c r="AB87" s="8"/>
      <c r="AC87" s="8"/>
      <c r="AD87" s="3"/>
      <c r="AE87" s="3"/>
      <c r="AF87" s="3"/>
      <c r="AG87" s="3"/>
      <c r="AH87" s="3"/>
      <c r="AI87" s="8"/>
      <c r="AJ87" s="8"/>
      <c r="AK87" s="3"/>
      <c r="AL87" s="3"/>
      <c r="AM87" s="3"/>
      <c r="AN87" s="3"/>
      <c r="AO87" s="3"/>
      <c r="AP87" s="8"/>
      <c r="AQ87" s="8"/>
      <c r="AR87" s="3"/>
      <c r="AS87" s="3"/>
      <c r="AT87" s="3"/>
      <c r="AU87" s="3"/>
      <c r="AV87" s="3"/>
      <c r="AW87" s="8"/>
      <c r="AX87" s="8"/>
      <c r="AY87" s="3"/>
      <c r="AZ87" s="130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GO87" s="54"/>
      <c r="GP87" s="54"/>
    </row>
    <row r="88" spans="1:198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2"/>
        <v/>
      </c>
      <c r="H88" s="100" t="str">
        <f t="shared" si="3"/>
        <v/>
      </c>
      <c r="I88" s="101">
        <f t="shared" si="0"/>
        <v>0</v>
      </c>
      <c r="J88" s="100" t="str">
        <f t="shared" si="12"/>
        <v/>
      </c>
      <c r="K88" s="6" t="str">
        <f t="shared" si="4"/>
        <v/>
      </c>
      <c r="L88" s="6" t="str">
        <f t="shared" si="4"/>
        <v/>
      </c>
      <c r="M88" s="6">
        <f t="shared" si="13"/>
        <v>0</v>
      </c>
      <c r="N88" s="7">
        <f t="shared" si="14"/>
        <v>0</v>
      </c>
      <c r="O88" s="4"/>
      <c r="P88" s="3"/>
      <c r="Q88" s="3"/>
      <c r="R88" s="3"/>
      <c r="S88" s="3"/>
      <c r="T88" s="3"/>
      <c r="U88" s="5"/>
      <c r="V88" s="125"/>
      <c r="W88" s="4"/>
      <c r="X88" s="3"/>
      <c r="Y88" s="3"/>
      <c r="Z88" s="3"/>
      <c r="AA88" s="3"/>
      <c r="AB88" s="8"/>
      <c r="AC88" s="8"/>
      <c r="AD88" s="3"/>
      <c r="AE88" s="3"/>
      <c r="AF88" s="3"/>
      <c r="AG88" s="3"/>
      <c r="AH88" s="3"/>
      <c r="AI88" s="8"/>
      <c r="AJ88" s="8"/>
      <c r="AK88" s="3"/>
      <c r="AL88" s="3"/>
      <c r="AM88" s="3"/>
      <c r="AN88" s="3"/>
      <c r="AO88" s="3"/>
      <c r="AP88" s="8"/>
      <c r="AQ88" s="8"/>
      <c r="AR88" s="3"/>
      <c r="AS88" s="3"/>
      <c r="AT88" s="3"/>
      <c r="AU88" s="3"/>
      <c r="AV88" s="3"/>
      <c r="AW88" s="8"/>
      <c r="AX88" s="8"/>
      <c r="AY88" s="3"/>
      <c r="AZ88" s="130"/>
      <c r="BA88" s="106"/>
      <c r="BB88" s="59"/>
      <c r="GO88" s="54"/>
      <c r="GP88" s="54"/>
    </row>
    <row r="89" spans="1:198" ht="15" hidden="1" customHeight="1" x14ac:dyDescent="0.25">
      <c r="A89" s="102">
        <v>78</v>
      </c>
      <c r="B89" s="103"/>
      <c r="C89" s="104"/>
      <c r="D89" s="1"/>
      <c r="E89" s="105"/>
      <c r="F89" s="105"/>
      <c r="G89" s="100" t="str">
        <f t="shared" si="2"/>
        <v/>
      </c>
      <c r="H89" s="100" t="str">
        <f t="shared" si="3"/>
        <v/>
      </c>
      <c r="I89" s="101">
        <f t="shared" si="0"/>
        <v>0</v>
      </c>
      <c r="J89" s="100" t="str">
        <f t="shared" si="12"/>
        <v/>
      </c>
      <c r="K89" s="6" t="str">
        <f t="shared" si="4"/>
        <v/>
      </c>
      <c r="L89" s="6" t="str">
        <f t="shared" si="4"/>
        <v/>
      </c>
      <c r="M89" s="6">
        <f t="shared" si="13"/>
        <v>0</v>
      </c>
      <c r="N89" s="7">
        <f t="shared" si="14"/>
        <v>0</v>
      </c>
      <c r="O89" s="4"/>
      <c r="P89" s="3"/>
      <c r="Q89" s="3"/>
      <c r="R89" s="3"/>
      <c r="S89" s="3"/>
      <c r="T89" s="3"/>
      <c r="U89" s="5"/>
      <c r="V89" s="125"/>
      <c r="W89" s="4"/>
      <c r="X89" s="3"/>
      <c r="Y89" s="3"/>
      <c r="Z89" s="3"/>
      <c r="AA89" s="3"/>
      <c r="AB89" s="8"/>
      <c r="AC89" s="8"/>
      <c r="AD89" s="3"/>
      <c r="AE89" s="3"/>
      <c r="AF89" s="3"/>
      <c r="AG89" s="3"/>
      <c r="AH89" s="3"/>
      <c r="AI89" s="8"/>
      <c r="AJ89" s="8"/>
      <c r="AK89" s="3"/>
      <c r="AL89" s="3"/>
      <c r="AM89" s="3"/>
      <c r="AN89" s="3"/>
      <c r="AO89" s="3"/>
      <c r="AP89" s="8"/>
      <c r="AQ89" s="8"/>
      <c r="AR89" s="3"/>
      <c r="AS89" s="3"/>
      <c r="AT89" s="3"/>
      <c r="AU89" s="3"/>
      <c r="AV89" s="3"/>
      <c r="AW89" s="8"/>
      <c r="AX89" s="8"/>
      <c r="AY89" s="3"/>
      <c r="AZ89" s="130"/>
      <c r="BA89" s="59"/>
      <c r="BB89" s="59"/>
      <c r="GO89" s="54"/>
      <c r="GP89" s="54"/>
    </row>
    <row r="90" spans="1:198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2"/>
        <v/>
      </c>
      <c r="H90" s="100" t="str">
        <f t="shared" si="3"/>
        <v/>
      </c>
      <c r="I90" s="101">
        <f t="shared" si="0"/>
        <v>0</v>
      </c>
      <c r="J90" s="100" t="str">
        <f t="shared" si="12"/>
        <v/>
      </c>
      <c r="K90" s="6" t="str">
        <f t="shared" si="4"/>
        <v/>
      </c>
      <c r="L90" s="6" t="str">
        <f t="shared" si="4"/>
        <v/>
      </c>
      <c r="M90" s="6">
        <f t="shared" si="13"/>
        <v>0</v>
      </c>
      <c r="N90" s="7">
        <f t="shared" si="14"/>
        <v>0</v>
      </c>
      <c r="O90" s="4"/>
      <c r="P90" s="3"/>
      <c r="Q90" s="3"/>
      <c r="R90" s="3"/>
      <c r="S90" s="3"/>
      <c r="T90" s="3"/>
      <c r="U90" s="5"/>
      <c r="V90" s="125"/>
      <c r="W90" s="4"/>
      <c r="X90" s="3"/>
      <c r="Y90" s="3"/>
      <c r="Z90" s="3"/>
      <c r="AA90" s="3"/>
      <c r="AB90" s="8"/>
      <c r="AC90" s="8"/>
      <c r="AD90" s="3"/>
      <c r="AE90" s="3"/>
      <c r="AF90" s="3"/>
      <c r="AG90" s="3"/>
      <c r="AH90" s="3"/>
      <c r="AI90" s="8"/>
      <c r="AJ90" s="8"/>
      <c r="AK90" s="3"/>
      <c r="AL90" s="3"/>
      <c r="AM90" s="3"/>
      <c r="AN90" s="3"/>
      <c r="AO90" s="3"/>
      <c r="AP90" s="8"/>
      <c r="AQ90" s="8"/>
      <c r="AR90" s="3"/>
      <c r="AS90" s="3"/>
      <c r="AT90" s="3"/>
      <c r="AU90" s="3"/>
      <c r="AV90" s="3"/>
      <c r="AW90" s="8"/>
      <c r="AX90" s="8"/>
      <c r="AY90" s="3"/>
      <c r="AZ90" s="130"/>
      <c r="BA90" s="59"/>
      <c r="BB90" s="59"/>
      <c r="GO90" s="54"/>
      <c r="GP90" s="54"/>
    </row>
    <row r="91" spans="1:198" ht="15" hidden="1" customHeight="1" x14ac:dyDescent="0.25">
      <c r="A91" s="102">
        <v>80</v>
      </c>
      <c r="B91" s="103"/>
      <c r="C91" s="104"/>
      <c r="D91" s="2"/>
      <c r="E91" s="105"/>
      <c r="F91" s="105"/>
      <c r="G91" s="100" t="str">
        <f t="shared" si="2"/>
        <v/>
      </c>
      <c r="H91" s="100" t="str">
        <f t="shared" si="3"/>
        <v/>
      </c>
      <c r="I91" s="101">
        <f t="shared" si="0"/>
        <v>0</v>
      </c>
      <c r="J91" s="100" t="str">
        <f t="shared" si="12"/>
        <v/>
      </c>
      <c r="K91" s="6" t="str">
        <f t="shared" si="4"/>
        <v/>
      </c>
      <c r="L91" s="6" t="str">
        <f t="shared" si="4"/>
        <v/>
      </c>
      <c r="M91" s="6">
        <f t="shared" si="13"/>
        <v>0</v>
      </c>
      <c r="N91" s="7">
        <f t="shared" si="14"/>
        <v>0</v>
      </c>
      <c r="O91" s="4"/>
      <c r="P91" s="3"/>
      <c r="Q91" s="3"/>
      <c r="R91" s="3"/>
      <c r="S91" s="3"/>
      <c r="T91" s="3"/>
      <c r="U91" s="5"/>
      <c r="V91" s="125"/>
      <c r="W91" s="4"/>
      <c r="X91" s="3"/>
      <c r="Y91" s="3"/>
      <c r="Z91" s="3"/>
      <c r="AA91" s="3"/>
      <c r="AB91" s="8"/>
      <c r="AC91" s="8"/>
      <c r="AD91" s="3"/>
      <c r="AE91" s="3"/>
      <c r="AF91" s="3"/>
      <c r="AG91" s="3"/>
      <c r="AH91" s="3"/>
      <c r="AI91" s="8"/>
      <c r="AJ91" s="8"/>
      <c r="AK91" s="3"/>
      <c r="AL91" s="3"/>
      <c r="AM91" s="3"/>
      <c r="AN91" s="3"/>
      <c r="AO91" s="3"/>
      <c r="AP91" s="8"/>
      <c r="AQ91" s="8"/>
      <c r="AR91" s="3"/>
      <c r="AS91" s="3"/>
      <c r="AT91" s="3"/>
      <c r="AU91" s="3"/>
      <c r="AV91" s="3"/>
      <c r="AW91" s="8"/>
      <c r="AX91" s="8"/>
      <c r="AY91" s="3"/>
      <c r="AZ91" s="130"/>
      <c r="BA91" s="59"/>
      <c r="BB91" s="59"/>
      <c r="GO91" s="54"/>
      <c r="GP91" s="54"/>
    </row>
    <row r="92" spans="1:198" ht="15" hidden="1" customHeight="1" x14ac:dyDescent="0.25">
      <c r="A92" s="97">
        <v>81</v>
      </c>
      <c r="B92" s="103"/>
      <c r="C92" s="104"/>
      <c r="D92" s="1"/>
      <c r="E92" s="105"/>
      <c r="F92" s="105"/>
      <c r="G92" s="100" t="str">
        <f t="shared" si="2"/>
        <v/>
      </c>
      <c r="H92" s="100" t="str">
        <f t="shared" si="3"/>
        <v/>
      </c>
      <c r="I92" s="101">
        <f t="shared" si="0"/>
        <v>0</v>
      </c>
      <c r="J92" s="100" t="str">
        <f t="shared" si="12"/>
        <v/>
      </c>
      <c r="K92" s="6" t="str">
        <f t="shared" si="4"/>
        <v/>
      </c>
      <c r="L92" s="6" t="str">
        <f t="shared" si="4"/>
        <v/>
      </c>
      <c r="M92" s="6">
        <f t="shared" si="13"/>
        <v>0</v>
      </c>
      <c r="N92" s="7">
        <f t="shared" si="14"/>
        <v>0</v>
      </c>
      <c r="O92" s="4"/>
      <c r="P92" s="3"/>
      <c r="Q92" s="3"/>
      <c r="R92" s="3"/>
      <c r="S92" s="3"/>
      <c r="T92" s="3"/>
      <c r="U92" s="5"/>
      <c r="V92" s="125"/>
      <c r="W92" s="4"/>
      <c r="X92" s="3"/>
      <c r="Y92" s="3"/>
      <c r="Z92" s="3"/>
      <c r="AA92" s="3"/>
      <c r="AB92" s="8"/>
      <c r="AC92" s="8"/>
      <c r="AD92" s="3"/>
      <c r="AE92" s="3"/>
      <c r="AF92" s="3"/>
      <c r="AG92" s="3"/>
      <c r="AH92" s="3"/>
      <c r="AI92" s="8"/>
      <c r="AJ92" s="8"/>
      <c r="AK92" s="3"/>
      <c r="AL92" s="3"/>
      <c r="AM92" s="3"/>
      <c r="AN92" s="3"/>
      <c r="AO92" s="3"/>
      <c r="AP92" s="8"/>
      <c r="AQ92" s="8"/>
      <c r="AR92" s="3"/>
      <c r="AS92" s="3"/>
      <c r="AT92" s="3"/>
      <c r="AU92" s="3"/>
      <c r="AV92" s="3"/>
      <c r="AW92" s="8"/>
      <c r="AX92" s="8"/>
      <c r="AY92" s="3"/>
      <c r="AZ92" s="130"/>
      <c r="BA92" s="59"/>
      <c r="BB92" s="59"/>
      <c r="GO92" s="54"/>
      <c r="GP92" s="54"/>
    </row>
    <row r="93" spans="1:198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2"/>
        <v/>
      </c>
      <c r="H93" s="100" t="str">
        <f t="shared" si="3"/>
        <v/>
      </c>
      <c r="I93" s="101">
        <f t="shared" si="0"/>
        <v>0</v>
      </c>
      <c r="J93" s="100" t="str">
        <f t="shared" si="12"/>
        <v/>
      </c>
      <c r="K93" s="6" t="str">
        <f t="shared" si="4"/>
        <v/>
      </c>
      <c r="L93" s="6" t="str">
        <f t="shared" si="4"/>
        <v/>
      </c>
      <c r="M93" s="6">
        <f t="shared" si="13"/>
        <v>0</v>
      </c>
      <c r="N93" s="7">
        <f t="shared" si="14"/>
        <v>0</v>
      </c>
      <c r="O93" s="4"/>
      <c r="P93" s="3"/>
      <c r="Q93" s="3"/>
      <c r="R93" s="3"/>
      <c r="S93" s="3"/>
      <c r="T93" s="3"/>
      <c r="U93" s="5"/>
      <c r="V93" s="125"/>
      <c r="W93" s="4"/>
      <c r="X93" s="3"/>
      <c r="Y93" s="3"/>
      <c r="Z93" s="3"/>
      <c r="AA93" s="3"/>
      <c r="AB93" s="8"/>
      <c r="AC93" s="8"/>
      <c r="AD93" s="3"/>
      <c r="AE93" s="3"/>
      <c r="AF93" s="3"/>
      <c r="AG93" s="3"/>
      <c r="AH93" s="3"/>
      <c r="AI93" s="8"/>
      <c r="AJ93" s="8"/>
      <c r="AK93" s="3"/>
      <c r="AL93" s="3"/>
      <c r="AM93" s="3"/>
      <c r="AN93" s="3"/>
      <c r="AO93" s="3"/>
      <c r="AP93" s="8"/>
      <c r="AQ93" s="8"/>
      <c r="AR93" s="3"/>
      <c r="AS93" s="3"/>
      <c r="AT93" s="3"/>
      <c r="AU93" s="3"/>
      <c r="AV93" s="3"/>
      <c r="AW93" s="8"/>
      <c r="AX93" s="8"/>
      <c r="AY93" s="3"/>
      <c r="AZ93" s="130"/>
      <c r="BA93" s="59"/>
      <c r="BB93" s="59"/>
      <c r="GO93" s="54"/>
      <c r="GP93" s="54"/>
    </row>
    <row r="94" spans="1:198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2"/>
        <v/>
      </c>
      <c r="H94" s="100" t="str">
        <f t="shared" si="3"/>
        <v/>
      </c>
      <c r="I94" s="101">
        <f t="shared" si="0"/>
        <v>0</v>
      </c>
      <c r="J94" s="100" t="str">
        <f t="shared" si="12"/>
        <v/>
      </c>
      <c r="K94" s="6" t="str">
        <f t="shared" si="4"/>
        <v/>
      </c>
      <c r="L94" s="6" t="str">
        <f t="shared" si="4"/>
        <v/>
      </c>
      <c r="M94" s="6">
        <f t="shared" si="13"/>
        <v>0</v>
      </c>
      <c r="N94" s="7">
        <f t="shared" si="14"/>
        <v>0</v>
      </c>
      <c r="O94" s="4"/>
      <c r="P94" s="3"/>
      <c r="Q94" s="3"/>
      <c r="R94" s="3"/>
      <c r="S94" s="3"/>
      <c r="T94" s="3"/>
      <c r="U94" s="5"/>
      <c r="V94" s="125"/>
      <c r="W94" s="4"/>
      <c r="X94" s="3"/>
      <c r="Y94" s="3"/>
      <c r="Z94" s="3"/>
      <c r="AA94" s="3"/>
      <c r="AB94" s="8"/>
      <c r="AC94" s="8"/>
      <c r="AD94" s="3"/>
      <c r="AE94" s="3"/>
      <c r="AF94" s="3"/>
      <c r="AG94" s="3"/>
      <c r="AH94" s="3"/>
      <c r="AI94" s="8"/>
      <c r="AJ94" s="8"/>
      <c r="AK94" s="3"/>
      <c r="AL94" s="3"/>
      <c r="AM94" s="3"/>
      <c r="AN94" s="3"/>
      <c r="AO94" s="3"/>
      <c r="AP94" s="8"/>
      <c r="AQ94" s="8"/>
      <c r="AR94" s="3"/>
      <c r="AS94" s="3"/>
      <c r="AT94" s="3"/>
      <c r="AU94" s="3"/>
      <c r="AV94" s="3"/>
      <c r="AW94" s="8"/>
      <c r="AX94" s="8"/>
      <c r="AY94" s="3"/>
      <c r="AZ94" s="130"/>
      <c r="BA94" s="59"/>
      <c r="BB94" s="59"/>
      <c r="GO94" s="54"/>
      <c r="GP94" s="54"/>
    </row>
    <row r="95" spans="1:198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2"/>
        <v/>
      </c>
      <c r="H95" s="100" t="str">
        <f t="shared" si="3"/>
        <v/>
      </c>
      <c r="I95" s="101">
        <f t="shared" si="0"/>
        <v>0</v>
      </c>
      <c r="J95" s="100" t="str">
        <f t="shared" si="12"/>
        <v/>
      </c>
      <c r="K95" s="6" t="str">
        <f t="shared" si="4"/>
        <v/>
      </c>
      <c r="L95" s="6" t="str">
        <f t="shared" si="4"/>
        <v/>
      </c>
      <c r="M95" s="6">
        <f t="shared" si="13"/>
        <v>0</v>
      </c>
      <c r="N95" s="7">
        <f t="shared" si="14"/>
        <v>0</v>
      </c>
      <c r="O95" s="4"/>
      <c r="P95" s="3"/>
      <c r="Q95" s="3"/>
      <c r="R95" s="3"/>
      <c r="S95" s="3"/>
      <c r="T95" s="3"/>
      <c r="U95" s="5"/>
      <c r="V95" s="125"/>
      <c r="W95" s="4"/>
      <c r="X95" s="3"/>
      <c r="Y95" s="3"/>
      <c r="Z95" s="3"/>
      <c r="AA95" s="3"/>
      <c r="AB95" s="8"/>
      <c r="AC95" s="8"/>
      <c r="AD95" s="3"/>
      <c r="AE95" s="3"/>
      <c r="AF95" s="3"/>
      <c r="AG95" s="3"/>
      <c r="AH95" s="3"/>
      <c r="AI95" s="8"/>
      <c r="AJ95" s="8"/>
      <c r="AK95" s="3"/>
      <c r="AL95" s="3"/>
      <c r="AM95" s="3"/>
      <c r="AN95" s="3"/>
      <c r="AO95" s="3"/>
      <c r="AP95" s="8"/>
      <c r="AQ95" s="8"/>
      <c r="AR95" s="3"/>
      <c r="AS95" s="3"/>
      <c r="AT95" s="3"/>
      <c r="AU95" s="3"/>
      <c r="AV95" s="3"/>
      <c r="AW95" s="8"/>
      <c r="AX95" s="8"/>
      <c r="AY95" s="3"/>
      <c r="AZ95" s="130"/>
      <c r="BA95" s="59"/>
      <c r="BB95" s="59"/>
      <c r="GO95" s="54"/>
      <c r="GP95" s="54"/>
    </row>
    <row r="96" spans="1:198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2"/>
        <v/>
      </c>
      <c r="H96" s="100" t="str">
        <f t="shared" si="3"/>
        <v/>
      </c>
      <c r="I96" s="101">
        <f t="shared" si="0"/>
        <v>0</v>
      </c>
      <c r="J96" s="100" t="str">
        <f t="shared" si="12"/>
        <v/>
      </c>
      <c r="K96" s="6" t="str">
        <f t="shared" si="4"/>
        <v/>
      </c>
      <c r="L96" s="6" t="str">
        <f t="shared" si="4"/>
        <v/>
      </c>
      <c r="M96" s="6">
        <f t="shared" si="13"/>
        <v>0</v>
      </c>
      <c r="N96" s="7">
        <f t="shared" si="14"/>
        <v>0</v>
      </c>
      <c r="O96" s="4"/>
      <c r="P96" s="3"/>
      <c r="Q96" s="3"/>
      <c r="R96" s="3"/>
      <c r="S96" s="3"/>
      <c r="T96" s="3"/>
      <c r="U96" s="5"/>
      <c r="V96" s="125"/>
      <c r="W96" s="4"/>
      <c r="X96" s="3"/>
      <c r="Y96" s="3"/>
      <c r="Z96" s="3"/>
      <c r="AA96" s="3"/>
      <c r="AB96" s="8"/>
      <c r="AC96" s="8"/>
      <c r="AD96" s="3"/>
      <c r="AE96" s="3"/>
      <c r="AF96" s="3"/>
      <c r="AG96" s="3"/>
      <c r="AH96" s="3"/>
      <c r="AI96" s="8"/>
      <c r="AJ96" s="8"/>
      <c r="AK96" s="3"/>
      <c r="AL96" s="3"/>
      <c r="AM96" s="3"/>
      <c r="AN96" s="3"/>
      <c r="AO96" s="3"/>
      <c r="AP96" s="8"/>
      <c r="AQ96" s="8"/>
      <c r="AR96" s="3"/>
      <c r="AS96" s="3"/>
      <c r="AT96" s="3"/>
      <c r="AU96" s="3"/>
      <c r="AV96" s="3"/>
      <c r="AW96" s="8"/>
      <c r="AX96" s="8"/>
      <c r="AY96" s="3"/>
      <c r="AZ96" s="130"/>
      <c r="BA96" s="59"/>
      <c r="BB96" s="59"/>
      <c r="GO96" s="54"/>
      <c r="GP96" s="54"/>
    </row>
    <row r="97" spans="1:198" ht="15" hidden="1" customHeight="1" x14ac:dyDescent="0.25">
      <c r="A97" s="97">
        <v>86</v>
      </c>
      <c r="B97" s="103"/>
      <c r="C97" s="104"/>
      <c r="D97" s="1"/>
      <c r="E97" s="105"/>
      <c r="F97" s="105"/>
      <c r="G97" s="100" t="str">
        <f t="shared" si="2"/>
        <v/>
      </c>
      <c r="H97" s="100" t="str">
        <f t="shared" si="3"/>
        <v/>
      </c>
      <c r="I97" s="101">
        <f t="shared" si="0"/>
        <v>0</v>
      </c>
      <c r="J97" s="100" t="str">
        <f t="shared" si="12"/>
        <v/>
      </c>
      <c r="K97" s="6" t="str">
        <f t="shared" si="4"/>
        <v/>
      </c>
      <c r="L97" s="6" t="str">
        <f t="shared" si="4"/>
        <v/>
      </c>
      <c r="M97" s="6">
        <f t="shared" si="13"/>
        <v>0</v>
      </c>
      <c r="N97" s="7">
        <f t="shared" si="14"/>
        <v>0</v>
      </c>
      <c r="O97" s="4"/>
      <c r="P97" s="3"/>
      <c r="Q97" s="3"/>
      <c r="R97" s="3"/>
      <c r="S97" s="3"/>
      <c r="T97" s="3"/>
      <c r="U97" s="5"/>
      <c r="V97" s="125"/>
      <c r="W97" s="4"/>
      <c r="X97" s="3"/>
      <c r="Y97" s="3"/>
      <c r="Z97" s="3"/>
      <c r="AA97" s="3"/>
      <c r="AB97" s="8"/>
      <c r="AC97" s="8"/>
      <c r="AD97" s="3"/>
      <c r="AE97" s="3"/>
      <c r="AF97" s="3"/>
      <c r="AG97" s="3"/>
      <c r="AH97" s="3"/>
      <c r="AI97" s="8"/>
      <c r="AJ97" s="8"/>
      <c r="AK97" s="3"/>
      <c r="AL97" s="3"/>
      <c r="AM97" s="3"/>
      <c r="AN97" s="3"/>
      <c r="AO97" s="3"/>
      <c r="AP97" s="8"/>
      <c r="AQ97" s="8"/>
      <c r="AR97" s="3"/>
      <c r="AS97" s="3"/>
      <c r="AT97" s="3"/>
      <c r="AU97" s="3"/>
      <c r="AV97" s="3"/>
      <c r="AW97" s="8"/>
      <c r="AX97" s="8"/>
      <c r="AY97" s="3"/>
      <c r="AZ97" s="130"/>
      <c r="BA97" s="59"/>
      <c r="BB97" s="59"/>
      <c r="GO97" s="54"/>
      <c r="GP97" s="54"/>
    </row>
    <row r="98" spans="1:198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2"/>
        <v/>
      </c>
      <c r="H98" s="100" t="str">
        <f t="shared" si="3"/>
        <v/>
      </c>
      <c r="I98" s="101">
        <f t="shared" si="0"/>
        <v>0</v>
      </c>
      <c r="J98" s="100" t="str">
        <f t="shared" si="12"/>
        <v/>
      </c>
      <c r="K98" s="6" t="str">
        <f t="shared" si="4"/>
        <v/>
      </c>
      <c r="L98" s="6" t="str">
        <f t="shared" si="4"/>
        <v/>
      </c>
      <c r="M98" s="6">
        <f t="shared" si="13"/>
        <v>0</v>
      </c>
      <c r="N98" s="7">
        <f t="shared" si="14"/>
        <v>0</v>
      </c>
      <c r="O98" s="4"/>
      <c r="P98" s="3"/>
      <c r="Q98" s="3"/>
      <c r="R98" s="3"/>
      <c r="S98" s="3"/>
      <c r="T98" s="3"/>
      <c r="U98" s="5"/>
      <c r="V98" s="125"/>
      <c r="W98" s="4"/>
      <c r="X98" s="3"/>
      <c r="Y98" s="3"/>
      <c r="Z98" s="3"/>
      <c r="AA98" s="3"/>
      <c r="AB98" s="8"/>
      <c r="AC98" s="8"/>
      <c r="AD98" s="3"/>
      <c r="AE98" s="3"/>
      <c r="AF98" s="3"/>
      <c r="AG98" s="3"/>
      <c r="AH98" s="3"/>
      <c r="AI98" s="8"/>
      <c r="AJ98" s="8"/>
      <c r="AK98" s="3"/>
      <c r="AL98" s="3"/>
      <c r="AM98" s="3"/>
      <c r="AN98" s="3"/>
      <c r="AO98" s="3"/>
      <c r="AP98" s="8"/>
      <c r="AQ98" s="8"/>
      <c r="AR98" s="3"/>
      <c r="AS98" s="3"/>
      <c r="AT98" s="3"/>
      <c r="AU98" s="3"/>
      <c r="AV98" s="3"/>
      <c r="AW98" s="8"/>
      <c r="AX98" s="8"/>
      <c r="AY98" s="3"/>
      <c r="AZ98" s="130"/>
      <c r="BA98" s="59"/>
      <c r="BB98" s="59"/>
      <c r="GO98" s="54"/>
      <c r="GP98" s="54"/>
    </row>
    <row r="99" spans="1:198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2"/>
        <v/>
      </c>
      <c r="H99" s="100" t="str">
        <f t="shared" si="3"/>
        <v/>
      </c>
      <c r="I99" s="101">
        <f t="shared" si="0"/>
        <v>0</v>
      </c>
      <c r="J99" s="100" t="str">
        <f t="shared" si="12"/>
        <v/>
      </c>
      <c r="K99" s="6" t="str">
        <f t="shared" si="4"/>
        <v/>
      </c>
      <c r="L99" s="6" t="str">
        <f t="shared" si="4"/>
        <v/>
      </c>
      <c r="M99" s="6">
        <f t="shared" si="13"/>
        <v>0</v>
      </c>
      <c r="N99" s="7">
        <f t="shared" si="14"/>
        <v>0</v>
      </c>
      <c r="O99" s="4"/>
      <c r="P99" s="3"/>
      <c r="Q99" s="3"/>
      <c r="R99" s="3"/>
      <c r="S99" s="3"/>
      <c r="T99" s="3"/>
      <c r="U99" s="5"/>
      <c r="V99" s="125"/>
      <c r="W99" s="4"/>
      <c r="X99" s="3"/>
      <c r="Y99" s="3"/>
      <c r="Z99" s="3"/>
      <c r="AA99" s="3"/>
      <c r="AB99" s="8"/>
      <c r="AC99" s="8"/>
      <c r="AD99" s="3"/>
      <c r="AE99" s="3"/>
      <c r="AF99" s="3"/>
      <c r="AG99" s="3"/>
      <c r="AH99" s="3"/>
      <c r="AI99" s="8"/>
      <c r="AJ99" s="8"/>
      <c r="AK99" s="3"/>
      <c r="AL99" s="3"/>
      <c r="AM99" s="3"/>
      <c r="AN99" s="3"/>
      <c r="AO99" s="3"/>
      <c r="AP99" s="8"/>
      <c r="AQ99" s="8"/>
      <c r="AR99" s="3"/>
      <c r="AS99" s="3"/>
      <c r="AT99" s="3"/>
      <c r="AU99" s="3"/>
      <c r="AV99" s="3"/>
      <c r="AW99" s="8"/>
      <c r="AX99" s="8"/>
      <c r="AY99" s="3"/>
      <c r="AZ99" s="130"/>
      <c r="BA99" s="59"/>
      <c r="BB99" s="59"/>
      <c r="GO99" s="54"/>
      <c r="GP99" s="54"/>
    </row>
    <row r="100" spans="1:198" ht="15" hidden="1" customHeight="1" x14ac:dyDescent="0.25">
      <c r="A100" s="102">
        <v>89</v>
      </c>
      <c r="B100" s="103"/>
      <c r="C100" s="104"/>
      <c r="D100" s="2"/>
      <c r="E100" s="105"/>
      <c r="F100" s="105"/>
      <c r="G100" s="100" t="str">
        <f t="shared" si="2"/>
        <v/>
      </c>
      <c r="H100" s="100" t="str">
        <f t="shared" si="3"/>
        <v/>
      </c>
      <c r="I100" s="101">
        <f t="shared" si="0"/>
        <v>0</v>
      </c>
      <c r="J100" s="100" t="str">
        <f t="shared" si="12"/>
        <v/>
      </c>
      <c r="K100" s="6" t="str">
        <f t="shared" si="4"/>
        <v/>
      </c>
      <c r="L100" s="6" t="str">
        <f t="shared" si="4"/>
        <v/>
      </c>
      <c r="M100" s="6">
        <f t="shared" si="13"/>
        <v>0</v>
      </c>
      <c r="N100" s="7">
        <f t="shared" si="14"/>
        <v>0</v>
      </c>
      <c r="O100" s="4"/>
      <c r="P100" s="3"/>
      <c r="Q100" s="3"/>
      <c r="R100" s="3"/>
      <c r="S100" s="3"/>
      <c r="T100" s="3"/>
      <c r="U100" s="5"/>
      <c r="V100" s="125"/>
      <c r="W100" s="4"/>
      <c r="X100" s="3"/>
      <c r="Y100" s="3"/>
      <c r="Z100" s="3"/>
      <c r="AA100" s="3"/>
      <c r="AB100" s="8"/>
      <c r="AC100" s="8"/>
      <c r="AD100" s="3"/>
      <c r="AE100" s="3"/>
      <c r="AF100" s="3"/>
      <c r="AG100" s="3"/>
      <c r="AH100" s="3"/>
      <c r="AI100" s="8"/>
      <c r="AJ100" s="8"/>
      <c r="AK100" s="3"/>
      <c r="AL100" s="3"/>
      <c r="AM100" s="3"/>
      <c r="AN100" s="3"/>
      <c r="AO100" s="3"/>
      <c r="AP100" s="8"/>
      <c r="AQ100" s="8"/>
      <c r="AR100" s="3"/>
      <c r="AS100" s="3"/>
      <c r="AT100" s="3"/>
      <c r="AU100" s="3"/>
      <c r="AV100" s="3"/>
      <c r="AW100" s="8"/>
      <c r="AX100" s="8"/>
      <c r="AY100" s="3"/>
      <c r="AZ100" s="130"/>
      <c r="BA100" s="59"/>
      <c r="BB100" s="59"/>
      <c r="GO100" s="54"/>
      <c r="GP100" s="54"/>
    </row>
    <row r="101" spans="1:198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2"/>
        <v/>
      </c>
      <c r="H101" s="100" t="str">
        <f t="shared" si="3"/>
        <v/>
      </c>
      <c r="I101" s="101">
        <f t="shared" si="0"/>
        <v>0</v>
      </c>
      <c r="J101" s="100" t="str">
        <f t="shared" si="12"/>
        <v/>
      </c>
      <c r="K101" s="6" t="str">
        <f t="shared" si="4"/>
        <v/>
      </c>
      <c r="L101" s="6" t="str">
        <f t="shared" si="4"/>
        <v/>
      </c>
      <c r="M101" s="6">
        <f t="shared" si="13"/>
        <v>0</v>
      </c>
      <c r="N101" s="7">
        <f t="shared" si="14"/>
        <v>0</v>
      </c>
      <c r="O101" s="4"/>
      <c r="P101" s="3"/>
      <c r="Q101" s="3"/>
      <c r="R101" s="3"/>
      <c r="S101" s="3"/>
      <c r="T101" s="3"/>
      <c r="U101" s="5"/>
      <c r="V101" s="125"/>
      <c r="W101" s="4"/>
      <c r="X101" s="3"/>
      <c r="Y101" s="3"/>
      <c r="Z101" s="3"/>
      <c r="AA101" s="3"/>
      <c r="AB101" s="8"/>
      <c r="AC101" s="8"/>
      <c r="AD101" s="3"/>
      <c r="AE101" s="3"/>
      <c r="AF101" s="3"/>
      <c r="AG101" s="3"/>
      <c r="AH101" s="3"/>
      <c r="AI101" s="8"/>
      <c r="AJ101" s="8"/>
      <c r="AK101" s="3"/>
      <c r="AL101" s="3"/>
      <c r="AM101" s="3"/>
      <c r="AN101" s="3"/>
      <c r="AO101" s="3"/>
      <c r="AP101" s="8"/>
      <c r="AQ101" s="8"/>
      <c r="AR101" s="3"/>
      <c r="AS101" s="3"/>
      <c r="AT101" s="3"/>
      <c r="AU101" s="3"/>
      <c r="AV101" s="3"/>
      <c r="AW101" s="8"/>
      <c r="AX101" s="8"/>
      <c r="AY101" s="3"/>
      <c r="AZ101" s="130"/>
      <c r="BA101" s="59"/>
      <c r="BB101" s="59"/>
      <c r="GO101" s="54"/>
      <c r="GP101" s="54"/>
    </row>
    <row r="102" spans="1:198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2"/>
        <v/>
      </c>
      <c r="H102" s="100" t="str">
        <f t="shared" si="3"/>
        <v/>
      </c>
      <c r="I102" s="101">
        <f t="shared" si="0"/>
        <v>0</v>
      </c>
      <c r="J102" s="100" t="str">
        <f t="shared" si="12"/>
        <v/>
      </c>
      <c r="K102" s="6" t="str">
        <f t="shared" si="4"/>
        <v/>
      </c>
      <c r="L102" s="6" t="str">
        <f t="shared" si="4"/>
        <v/>
      </c>
      <c r="M102" s="6">
        <f t="shared" si="13"/>
        <v>0</v>
      </c>
      <c r="N102" s="7">
        <f t="shared" si="14"/>
        <v>0</v>
      </c>
      <c r="O102" s="4"/>
      <c r="P102" s="3"/>
      <c r="Q102" s="3"/>
      <c r="R102" s="3"/>
      <c r="S102" s="3"/>
      <c r="T102" s="3"/>
      <c r="U102" s="5"/>
      <c r="V102" s="125"/>
      <c r="W102" s="4"/>
      <c r="X102" s="3"/>
      <c r="Y102" s="3"/>
      <c r="Z102" s="3"/>
      <c r="AA102" s="3"/>
      <c r="AB102" s="8"/>
      <c r="AC102" s="8"/>
      <c r="AD102" s="3"/>
      <c r="AE102" s="3"/>
      <c r="AF102" s="3"/>
      <c r="AG102" s="3"/>
      <c r="AH102" s="3"/>
      <c r="AI102" s="8"/>
      <c r="AJ102" s="8"/>
      <c r="AK102" s="3"/>
      <c r="AL102" s="3"/>
      <c r="AM102" s="3"/>
      <c r="AN102" s="3"/>
      <c r="AO102" s="3"/>
      <c r="AP102" s="8"/>
      <c r="AQ102" s="8"/>
      <c r="AR102" s="3"/>
      <c r="AS102" s="3"/>
      <c r="AT102" s="3"/>
      <c r="AU102" s="3"/>
      <c r="AV102" s="3"/>
      <c r="AW102" s="8"/>
      <c r="AX102" s="8"/>
      <c r="AY102" s="3"/>
      <c r="AZ102" s="130"/>
      <c r="BA102" s="59"/>
      <c r="BB102" s="59"/>
      <c r="GO102" s="54"/>
      <c r="GP102" s="54"/>
    </row>
    <row r="103" spans="1:198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2"/>
        <v/>
      </c>
      <c r="H103" s="100" t="str">
        <f t="shared" si="3"/>
        <v/>
      </c>
      <c r="I103" s="101">
        <f t="shared" si="0"/>
        <v>0</v>
      </c>
      <c r="J103" s="100" t="str">
        <f t="shared" si="12"/>
        <v/>
      </c>
      <c r="K103" s="6" t="str">
        <f t="shared" si="4"/>
        <v/>
      </c>
      <c r="L103" s="6" t="str">
        <f t="shared" si="4"/>
        <v/>
      </c>
      <c r="M103" s="6">
        <f t="shared" si="13"/>
        <v>0</v>
      </c>
      <c r="N103" s="7">
        <f t="shared" si="14"/>
        <v>0</v>
      </c>
      <c r="O103" s="4"/>
      <c r="P103" s="3"/>
      <c r="Q103" s="3"/>
      <c r="R103" s="3"/>
      <c r="S103" s="3"/>
      <c r="T103" s="3"/>
      <c r="U103" s="5"/>
      <c r="V103" s="125"/>
      <c r="W103" s="4"/>
      <c r="X103" s="3"/>
      <c r="Y103" s="3"/>
      <c r="Z103" s="3"/>
      <c r="AA103" s="3"/>
      <c r="AB103" s="8"/>
      <c r="AC103" s="8"/>
      <c r="AD103" s="3"/>
      <c r="AE103" s="3"/>
      <c r="AF103" s="3"/>
      <c r="AG103" s="3"/>
      <c r="AH103" s="3"/>
      <c r="AI103" s="8"/>
      <c r="AJ103" s="8"/>
      <c r="AK103" s="3"/>
      <c r="AL103" s="3"/>
      <c r="AM103" s="3"/>
      <c r="AN103" s="3"/>
      <c r="AO103" s="3"/>
      <c r="AP103" s="8"/>
      <c r="AQ103" s="8"/>
      <c r="AR103" s="3"/>
      <c r="AS103" s="3"/>
      <c r="AT103" s="3"/>
      <c r="AU103" s="3"/>
      <c r="AV103" s="3"/>
      <c r="AW103" s="8"/>
      <c r="AX103" s="8"/>
      <c r="AY103" s="3"/>
      <c r="AZ103" s="130"/>
      <c r="BA103" s="59"/>
      <c r="BB103" s="59"/>
      <c r="GO103" s="54"/>
      <c r="GP103" s="54"/>
    </row>
    <row r="104" spans="1:198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2"/>
        <v/>
      </c>
      <c r="H104" s="100" t="str">
        <f t="shared" si="3"/>
        <v/>
      </c>
      <c r="I104" s="101">
        <f t="shared" si="0"/>
        <v>0</v>
      </c>
      <c r="J104" s="100" t="str">
        <f t="shared" si="12"/>
        <v/>
      </c>
      <c r="K104" s="6" t="str">
        <f t="shared" si="4"/>
        <v/>
      </c>
      <c r="L104" s="6" t="str">
        <f t="shared" si="4"/>
        <v/>
      </c>
      <c r="M104" s="6">
        <f t="shared" si="13"/>
        <v>0</v>
      </c>
      <c r="N104" s="7">
        <f t="shared" si="14"/>
        <v>0</v>
      </c>
      <c r="O104" s="4"/>
      <c r="P104" s="3"/>
      <c r="Q104" s="3"/>
      <c r="R104" s="3"/>
      <c r="S104" s="3"/>
      <c r="T104" s="3"/>
      <c r="U104" s="5"/>
      <c r="V104" s="125"/>
      <c r="W104" s="4"/>
      <c r="X104" s="3"/>
      <c r="Y104" s="3"/>
      <c r="Z104" s="3"/>
      <c r="AA104" s="3"/>
      <c r="AB104" s="8"/>
      <c r="AC104" s="8"/>
      <c r="AD104" s="3"/>
      <c r="AE104" s="3"/>
      <c r="AF104" s="3"/>
      <c r="AG104" s="3"/>
      <c r="AH104" s="3"/>
      <c r="AI104" s="8"/>
      <c r="AJ104" s="8"/>
      <c r="AK104" s="3"/>
      <c r="AL104" s="3"/>
      <c r="AM104" s="3"/>
      <c r="AN104" s="3"/>
      <c r="AO104" s="3"/>
      <c r="AP104" s="8"/>
      <c r="AQ104" s="8"/>
      <c r="AR104" s="3"/>
      <c r="AS104" s="3"/>
      <c r="AT104" s="3"/>
      <c r="AU104" s="3"/>
      <c r="AV104" s="3"/>
      <c r="AW104" s="8"/>
      <c r="AX104" s="8"/>
      <c r="AY104" s="3"/>
      <c r="AZ104" s="130"/>
      <c r="BA104" s="59"/>
      <c r="BB104" s="59"/>
      <c r="GO104" s="54"/>
      <c r="GP104" s="54"/>
    </row>
    <row r="105" spans="1:198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2"/>
        <v/>
      </c>
      <c r="H105" s="100" t="str">
        <f t="shared" si="3"/>
        <v/>
      </c>
      <c r="I105" s="101">
        <f t="shared" si="0"/>
        <v>0</v>
      </c>
      <c r="J105" s="100" t="str">
        <f t="shared" si="12"/>
        <v/>
      </c>
      <c r="K105" s="6" t="str">
        <f t="shared" si="4"/>
        <v/>
      </c>
      <c r="L105" s="6" t="str">
        <f t="shared" si="4"/>
        <v/>
      </c>
      <c r="M105" s="6">
        <f t="shared" si="13"/>
        <v>0</v>
      </c>
      <c r="N105" s="7">
        <f t="shared" si="14"/>
        <v>0</v>
      </c>
      <c r="O105" s="4"/>
      <c r="P105" s="3"/>
      <c r="Q105" s="3"/>
      <c r="R105" s="3"/>
      <c r="S105" s="3"/>
      <c r="T105" s="3"/>
      <c r="U105" s="5"/>
      <c r="V105" s="125"/>
      <c r="W105" s="4"/>
      <c r="X105" s="3"/>
      <c r="Y105" s="3"/>
      <c r="Z105" s="3"/>
      <c r="AA105" s="3"/>
      <c r="AB105" s="8"/>
      <c r="AC105" s="8"/>
      <c r="AD105" s="3"/>
      <c r="AE105" s="3"/>
      <c r="AF105" s="3"/>
      <c r="AG105" s="3"/>
      <c r="AH105" s="3"/>
      <c r="AI105" s="8"/>
      <c r="AJ105" s="8"/>
      <c r="AK105" s="3"/>
      <c r="AL105" s="3"/>
      <c r="AM105" s="3"/>
      <c r="AN105" s="3"/>
      <c r="AO105" s="3"/>
      <c r="AP105" s="8"/>
      <c r="AQ105" s="8"/>
      <c r="AR105" s="3"/>
      <c r="AS105" s="3"/>
      <c r="AT105" s="3"/>
      <c r="AU105" s="3"/>
      <c r="AV105" s="3"/>
      <c r="AW105" s="8"/>
      <c r="AX105" s="8"/>
      <c r="AY105" s="3"/>
      <c r="AZ105" s="130"/>
      <c r="BA105" s="59"/>
      <c r="BB105" s="59"/>
      <c r="GO105" s="54"/>
      <c r="GP105" s="54"/>
    </row>
    <row r="106" spans="1:198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2"/>
        <v/>
      </c>
      <c r="H106" s="100" t="str">
        <f t="shared" si="3"/>
        <v/>
      </c>
      <c r="I106" s="101">
        <f t="shared" si="0"/>
        <v>0</v>
      </c>
      <c r="J106" s="100" t="str">
        <f t="shared" si="12"/>
        <v/>
      </c>
      <c r="K106" s="6" t="str">
        <f t="shared" si="4"/>
        <v/>
      </c>
      <c r="L106" s="6" t="str">
        <f t="shared" si="4"/>
        <v/>
      </c>
      <c r="M106" s="6">
        <f t="shared" si="13"/>
        <v>0</v>
      </c>
      <c r="N106" s="7">
        <f t="shared" si="14"/>
        <v>0</v>
      </c>
      <c r="O106" s="4"/>
      <c r="P106" s="3"/>
      <c r="Q106" s="3"/>
      <c r="R106" s="3"/>
      <c r="S106" s="3"/>
      <c r="T106" s="3"/>
      <c r="U106" s="5"/>
      <c r="V106" s="125"/>
      <c r="W106" s="4"/>
      <c r="X106" s="3"/>
      <c r="Y106" s="3"/>
      <c r="Z106" s="3"/>
      <c r="AA106" s="3"/>
      <c r="AB106" s="8"/>
      <c r="AC106" s="8"/>
      <c r="AD106" s="3"/>
      <c r="AE106" s="3"/>
      <c r="AF106" s="3"/>
      <c r="AG106" s="3"/>
      <c r="AH106" s="3"/>
      <c r="AI106" s="8"/>
      <c r="AJ106" s="8"/>
      <c r="AK106" s="3"/>
      <c r="AL106" s="3"/>
      <c r="AM106" s="3"/>
      <c r="AN106" s="3"/>
      <c r="AO106" s="3"/>
      <c r="AP106" s="8"/>
      <c r="AQ106" s="8"/>
      <c r="AR106" s="3"/>
      <c r="AS106" s="3"/>
      <c r="AT106" s="3"/>
      <c r="AU106" s="3"/>
      <c r="AV106" s="3"/>
      <c r="AW106" s="8"/>
      <c r="AX106" s="8"/>
      <c r="AY106" s="3"/>
      <c r="AZ106" s="130"/>
      <c r="BA106" s="59"/>
      <c r="BB106" s="59"/>
      <c r="GO106" s="54"/>
      <c r="GP106" s="54"/>
    </row>
    <row r="107" spans="1:198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2"/>
        <v/>
      </c>
      <c r="H107" s="100" t="str">
        <f t="shared" si="3"/>
        <v/>
      </c>
      <c r="I107" s="101">
        <f t="shared" si="0"/>
        <v>0</v>
      </c>
      <c r="J107" s="100" t="str">
        <f t="shared" si="12"/>
        <v/>
      </c>
      <c r="K107" s="6" t="str">
        <f t="shared" si="4"/>
        <v/>
      </c>
      <c r="L107" s="6" t="str">
        <f t="shared" si="4"/>
        <v/>
      </c>
      <c r="M107" s="6">
        <f t="shared" si="13"/>
        <v>0</v>
      </c>
      <c r="N107" s="7">
        <f t="shared" si="14"/>
        <v>0</v>
      </c>
      <c r="O107" s="4"/>
      <c r="P107" s="3"/>
      <c r="Q107" s="3"/>
      <c r="R107" s="3"/>
      <c r="S107" s="3"/>
      <c r="T107" s="3"/>
      <c r="U107" s="5"/>
      <c r="V107" s="125"/>
      <c r="W107" s="4"/>
      <c r="X107" s="3"/>
      <c r="Y107" s="3"/>
      <c r="Z107" s="3"/>
      <c r="AA107" s="3"/>
      <c r="AB107" s="8"/>
      <c r="AC107" s="8"/>
      <c r="AD107" s="3"/>
      <c r="AE107" s="3"/>
      <c r="AF107" s="3"/>
      <c r="AG107" s="3"/>
      <c r="AH107" s="3"/>
      <c r="AI107" s="8"/>
      <c r="AJ107" s="8"/>
      <c r="AK107" s="3"/>
      <c r="AL107" s="3"/>
      <c r="AM107" s="3"/>
      <c r="AN107" s="3"/>
      <c r="AO107" s="3"/>
      <c r="AP107" s="8"/>
      <c r="AQ107" s="8"/>
      <c r="AR107" s="3"/>
      <c r="AS107" s="3"/>
      <c r="AT107" s="3"/>
      <c r="AU107" s="3"/>
      <c r="AV107" s="3"/>
      <c r="AW107" s="8"/>
      <c r="AX107" s="8"/>
      <c r="AY107" s="3"/>
      <c r="AZ107" s="130"/>
      <c r="BA107" s="59"/>
      <c r="BB107" s="59"/>
      <c r="GO107" s="54"/>
      <c r="GP107" s="54"/>
    </row>
    <row r="108" spans="1:198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2"/>
        <v/>
      </c>
      <c r="H108" s="100" t="str">
        <f t="shared" si="3"/>
        <v/>
      </c>
      <c r="I108" s="101">
        <f t="shared" si="0"/>
        <v>0</v>
      </c>
      <c r="J108" s="100" t="str">
        <f t="shared" si="12"/>
        <v/>
      </c>
      <c r="K108" s="6" t="str">
        <f t="shared" si="4"/>
        <v/>
      </c>
      <c r="L108" s="6" t="str">
        <f t="shared" si="4"/>
        <v/>
      </c>
      <c r="M108" s="6">
        <f t="shared" si="13"/>
        <v>0</v>
      </c>
      <c r="N108" s="7">
        <f t="shared" si="14"/>
        <v>0</v>
      </c>
      <c r="O108" s="4"/>
      <c r="P108" s="3"/>
      <c r="Q108" s="3"/>
      <c r="R108" s="3"/>
      <c r="S108" s="3"/>
      <c r="T108" s="3"/>
      <c r="U108" s="5"/>
      <c r="V108" s="125"/>
      <c r="W108" s="4"/>
      <c r="X108" s="3"/>
      <c r="Y108" s="3"/>
      <c r="Z108" s="3"/>
      <c r="AA108" s="3"/>
      <c r="AB108" s="8"/>
      <c r="AC108" s="8"/>
      <c r="AD108" s="3"/>
      <c r="AE108" s="3"/>
      <c r="AF108" s="3"/>
      <c r="AG108" s="3"/>
      <c r="AH108" s="3"/>
      <c r="AI108" s="8"/>
      <c r="AJ108" s="8"/>
      <c r="AK108" s="3"/>
      <c r="AL108" s="3"/>
      <c r="AM108" s="3"/>
      <c r="AN108" s="3"/>
      <c r="AO108" s="3"/>
      <c r="AP108" s="8"/>
      <c r="AQ108" s="8"/>
      <c r="AR108" s="3"/>
      <c r="AS108" s="3"/>
      <c r="AT108" s="3"/>
      <c r="AU108" s="3"/>
      <c r="AV108" s="3"/>
      <c r="AW108" s="8"/>
      <c r="AX108" s="8"/>
      <c r="AY108" s="3"/>
      <c r="AZ108" s="130"/>
      <c r="BA108" s="59"/>
      <c r="BB108" s="59"/>
      <c r="GO108" s="54"/>
      <c r="GP108" s="54"/>
    </row>
    <row r="109" spans="1:198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2"/>
        <v/>
      </c>
      <c r="H109" s="100" t="str">
        <f t="shared" si="3"/>
        <v/>
      </c>
      <c r="I109" s="101">
        <f t="shared" si="0"/>
        <v>0</v>
      </c>
      <c r="J109" s="100" t="str">
        <f t="shared" si="12"/>
        <v/>
      </c>
      <c r="K109" s="6" t="str">
        <f t="shared" si="4"/>
        <v/>
      </c>
      <c r="L109" s="6" t="str">
        <f t="shared" si="4"/>
        <v/>
      </c>
      <c r="M109" s="6">
        <f t="shared" si="13"/>
        <v>0</v>
      </c>
      <c r="N109" s="7">
        <f t="shared" si="14"/>
        <v>0</v>
      </c>
      <c r="O109" s="4"/>
      <c r="P109" s="3"/>
      <c r="Q109" s="3"/>
      <c r="R109" s="3"/>
      <c r="S109" s="3"/>
      <c r="T109" s="3"/>
      <c r="U109" s="5"/>
      <c r="V109" s="125"/>
      <c r="W109" s="4"/>
      <c r="X109" s="3"/>
      <c r="Y109" s="3"/>
      <c r="Z109" s="3"/>
      <c r="AA109" s="3"/>
      <c r="AB109" s="8"/>
      <c r="AC109" s="8"/>
      <c r="AD109" s="3"/>
      <c r="AE109" s="3"/>
      <c r="AF109" s="3"/>
      <c r="AG109" s="3"/>
      <c r="AH109" s="3"/>
      <c r="AI109" s="8"/>
      <c r="AJ109" s="8"/>
      <c r="AK109" s="3"/>
      <c r="AL109" s="3"/>
      <c r="AM109" s="3"/>
      <c r="AN109" s="3"/>
      <c r="AO109" s="3"/>
      <c r="AP109" s="8"/>
      <c r="AQ109" s="8"/>
      <c r="AR109" s="3"/>
      <c r="AS109" s="3"/>
      <c r="AT109" s="3"/>
      <c r="AU109" s="3"/>
      <c r="AV109" s="3"/>
      <c r="AW109" s="8"/>
      <c r="AX109" s="8"/>
      <c r="AY109" s="3"/>
      <c r="AZ109" s="130"/>
      <c r="BA109" s="59"/>
      <c r="BB109" s="59"/>
      <c r="GO109" s="54"/>
      <c r="GP109" s="54"/>
    </row>
    <row r="110" spans="1:198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2"/>
        <v/>
      </c>
      <c r="H110" s="100" t="str">
        <f t="shared" si="3"/>
        <v/>
      </c>
      <c r="I110" s="101">
        <f t="shared" si="0"/>
        <v>0</v>
      </c>
      <c r="J110" s="100" t="str">
        <f t="shared" si="12"/>
        <v/>
      </c>
      <c r="K110" s="6" t="str">
        <f t="shared" si="4"/>
        <v/>
      </c>
      <c r="L110" s="6" t="str">
        <f t="shared" si="4"/>
        <v/>
      </c>
      <c r="M110" s="6">
        <f t="shared" si="13"/>
        <v>0</v>
      </c>
      <c r="N110" s="7">
        <f t="shared" si="14"/>
        <v>0</v>
      </c>
      <c r="O110" s="4"/>
      <c r="P110" s="3"/>
      <c r="Q110" s="3"/>
      <c r="R110" s="3"/>
      <c r="S110" s="3"/>
      <c r="T110" s="3"/>
      <c r="U110" s="5"/>
      <c r="V110" s="125"/>
      <c r="W110" s="4"/>
      <c r="X110" s="3"/>
      <c r="Y110" s="3"/>
      <c r="Z110" s="3"/>
      <c r="AA110" s="3"/>
      <c r="AB110" s="8"/>
      <c r="AC110" s="8"/>
      <c r="AD110" s="3"/>
      <c r="AE110" s="3"/>
      <c r="AF110" s="3"/>
      <c r="AG110" s="3"/>
      <c r="AH110" s="3"/>
      <c r="AI110" s="8"/>
      <c r="AJ110" s="8"/>
      <c r="AK110" s="3"/>
      <c r="AL110" s="3"/>
      <c r="AM110" s="3"/>
      <c r="AN110" s="3"/>
      <c r="AO110" s="3"/>
      <c r="AP110" s="8"/>
      <c r="AQ110" s="8"/>
      <c r="AR110" s="3"/>
      <c r="AS110" s="3"/>
      <c r="AT110" s="3"/>
      <c r="AU110" s="3"/>
      <c r="AV110" s="3"/>
      <c r="AW110" s="8"/>
      <c r="AX110" s="8"/>
      <c r="AY110" s="3"/>
      <c r="AZ110" s="130"/>
      <c r="BA110" s="59"/>
      <c r="BB110" s="59"/>
      <c r="GO110" s="54"/>
      <c r="GP110" s="54"/>
    </row>
    <row r="111" spans="1:198" ht="15" hidden="1" customHeight="1" thickBot="1" x14ac:dyDescent="0.3">
      <c r="A111" s="102">
        <v>100</v>
      </c>
      <c r="B111" s="103"/>
      <c r="C111" s="104"/>
      <c r="D111" s="1"/>
      <c r="E111" s="105"/>
      <c r="F111" s="105"/>
      <c r="G111" s="100" t="str">
        <f t="shared" si="2"/>
        <v/>
      </c>
      <c r="H111" s="100" t="str">
        <f t="shared" si="3"/>
        <v/>
      </c>
      <c r="I111" s="101">
        <f t="shared" si="0"/>
        <v>0</v>
      </c>
      <c r="J111" s="100" t="str">
        <f>IF(I111&gt;0,12,"")</f>
        <v/>
      </c>
      <c r="K111" s="6" t="str">
        <f t="shared" si="4"/>
        <v/>
      </c>
      <c r="L111" s="6" t="str">
        <f t="shared" si="4"/>
        <v/>
      </c>
      <c r="M111" s="6">
        <f t="shared" si="13"/>
        <v>0</v>
      </c>
      <c r="N111" s="7">
        <f t="shared" si="14"/>
        <v>0</v>
      </c>
      <c r="O111" s="4"/>
      <c r="P111" s="3"/>
      <c r="Q111" s="3"/>
      <c r="R111" s="3"/>
      <c r="S111" s="3"/>
      <c r="T111" s="3"/>
      <c r="U111" s="5"/>
      <c r="V111" s="125"/>
      <c r="W111" s="4"/>
      <c r="X111" s="3"/>
      <c r="Y111" s="3"/>
      <c r="Z111" s="3"/>
      <c r="AA111" s="3"/>
      <c r="AB111" s="8"/>
      <c r="AC111" s="8"/>
      <c r="AD111" s="3"/>
      <c r="AE111" s="3"/>
      <c r="AF111" s="3"/>
      <c r="AG111" s="3"/>
      <c r="AH111" s="3"/>
      <c r="AI111" s="8"/>
      <c r="AJ111" s="8"/>
      <c r="AK111" s="3"/>
      <c r="AL111" s="3"/>
      <c r="AM111" s="3"/>
      <c r="AN111" s="3"/>
      <c r="AO111" s="3"/>
      <c r="AP111" s="8"/>
      <c r="AQ111" s="8"/>
      <c r="AR111" s="3"/>
      <c r="AS111" s="3"/>
      <c r="AT111" s="3"/>
      <c r="AU111" s="3"/>
      <c r="AV111" s="3"/>
      <c r="AW111" s="8"/>
      <c r="AX111" s="8"/>
      <c r="AY111" s="3"/>
      <c r="AZ111" s="130"/>
      <c r="BA111" s="59"/>
      <c r="BB111" s="59"/>
      <c r="GO111" s="54"/>
      <c r="GP111" s="54"/>
    </row>
    <row r="112" spans="1:198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58"/>
      <c r="BB112" s="58"/>
      <c r="GO112" s="54"/>
      <c r="GP112" s="54"/>
    </row>
    <row r="113" spans="1:56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5"/>
      <c r="BB113" s="58"/>
    </row>
    <row r="114" spans="1:56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4"/>
      <c r="BC114" s="59"/>
      <c r="BD114" s="59"/>
    </row>
    <row r="115" spans="1:56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4"/>
      <c r="BC115" s="59"/>
      <c r="BD115" s="59"/>
    </row>
    <row r="116" spans="1:56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4"/>
      <c r="BC116" s="59"/>
      <c r="BD116" s="59"/>
    </row>
    <row r="117" spans="1:56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4"/>
    </row>
    <row r="118" spans="1:56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4"/>
    </row>
    <row r="119" spans="1:56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8"/>
    </row>
    <row r="120" spans="1:56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8"/>
    </row>
    <row r="121" spans="1:56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8"/>
    </row>
    <row r="122" spans="1:56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8"/>
    </row>
    <row r="123" spans="1:56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3"/>
      <c r="BD123" s="59"/>
    </row>
    <row r="124" spans="1:56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D124" s="59"/>
    </row>
    <row r="125" spans="1:56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</row>
    <row r="126" spans="1:56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</row>
    <row r="127" spans="1:56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</row>
    <row r="128" spans="1:56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</row>
    <row r="129" spans="23:56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</row>
    <row r="130" spans="23:56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</row>
    <row r="131" spans="23:56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D131" s="59"/>
    </row>
    <row r="132" spans="23:56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D132" s="59"/>
    </row>
    <row r="133" spans="23:56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D133" s="59"/>
    </row>
    <row r="134" spans="23:56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D134" s="59"/>
    </row>
    <row r="135" spans="23:56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D135" s="59"/>
    </row>
    <row r="136" spans="23:56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D136" s="59"/>
    </row>
    <row r="137" spans="23:56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D137" s="59"/>
    </row>
    <row r="138" spans="23:56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D138" s="59"/>
    </row>
    <row r="139" spans="23:56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D139" s="59"/>
    </row>
    <row r="140" spans="23:56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D140" s="59"/>
    </row>
    <row r="141" spans="23:56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D141" s="59"/>
    </row>
    <row r="142" spans="23:56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D142" s="59"/>
    </row>
    <row r="143" spans="23:56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D143" s="59"/>
    </row>
    <row r="144" spans="23:56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D144" s="59"/>
    </row>
    <row r="145" spans="23:56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D145" s="59"/>
    </row>
    <row r="146" spans="23:56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D146" s="59"/>
    </row>
    <row r="147" spans="23:56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D147" s="59"/>
    </row>
    <row r="148" spans="23:56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D148" s="59"/>
    </row>
    <row r="149" spans="23:56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D149" s="59"/>
    </row>
    <row r="150" spans="23:56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D150" s="59"/>
    </row>
    <row r="151" spans="23:56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D151" s="59"/>
    </row>
    <row r="152" spans="23:56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D152" s="59"/>
    </row>
    <row r="153" spans="23:56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D153" s="59"/>
    </row>
    <row r="154" spans="23:56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D154" s="59"/>
    </row>
    <row r="155" spans="23:56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D155" s="59"/>
    </row>
    <row r="156" spans="23:56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D156" s="59"/>
    </row>
    <row r="157" spans="23:56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D157" s="59"/>
    </row>
    <row r="158" spans="23:56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D158" s="59"/>
    </row>
    <row r="159" spans="23:56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D159" s="59"/>
    </row>
    <row r="160" spans="23:56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D160" s="59"/>
    </row>
    <row r="161" spans="23:56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D161" s="59"/>
    </row>
    <row r="162" spans="23:56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D162" s="59"/>
    </row>
    <row r="163" spans="23:56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D163" s="59"/>
    </row>
    <row r="164" spans="23:56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D164" s="59"/>
    </row>
    <row r="165" spans="23:56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D165" s="59"/>
    </row>
    <row r="166" spans="23:56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D166" s="59"/>
    </row>
    <row r="167" spans="23:56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D167" s="59"/>
    </row>
    <row r="168" spans="23:56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D168" s="59"/>
    </row>
    <row r="169" spans="23:56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D169" s="59"/>
    </row>
    <row r="170" spans="23:56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D170" s="59"/>
    </row>
    <row r="171" spans="23:56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D171" s="59"/>
    </row>
    <row r="172" spans="23:56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D172" s="59"/>
    </row>
    <row r="173" spans="23:56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D173" s="59"/>
    </row>
    <row r="174" spans="23:56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D174" s="59"/>
    </row>
    <row r="175" spans="23:56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D175" s="59"/>
    </row>
    <row r="176" spans="23:56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D176" s="59"/>
    </row>
    <row r="177" spans="23:56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D177" s="59"/>
    </row>
    <row r="178" spans="23:56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D178" s="59"/>
    </row>
    <row r="179" spans="23:56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D179" s="59"/>
    </row>
    <row r="180" spans="23:56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D180" s="59"/>
    </row>
    <row r="181" spans="23:56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D181" s="59"/>
    </row>
    <row r="182" spans="23:56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D182" s="59"/>
    </row>
    <row r="183" spans="23:56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D183" s="59"/>
    </row>
    <row r="184" spans="23:56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D184" s="59"/>
    </row>
    <row r="185" spans="23:56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D185" s="59"/>
    </row>
    <row r="186" spans="23:56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D186" s="59"/>
    </row>
    <row r="187" spans="23:56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D187" s="59"/>
    </row>
    <row r="188" spans="23:56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D188" s="59"/>
    </row>
    <row r="189" spans="23:56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D189" s="59"/>
    </row>
    <row r="190" spans="23:56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D190" s="59"/>
    </row>
    <row r="191" spans="23:56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D191" s="59"/>
    </row>
    <row r="192" spans="23:56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D192" s="59"/>
    </row>
    <row r="193" spans="23:56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D193" s="59"/>
    </row>
    <row r="194" spans="23:56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D194" s="59"/>
    </row>
    <row r="195" spans="23:56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D195" s="59"/>
    </row>
    <row r="196" spans="23:56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D196" s="59"/>
    </row>
    <row r="197" spans="23:56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D197" s="59"/>
    </row>
    <row r="198" spans="23:56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D198" s="59"/>
    </row>
    <row r="199" spans="23:56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D199" s="59"/>
    </row>
    <row r="200" spans="23:56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D200" s="59"/>
    </row>
    <row r="201" spans="23:56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D201" s="59"/>
    </row>
    <row r="202" spans="23:56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D202" s="59"/>
    </row>
    <row r="203" spans="23:56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D203" s="59"/>
    </row>
    <row r="204" spans="23:56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D204" s="59"/>
    </row>
    <row r="205" spans="23:56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D205" s="59"/>
    </row>
    <row r="206" spans="23:56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D206" s="59"/>
    </row>
    <row r="207" spans="23:56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D207" s="59"/>
    </row>
    <row r="208" spans="23:56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D208" s="59"/>
    </row>
    <row r="209" spans="23:56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D209" s="59"/>
    </row>
    <row r="210" spans="23:56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D210" s="59"/>
    </row>
    <row r="211" spans="23:56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D211" s="59"/>
    </row>
    <row r="212" spans="23:56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D212" s="59"/>
    </row>
    <row r="213" spans="23:56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D213" s="59"/>
    </row>
    <row r="214" spans="23:56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D214" s="59"/>
    </row>
    <row r="215" spans="23:56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D215" s="59"/>
    </row>
    <row r="216" spans="23:56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D216" s="59"/>
    </row>
    <row r="217" spans="23:56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D217" s="59"/>
    </row>
    <row r="218" spans="23:56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D218" s="59"/>
    </row>
    <row r="219" spans="23:56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D219" s="59"/>
    </row>
    <row r="220" spans="23:56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D220" s="59"/>
    </row>
    <row r="221" spans="23:56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D221" s="59"/>
    </row>
    <row r="222" spans="23:56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D222" s="59"/>
    </row>
    <row r="223" spans="23:56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D223" s="59"/>
    </row>
    <row r="224" spans="23:56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D224" s="59"/>
    </row>
    <row r="225" spans="23:56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D225" s="59"/>
    </row>
    <row r="226" spans="23:56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D226" s="59"/>
    </row>
    <row r="227" spans="23:56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D227" s="59"/>
    </row>
    <row r="228" spans="23:56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D228" s="59"/>
    </row>
    <row r="229" spans="23:56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D229" s="59"/>
    </row>
    <row r="230" spans="23:56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D230" s="59"/>
    </row>
    <row r="231" spans="23:56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D231" s="59"/>
    </row>
    <row r="232" spans="23:56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D232" s="59"/>
    </row>
    <row r="233" spans="23:56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D233" s="59"/>
    </row>
    <row r="234" spans="23:56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D234" s="59"/>
    </row>
    <row r="235" spans="23:56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D235" s="59"/>
    </row>
    <row r="236" spans="23:56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D236" s="59"/>
    </row>
    <row r="237" spans="23:56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D237" s="59"/>
    </row>
    <row r="238" spans="23:56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D238" s="59"/>
    </row>
    <row r="239" spans="23:56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D239" s="59"/>
    </row>
    <row r="240" spans="23:56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D240" s="59"/>
    </row>
    <row r="241" spans="23:56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D241" s="59"/>
    </row>
    <row r="242" spans="23:56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D242" s="59"/>
    </row>
    <row r="243" spans="23:56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D243" s="59"/>
    </row>
    <row r="244" spans="23:56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D244" s="59"/>
    </row>
    <row r="245" spans="23:56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D245" s="59"/>
    </row>
    <row r="246" spans="23:56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D246" s="59"/>
    </row>
    <row r="247" spans="23:56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D247" s="59"/>
    </row>
    <row r="248" spans="23:56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D248" s="59"/>
    </row>
    <row r="249" spans="23:56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D249" s="59"/>
    </row>
    <row r="250" spans="23:56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D250" s="59"/>
    </row>
    <row r="251" spans="23:56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D251" s="59"/>
    </row>
    <row r="252" spans="23:56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D252" s="59"/>
    </row>
    <row r="253" spans="23:56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D253" s="59"/>
    </row>
    <row r="254" spans="23:56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D254" s="59"/>
    </row>
    <row r="255" spans="23:56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D255" s="59"/>
    </row>
    <row r="256" spans="23:56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D256" s="59"/>
    </row>
    <row r="257" spans="23:56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D257" s="59"/>
    </row>
    <row r="258" spans="23:56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D258" s="59"/>
    </row>
    <row r="259" spans="23:56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D259" s="59"/>
    </row>
    <row r="260" spans="23:56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D260" s="59"/>
    </row>
    <row r="261" spans="23:56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D261" s="59"/>
    </row>
    <row r="262" spans="23:56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D262" s="59"/>
    </row>
    <row r="263" spans="23:56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D263" s="59"/>
    </row>
    <row r="264" spans="23:56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D264" s="59"/>
    </row>
    <row r="265" spans="23:56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D265" s="59"/>
    </row>
    <row r="266" spans="23:56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D266" s="59"/>
    </row>
    <row r="267" spans="23:56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D267" s="59"/>
    </row>
    <row r="268" spans="23:56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D268" s="59"/>
    </row>
    <row r="269" spans="23:56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D269" s="59"/>
    </row>
    <row r="270" spans="23:56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D270" s="59"/>
    </row>
    <row r="271" spans="23:56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D271" s="59"/>
    </row>
    <row r="272" spans="23:56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D272" s="59"/>
    </row>
    <row r="273" spans="23:56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D273" s="59"/>
    </row>
    <row r="274" spans="23:56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D274" s="59"/>
    </row>
    <row r="275" spans="23:56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D275" s="59"/>
    </row>
    <row r="276" spans="23:56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D276" s="59"/>
    </row>
    <row r="277" spans="23:56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D277" s="59"/>
    </row>
    <row r="278" spans="23:56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D278" s="59"/>
    </row>
    <row r="279" spans="23:56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D279" s="59"/>
    </row>
    <row r="280" spans="23:56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D280" s="59"/>
    </row>
    <row r="281" spans="23:56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D281" s="59"/>
    </row>
    <row r="282" spans="23:56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D282" s="59"/>
    </row>
    <row r="283" spans="23:56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D283" s="59"/>
    </row>
    <row r="284" spans="23:56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D284" s="59"/>
    </row>
    <row r="285" spans="23:56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D285" s="59"/>
    </row>
    <row r="286" spans="23:56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D286" s="59"/>
    </row>
    <row r="287" spans="23:56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D287" s="59"/>
    </row>
    <row r="288" spans="23:56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D288" s="59"/>
    </row>
    <row r="289" spans="23:56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D289" s="59"/>
    </row>
    <row r="290" spans="23:56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D290" s="59"/>
    </row>
    <row r="291" spans="23:56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D291" s="59"/>
    </row>
    <row r="292" spans="23:56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D292" s="59"/>
    </row>
    <row r="293" spans="23:56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D293" s="59"/>
    </row>
    <row r="294" spans="23:56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D294" s="59"/>
    </row>
    <row r="295" spans="23:56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D295" s="59"/>
    </row>
    <row r="296" spans="23:56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D296" s="59"/>
    </row>
    <row r="297" spans="23:56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D297" s="59"/>
    </row>
    <row r="298" spans="23:56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D298" s="59"/>
    </row>
    <row r="299" spans="23:56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D299" s="59"/>
    </row>
    <row r="300" spans="23:56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D300" s="59"/>
    </row>
    <row r="301" spans="23:56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D301" s="59"/>
    </row>
    <row r="302" spans="23:56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D302" s="59"/>
    </row>
    <row r="303" spans="23:56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D303" s="59"/>
    </row>
    <row r="304" spans="23:56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D304" s="59"/>
    </row>
    <row r="305" spans="23:56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D305" s="59"/>
    </row>
    <row r="306" spans="23:56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D306" s="59"/>
    </row>
    <row r="307" spans="23:56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D307" s="59"/>
    </row>
    <row r="308" spans="23:56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D308" s="59"/>
    </row>
    <row r="309" spans="23:56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D309" s="59"/>
    </row>
    <row r="310" spans="23:56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D310" s="59"/>
    </row>
    <row r="311" spans="23:56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D311" s="59"/>
    </row>
    <row r="312" spans="23:56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D312" s="59"/>
    </row>
    <row r="313" spans="23:56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D313" s="59"/>
    </row>
    <row r="314" spans="23:56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D314" s="59"/>
    </row>
    <row r="315" spans="23:56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D315" s="59"/>
    </row>
    <row r="316" spans="23:56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D316" s="59"/>
    </row>
    <row r="317" spans="23:56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D317" s="59"/>
    </row>
    <row r="318" spans="23:56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D318" s="59"/>
    </row>
    <row r="319" spans="23:56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D319" s="59"/>
    </row>
    <row r="320" spans="23:56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D320" s="59"/>
    </row>
    <row r="321" spans="23:56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D321" s="59"/>
    </row>
    <row r="322" spans="23:56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D322" s="59"/>
    </row>
    <row r="323" spans="23:56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D323" s="59"/>
    </row>
    <row r="324" spans="23:56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</row>
    <row r="325" spans="23:56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</row>
    <row r="326" spans="23:56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</row>
    <row r="327" spans="23:56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</row>
    <row r="328" spans="23:56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</row>
    <row r="329" spans="23:56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</row>
    <row r="330" spans="23:56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</row>
    <row r="331" spans="23:56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</row>
    <row r="332" spans="23:56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</row>
    <row r="333" spans="23:56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</row>
    <row r="334" spans="23:56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</row>
    <row r="335" spans="23:56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</row>
    <row r="336" spans="23:56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</row>
    <row r="337" spans="23:52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</row>
    <row r="338" spans="23:52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</row>
    <row r="339" spans="23:52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</row>
    <row r="340" spans="23:52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</row>
    <row r="341" spans="23:52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</row>
    <row r="342" spans="23:52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</row>
    <row r="343" spans="23:52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</row>
    <row r="344" spans="23:52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</row>
    <row r="345" spans="23:52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</row>
    <row r="346" spans="23:52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</row>
    <row r="347" spans="23:52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</row>
    <row r="348" spans="23:52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</row>
    <row r="349" spans="23:52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</row>
    <row r="350" spans="23:52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</row>
    <row r="351" spans="23:52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</row>
    <row r="352" spans="23:52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</row>
    <row r="353" spans="23:52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</row>
    <row r="354" spans="23:52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</row>
    <row r="355" spans="23:52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</row>
    <row r="356" spans="23:52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</row>
    <row r="357" spans="23:52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</row>
    <row r="358" spans="23:52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</row>
    <row r="359" spans="23:52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</row>
    <row r="360" spans="23:52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</row>
    <row r="361" spans="23:52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</row>
    <row r="362" spans="23:52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</row>
    <row r="363" spans="23:52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</row>
    <row r="364" spans="23:52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</row>
    <row r="365" spans="23:52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</row>
    <row r="366" spans="23:52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</row>
    <row r="367" spans="23:52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</row>
    <row r="368" spans="23:52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</row>
    <row r="369" spans="23:52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</row>
    <row r="370" spans="23:52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</row>
    <row r="371" spans="23:52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</row>
    <row r="372" spans="23:52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</row>
    <row r="373" spans="23:52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</row>
    <row r="374" spans="23:52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</row>
    <row r="375" spans="23:52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</row>
    <row r="376" spans="23:52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</row>
    <row r="377" spans="23:52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</row>
    <row r="378" spans="23:52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</row>
    <row r="379" spans="23:52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</row>
    <row r="380" spans="23:52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</row>
    <row r="381" spans="23:52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</row>
    <row r="382" spans="23:52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</row>
    <row r="383" spans="23:52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</row>
    <row r="384" spans="23:52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</row>
    <row r="385" spans="23:52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</row>
    <row r="386" spans="23:52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</row>
    <row r="387" spans="23:52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</row>
    <row r="388" spans="23:52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</row>
    <row r="389" spans="23:52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</row>
    <row r="390" spans="23:52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</row>
    <row r="391" spans="23:52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</row>
    <row r="392" spans="23:52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</row>
    <row r="393" spans="23:52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</row>
    <row r="394" spans="23:52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</row>
    <row r="395" spans="23:52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</row>
    <row r="396" spans="23:52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</row>
    <row r="397" spans="23:52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</row>
    <row r="398" spans="23:52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</row>
    <row r="399" spans="23:52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</row>
    <row r="400" spans="23:52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</row>
    <row r="401" spans="11:52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</row>
    <row r="402" spans="11:52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</row>
    <row r="403" spans="11:52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</row>
    <row r="404" spans="11:52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</row>
    <row r="405" spans="11:52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</row>
    <row r="406" spans="11:52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</row>
    <row r="407" spans="11:52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</row>
    <row r="408" spans="11:52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</row>
    <row r="409" spans="11:52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</row>
    <row r="410" spans="11:52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</row>
    <row r="411" spans="11:52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</row>
    <row r="412" spans="11:52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</row>
    <row r="413" spans="11:52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</row>
    <row r="414" spans="11:52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</row>
    <row r="415" spans="11:52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</row>
    <row r="416" spans="11:52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</row>
    <row r="417" spans="11:52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</row>
    <row r="418" spans="11:52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</row>
    <row r="419" spans="11:52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</row>
    <row r="420" spans="11:52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</row>
    <row r="421" spans="11:52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</row>
    <row r="422" spans="11:52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</row>
    <row r="423" spans="11:52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</row>
    <row r="424" spans="11:52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</row>
    <row r="425" spans="11:52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</row>
    <row r="426" spans="11:52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</row>
    <row r="427" spans="11:52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</row>
    <row r="428" spans="11:52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</row>
    <row r="429" spans="11:52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</row>
    <row r="430" spans="11:52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</row>
    <row r="431" spans="11:52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</row>
    <row r="432" spans="11:52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</row>
    <row r="433" spans="8:52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</row>
    <row r="434" spans="8:52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</row>
    <row r="435" spans="8:52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</row>
    <row r="436" spans="8:52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</row>
    <row r="437" spans="8:52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</row>
    <row r="438" spans="8:52" x14ac:dyDescent="0.3">
      <c r="H438" s="58"/>
      <c r="I438" s="58"/>
      <c r="J438" s="58"/>
    </row>
  </sheetData>
  <sheetProtection password="C1F5" sheet="1" formatCells="0" selectLockedCells="1" sort="0"/>
  <mergeCells count="11">
    <mergeCell ref="W10:AZ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27" priority="2" operator="lessThan">
      <formula>2</formula>
    </cfRule>
  </conditionalFormatting>
  <conditionalFormatting sqref="I12:I111">
    <cfRule type="cellIs" dxfId="26" priority="1" operator="lessThan">
      <formula>10</formula>
    </cfRule>
  </conditionalFormatting>
  <conditionalFormatting sqref="J12:J111">
    <cfRule type="cellIs" dxfId="25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96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71CB61D4-8E43-43E8-84EC-BE670BE58C42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46204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Jahresübersicht!E15</f>
        <v>-</v>
      </c>
      <c r="D9" s="13"/>
      <c r="E9" s="13"/>
      <c r="F9" s="13"/>
      <c r="G9" s="13"/>
      <c r="H9" s="13"/>
      <c r="I9" s="13"/>
      <c r="J9" s="13"/>
      <c r="K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4"/>
      <c r="X12" s="10"/>
      <c r="Y12" s="10"/>
      <c r="Z12" s="11"/>
      <c r="AA12" s="11"/>
      <c r="AB12" s="10"/>
      <c r="AC12" s="10"/>
      <c r="AD12" s="10"/>
      <c r="AE12" s="10"/>
      <c r="AF12" s="10"/>
      <c r="AG12" s="11"/>
      <c r="AH12" s="11"/>
      <c r="AI12" s="10"/>
      <c r="AJ12" s="10"/>
      <c r="AK12" s="10"/>
      <c r="AL12" s="10"/>
      <c r="AM12" s="10"/>
      <c r="AN12" s="11"/>
      <c r="AO12" s="11"/>
      <c r="AP12" s="10"/>
      <c r="AQ12" s="10"/>
      <c r="AR12" s="3"/>
      <c r="AS12" s="10"/>
      <c r="AT12" s="3"/>
      <c r="AU12" s="11"/>
      <c r="AV12" s="11"/>
      <c r="AW12" s="10"/>
      <c r="AX12" s="3"/>
      <c r="AY12" s="3"/>
      <c r="AZ12" s="3"/>
      <c r="BA12" s="5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4"/>
      <c r="X13" s="3"/>
      <c r="Y13" s="3"/>
      <c r="Z13" s="8"/>
      <c r="AA13" s="8"/>
      <c r="AB13" s="3"/>
      <c r="AC13" s="3"/>
      <c r="AD13" s="3"/>
      <c r="AE13" s="3"/>
      <c r="AF13" s="3"/>
      <c r="AG13" s="8"/>
      <c r="AH13" s="8"/>
      <c r="AI13" s="3"/>
      <c r="AJ13" s="3"/>
      <c r="AK13" s="3"/>
      <c r="AL13" s="3"/>
      <c r="AM13" s="3"/>
      <c r="AN13" s="8"/>
      <c r="AO13" s="8"/>
      <c r="AP13" s="3"/>
      <c r="AQ13" s="3"/>
      <c r="AR13" s="3"/>
      <c r="AS13" s="3"/>
      <c r="AT13" s="3"/>
      <c r="AU13" s="8"/>
      <c r="AV13" s="8"/>
      <c r="AW13" s="3"/>
      <c r="AX13" s="3"/>
      <c r="AY13" s="3"/>
      <c r="AZ13" s="3"/>
      <c r="BA13" s="5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4"/>
      <c r="X14" s="3"/>
      <c r="Y14" s="3"/>
      <c r="Z14" s="8"/>
      <c r="AA14" s="8"/>
      <c r="AB14" s="3"/>
      <c r="AC14" s="3"/>
      <c r="AD14" s="3"/>
      <c r="AE14" s="3"/>
      <c r="AF14" s="3"/>
      <c r="AG14" s="8"/>
      <c r="AH14" s="8"/>
      <c r="AI14" s="3"/>
      <c r="AJ14" s="3"/>
      <c r="AK14" s="3"/>
      <c r="AL14" s="3"/>
      <c r="AM14" s="3"/>
      <c r="AN14" s="8"/>
      <c r="AO14" s="8"/>
      <c r="AP14" s="3"/>
      <c r="AQ14" s="3"/>
      <c r="AR14" s="3"/>
      <c r="AS14" s="3"/>
      <c r="AT14" s="3"/>
      <c r="AU14" s="8"/>
      <c r="AV14" s="8"/>
      <c r="AW14" s="3"/>
      <c r="AX14" s="3"/>
      <c r="AY14" s="3"/>
      <c r="AZ14" s="3"/>
      <c r="BA14" s="5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4"/>
      <c r="X15" s="3"/>
      <c r="Y15" s="3"/>
      <c r="Z15" s="8"/>
      <c r="AA15" s="8"/>
      <c r="AB15" s="3"/>
      <c r="AC15" s="3"/>
      <c r="AD15" s="3"/>
      <c r="AE15" s="3"/>
      <c r="AF15" s="3"/>
      <c r="AG15" s="8"/>
      <c r="AH15" s="8"/>
      <c r="AI15" s="3"/>
      <c r="AJ15" s="3"/>
      <c r="AK15" s="3"/>
      <c r="AL15" s="3"/>
      <c r="AM15" s="3"/>
      <c r="AN15" s="8"/>
      <c r="AO15" s="8"/>
      <c r="AP15" s="3"/>
      <c r="AQ15" s="3"/>
      <c r="AR15" s="3"/>
      <c r="AS15" s="3"/>
      <c r="AT15" s="3"/>
      <c r="AU15" s="8"/>
      <c r="AV15" s="8"/>
      <c r="AW15" s="3"/>
      <c r="AX15" s="3"/>
      <c r="AY15" s="3"/>
      <c r="AZ15" s="3"/>
      <c r="BA15" s="5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4"/>
      <c r="X16" s="3"/>
      <c r="Y16" s="3"/>
      <c r="Z16" s="8"/>
      <c r="AA16" s="8"/>
      <c r="AB16" s="3"/>
      <c r="AC16" s="3"/>
      <c r="AD16" s="3"/>
      <c r="AE16" s="3"/>
      <c r="AF16" s="3"/>
      <c r="AG16" s="8"/>
      <c r="AH16" s="8"/>
      <c r="AI16" s="3"/>
      <c r="AJ16" s="3"/>
      <c r="AK16" s="3"/>
      <c r="AL16" s="3"/>
      <c r="AM16" s="3"/>
      <c r="AN16" s="8"/>
      <c r="AO16" s="8"/>
      <c r="AP16" s="3"/>
      <c r="AQ16" s="3"/>
      <c r="AR16" s="3"/>
      <c r="AS16" s="3"/>
      <c r="AT16" s="3"/>
      <c r="AU16" s="8"/>
      <c r="AV16" s="8"/>
      <c r="AW16" s="3"/>
      <c r="AX16" s="3"/>
      <c r="AY16" s="3"/>
      <c r="AZ16" s="3"/>
      <c r="BA16" s="5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4"/>
      <c r="X17" s="3"/>
      <c r="Y17" s="3"/>
      <c r="Z17" s="8"/>
      <c r="AA17" s="8"/>
      <c r="AB17" s="3"/>
      <c r="AC17" s="3"/>
      <c r="AD17" s="3"/>
      <c r="AE17" s="3"/>
      <c r="AF17" s="3"/>
      <c r="AG17" s="8"/>
      <c r="AH17" s="8"/>
      <c r="AI17" s="3"/>
      <c r="AJ17" s="3"/>
      <c r="AK17" s="3"/>
      <c r="AL17" s="3"/>
      <c r="AM17" s="3"/>
      <c r="AN17" s="8"/>
      <c r="AO17" s="8"/>
      <c r="AP17" s="3"/>
      <c r="AQ17" s="3"/>
      <c r="AR17" s="3"/>
      <c r="AS17" s="3"/>
      <c r="AT17" s="3"/>
      <c r="AU17" s="8"/>
      <c r="AV17" s="8"/>
      <c r="AW17" s="3"/>
      <c r="AX17" s="3"/>
      <c r="AY17" s="3"/>
      <c r="AZ17" s="3"/>
      <c r="BA17" s="5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4"/>
      <c r="X18" s="3"/>
      <c r="Y18" s="3"/>
      <c r="Z18" s="8"/>
      <c r="AA18" s="8"/>
      <c r="AB18" s="3"/>
      <c r="AC18" s="3"/>
      <c r="AD18" s="3"/>
      <c r="AE18" s="3"/>
      <c r="AF18" s="3"/>
      <c r="AG18" s="8"/>
      <c r="AH18" s="8"/>
      <c r="AI18" s="3"/>
      <c r="AJ18" s="3"/>
      <c r="AK18" s="3"/>
      <c r="AL18" s="3"/>
      <c r="AM18" s="3"/>
      <c r="AN18" s="8"/>
      <c r="AO18" s="8"/>
      <c r="AP18" s="3"/>
      <c r="AQ18" s="3"/>
      <c r="AR18" s="3"/>
      <c r="AS18" s="3"/>
      <c r="AT18" s="3"/>
      <c r="AU18" s="8"/>
      <c r="AV18" s="8"/>
      <c r="AW18" s="3"/>
      <c r="AX18" s="3"/>
      <c r="AY18" s="3"/>
      <c r="AZ18" s="3"/>
      <c r="BA18" s="5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0"/>
        <v>0</v>
      </c>
      <c r="J19" s="100" t="str">
        <f t="shared" si="1"/>
        <v/>
      </c>
      <c r="K19" s="6" t="str">
        <f t="shared" si="6"/>
        <v/>
      </c>
      <c r="L19" s="6" t="str">
        <f t="shared" si="6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4"/>
      <c r="X19" s="3"/>
      <c r="Y19" s="3"/>
      <c r="Z19" s="8"/>
      <c r="AA19" s="8"/>
      <c r="AB19" s="3"/>
      <c r="AC19" s="3"/>
      <c r="AD19" s="3"/>
      <c r="AE19" s="3"/>
      <c r="AF19" s="3"/>
      <c r="AG19" s="8"/>
      <c r="AH19" s="8"/>
      <c r="AI19" s="3"/>
      <c r="AJ19" s="3"/>
      <c r="AK19" s="3"/>
      <c r="AL19" s="3"/>
      <c r="AM19" s="3"/>
      <c r="AN19" s="8"/>
      <c r="AO19" s="8"/>
      <c r="AP19" s="3"/>
      <c r="AQ19" s="3"/>
      <c r="AR19" s="3"/>
      <c r="AS19" s="3"/>
      <c r="AT19" s="3"/>
      <c r="AU19" s="8"/>
      <c r="AV19" s="8"/>
      <c r="AW19" s="3"/>
      <c r="AX19" s="3"/>
      <c r="AY19" s="3"/>
      <c r="AZ19" s="3"/>
      <c r="BA19" s="5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4"/>
        <v/>
      </c>
      <c r="H20" s="100" t="str">
        <f t="shared" si="5"/>
        <v/>
      </c>
      <c r="I20" s="101">
        <f t="shared" si="0"/>
        <v>0</v>
      </c>
      <c r="J20" s="100" t="str">
        <f t="shared" si="1"/>
        <v/>
      </c>
      <c r="K20" s="6" t="str">
        <f t="shared" si="6"/>
        <v/>
      </c>
      <c r="L20" s="6" t="str">
        <f t="shared" si="6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4"/>
      <c r="X20" s="3"/>
      <c r="Y20" s="3"/>
      <c r="Z20" s="8"/>
      <c r="AA20" s="8"/>
      <c r="AB20" s="3"/>
      <c r="AC20" s="3"/>
      <c r="AD20" s="3"/>
      <c r="AE20" s="3"/>
      <c r="AF20" s="3"/>
      <c r="AG20" s="8"/>
      <c r="AH20" s="8"/>
      <c r="AI20" s="3"/>
      <c r="AJ20" s="3"/>
      <c r="AK20" s="3"/>
      <c r="AL20" s="3"/>
      <c r="AM20" s="3"/>
      <c r="AN20" s="8"/>
      <c r="AO20" s="8"/>
      <c r="AP20" s="3"/>
      <c r="AQ20" s="3"/>
      <c r="AR20" s="3"/>
      <c r="AS20" s="3"/>
      <c r="AT20" s="3"/>
      <c r="AU20" s="8"/>
      <c r="AV20" s="8"/>
      <c r="AW20" s="3"/>
      <c r="AX20" s="3"/>
      <c r="AY20" s="3"/>
      <c r="AZ20" s="3"/>
      <c r="BA20" s="5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97">
        <v>10</v>
      </c>
      <c r="B21" s="103"/>
      <c r="C21" s="104"/>
      <c r="D21" s="1"/>
      <c r="E21" s="105"/>
      <c r="F21" s="105"/>
      <c r="G21" s="100" t="str">
        <f t="shared" ref="G21:G79" si="7">IF(ISBLANK(E21),"",E21*10)</f>
        <v/>
      </c>
      <c r="H21" s="100" t="str">
        <f t="shared" ref="H21:H79" si="8">IF(ISBLANK(F21),"",F21*20)</f>
        <v/>
      </c>
      <c r="I21" s="101">
        <f t="shared" ref="I21:I79" si="9">SUM(G21,H21)</f>
        <v>0</v>
      </c>
      <c r="J21" s="100" t="str">
        <f t="shared" si="1"/>
        <v/>
      </c>
      <c r="K21" s="6" t="str">
        <f t="shared" ref="K21:K79" si="10">IF(M21=E21,"","X")</f>
        <v/>
      </c>
      <c r="L21" s="6" t="str">
        <f t="shared" ref="L21:L79" si="11">IF(N21=F21,"","X")</f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4"/>
      <c r="X21" s="3"/>
      <c r="Y21" s="3"/>
      <c r="Z21" s="8"/>
      <c r="AA21" s="8"/>
      <c r="AB21" s="3"/>
      <c r="AC21" s="3"/>
      <c r="AD21" s="3"/>
      <c r="AE21" s="3"/>
      <c r="AF21" s="3"/>
      <c r="AG21" s="8"/>
      <c r="AH21" s="8"/>
      <c r="AI21" s="3"/>
      <c r="AJ21" s="3"/>
      <c r="AK21" s="3"/>
      <c r="AL21" s="3"/>
      <c r="AM21" s="3"/>
      <c r="AN21" s="8"/>
      <c r="AO21" s="8"/>
      <c r="AP21" s="3"/>
      <c r="AQ21" s="3"/>
      <c r="AR21" s="3"/>
      <c r="AS21" s="3"/>
      <c r="AT21" s="3"/>
      <c r="AU21" s="8"/>
      <c r="AV21" s="8"/>
      <c r="AW21" s="3"/>
      <c r="AX21" s="3"/>
      <c r="AY21" s="3"/>
      <c r="AZ21" s="3"/>
      <c r="BA21" s="5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4"/>
      <c r="X22" s="3"/>
      <c r="Y22" s="3"/>
      <c r="Z22" s="8"/>
      <c r="AA22" s="8"/>
      <c r="AB22" s="3"/>
      <c r="AC22" s="3"/>
      <c r="AD22" s="3"/>
      <c r="AE22" s="3"/>
      <c r="AF22" s="3"/>
      <c r="AG22" s="8"/>
      <c r="AH22" s="8"/>
      <c r="AI22" s="3"/>
      <c r="AJ22" s="3"/>
      <c r="AK22" s="3"/>
      <c r="AL22" s="3"/>
      <c r="AM22" s="3"/>
      <c r="AN22" s="8"/>
      <c r="AO22" s="8"/>
      <c r="AP22" s="3"/>
      <c r="AQ22" s="3"/>
      <c r="AR22" s="3"/>
      <c r="AS22" s="3"/>
      <c r="AT22" s="3"/>
      <c r="AU22" s="8"/>
      <c r="AV22" s="8"/>
      <c r="AW22" s="3"/>
      <c r="AX22" s="3"/>
      <c r="AY22" s="3"/>
      <c r="AZ22" s="3"/>
      <c r="BA22" s="5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4"/>
      <c r="X23" s="3"/>
      <c r="Y23" s="3"/>
      <c r="Z23" s="8"/>
      <c r="AA23" s="8"/>
      <c r="AB23" s="3"/>
      <c r="AC23" s="3"/>
      <c r="AD23" s="3"/>
      <c r="AE23" s="3"/>
      <c r="AF23" s="3"/>
      <c r="AG23" s="8"/>
      <c r="AH23" s="8"/>
      <c r="AI23" s="3"/>
      <c r="AJ23" s="3"/>
      <c r="AK23" s="3"/>
      <c r="AL23" s="3"/>
      <c r="AM23" s="3"/>
      <c r="AN23" s="8"/>
      <c r="AO23" s="8"/>
      <c r="AP23" s="3"/>
      <c r="AQ23" s="3"/>
      <c r="AR23" s="3"/>
      <c r="AS23" s="3"/>
      <c r="AT23" s="3"/>
      <c r="AU23" s="8"/>
      <c r="AV23" s="8"/>
      <c r="AW23" s="3"/>
      <c r="AX23" s="3"/>
      <c r="AY23" s="3"/>
      <c r="AZ23" s="3"/>
      <c r="BA23" s="5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4"/>
      <c r="X24" s="3"/>
      <c r="Y24" s="3"/>
      <c r="Z24" s="8"/>
      <c r="AA24" s="8"/>
      <c r="AB24" s="3"/>
      <c r="AC24" s="3"/>
      <c r="AD24" s="3"/>
      <c r="AE24" s="3"/>
      <c r="AF24" s="3"/>
      <c r="AG24" s="8"/>
      <c r="AH24" s="8"/>
      <c r="AI24" s="3"/>
      <c r="AJ24" s="3"/>
      <c r="AK24" s="3"/>
      <c r="AL24" s="3"/>
      <c r="AM24" s="3"/>
      <c r="AN24" s="8"/>
      <c r="AO24" s="8"/>
      <c r="AP24" s="3"/>
      <c r="AQ24" s="3"/>
      <c r="AR24" s="3"/>
      <c r="AS24" s="3"/>
      <c r="AT24" s="3"/>
      <c r="AU24" s="8"/>
      <c r="AV24" s="8"/>
      <c r="AW24" s="3"/>
      <c r="AX24" s="3"/>
      <c r="AY24" s="3"/>
      <c r="AZ24" s="3"/>
      <c r="BA24" s="5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4"/>
      <c r="X25" s="3"/>
      <c r="Y25" s="3"/>
      <c r="Z25" s="8"/>
      <c r="AA25" s="8"/>
      <c r="AB25" s="3"/>
      <c r="AC25" s="3"/>
      <c r="AD25" s="3"/>
      <c r="AE25" s="3"/>
      <c r="AF25" s="3"/>
      <c r="AG25" s="8"/>
      <c r="AH25" s="8"/>
      <c r="AI25" s="3"/>
      <c r="AJ25" s="3"/>
      <c r="AK25" s="3"/>
      <c r="AL25" s="3"/>
      <c r="AM25" s="3"/>
      <c r="AN25" s="8"/>
      <c r="AO25" s="8"/>
      <c r="AP25" s="3"/>
      <c r="AQ25" s="3"/>
      <c r="AR25" s="3"/>
      <c r="AS25" s="3"/>
      <c r="AT25" s="3"/>
      <c r="AU25" s="8"/>
      <c r="AV25" s="8"/>
      <c r="AW25" s="3"/>
      <c r="AX25" s="3"/>
      <c r="AY25" s="3"/>
      <c r="AZ25" s="3"/>
      <c r="BA25" s="5"/>
      <c r="BB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4"/>
      <c r="X26" s="3"/>
      <c r="Y26" s="3"/>
      <c r="Z26" s="8"/>
      <c r="AA26" s="8"/>
      <c r="AB26" s="3"/>
      <c r="AC26" s="3"/>
      <c r="AD26" s="3"/>
      <c r="AE26" s="3"/>
      <c r="AF26" s="3"/>
      <c r="AG26" s="8"/>
      <c r="AH26" s="8"/>
      <c r="AI26" s="3"/>
      <c r="AJ26" s="3"/>
      <c r="AK26" s="3"/>
      <c r="AL26" s="3"/>
      <c r="AM26" s="3"/>
      <c r="AN26" s="8"/>
      <c r="AO26" s="8"/>
      <c r="AP26" s="3"/>
      <c r="AQ26" s="3"/>
      <c r="AR26" s="3"/>
      <c r="AS26" s="3"/>
      <c r="AT26" s="3"/>
      <c r="AU26" s="8"/>
      <c r="AV26" s="8"/>
      <c r="AW26" s="3"/>
      <c r="AX26" s="3"/>
      <c r="AY26" s="3"/>
      <c r="AZ26" s="3"/>
      <c r="BA26" s="5"/>
      <c r="BB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4"/>
      <c r="X27" s="3"/>
      <c r="Y27" s="3"/>
      <c r="Z27" s="8"/>
      <c r="AA27" s="8"/>
      <c r="AB27" s="3"/>
      <c r="AC27" s="3"/>
      <c r="AD27" s="3"/>
      <c r="AE27" s="3"/>
      <c r="AF27" s="3"/>
      <c r="AG27" s="8"/>
      <c r="AH27" s="8"/>
      <c r="AI27" s="3"/>
      <c r="AJ27" s="3"/>
      <c r="AK27" s="3"/>
      <c r="AL27" s="3"/>
      <c r="AM27" s="3"/>
      <c r="AN27" s="8"/>
      <c r="AO27" s="8"/>
      <c r="AP27" s="3"/>
      <c r="AQ27" s="3"/>
      <c r="AR27" s="3"/>
      <c r="AS27" s="3"/>
      <c r="AT27" s="3"/>
      <c r="AU27" s="8"/>
      <c r="AV27" s="8"/>
      <c r="AW27" s="3"/>
      <c r="AX27" s="3"/>
      <c r="AY27" s="3"/>
      <c r="AZ27" s="3"/>
      <c r="BA27" s="5"/>
      <c r="BB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4"/>
      <c r="X28" s="3"/>
      <c r="Y28" s="3"/>
      <c r="Z28" s="8"/>
      <c r="AA28" s="8"/>
      <c r="AB28" s="3"/>
      <c r="AC28" s="3"/>
      <c r="AD28" s="3"/>
      <c r="AE28" s="3"/>
      <c r="AF28" s="3"/>
      <c r="AG28" s="8"/>
      <c r="AH28" s="8"/>
      <c r="AI28" s="3"/>
      <c r="AJ28" s="3"/>
      <c r="AK28" s="3"/>
      <c r="AL28" s="3"/>
      <c r="AM28" s="3"/>
      <c r="AN28" s="8"/>
      <c r="AO28" s="8"/>
      <c r="AP28" s="3"/>
      <c r="AQ28" s="3"/>
      <c r="AR28" s="3"/>
      <c r="AS28" s="3"/>
      <c r="AT28" s="3"/>
      <c r="AU28" s="8"/>
      <c r="AV28" s="8"/>
      <c r="AW28" s="3"/>
      <c r="AX28" s="3"/>
      <c r="AY28" s="3"/>
      <c r="AZ28" s="3"/>
      <c r="BA28" s="5"/>
      <c r="BB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4"/>
      <c r="X29" s="3"/>
      <c r="Y29" s="3"/>
      <c r="Z29" s="8"/>
      <c r="AA29" s="8"/>
      <c r="AB29" s="3"/>
      <c r="AC29" s="3"/>
      <c r="AD29" s="3"/>
      <c r="AE29" s="3"/>
      <c r="AF29" s="3"/>
      <c r="AG29" s="8"/>
      <c r="AH29" s="8"/>
      <c r="AI29" s="3"/>
      <c r="AJ29" s="3"/>
      <c r="AK29" s="3"/>
      <c r="AL29" s="3"/>
      <c r="AM29" s="3"/>
      <c r="AN29" s="8"/>
      <c r="AO29" s="8"/>
      <c r="AP29" s="3"/>
      <c r="AQ29" s="3"/>
      <c r="AR29" s="3"/>
      <c r="AS29" s="3"/>
      <c r="AT29" s="3"/>
      <c r="AU29" s="8"/>
      <c r="AV29" s="8"/>
      <c r="AW29" s="3"/>
      <c r="AX29" s="3"/>
      <c r="AY29" s="3"/>
      <c r="AZ29" s="3"/>
      <c r="BA29" s="5"/>
      <c r="BB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4"/>
      <c r="X30" s="3"/>
      <c r="Y30" s="3"/>
      <c r="Z30" s="8"/>
      <c r="AA30" s="8"/>
      <c r="AB30" s="3"/>
      <c r="AC30" s="3"/>
      <c r="AD30" s="3"/>
      <c r="AE30" s="3"/>
      <c r="AF30" s="3"/>
      <c r="AG30" s="8"/>
      <c r="AH30" s="8"/>
      <c r="AI30" s="3"/>
      <c r="AJ30" s="3"/>
      <c r="AK30" s="3"/>
      <c r="AL30" s="3"/>
      <c r="AM30" s="3"/>
      <c r="AN30" s="8"/>
      <c r="AO30" s="8"/>
      <c r="AP30" s="3"/>
      <c r="AQ30" s="3"/>
      <c r="AR30" s="3"/>
      <c r="AS30" s="3"/>
      <c r="AT30" s="3"/>
      <c r="AU30" s="8"/>
      <c r="AV30" s="8"/>
      <c r="AW30" s="3"/>
      <c r="AX30" s="3"/>
      <c r="AY30" s="3"/>
      <c r="AZ30" s="3"/>
      <c r="BA30" s="5"/>
      <c r="BB30" s="58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4"/>
      <c r="X31" s="3"/>
      <c r="Y31" s="3"/>
      <c r="Z31" s="8"/>
      <c r="AA31" s="8"/>
      <c r="AB31" s="3"/>
      <c r="AC31" s="3"/>
      <c r="AD31" s="3"/>
      <c r="AE31" s="3"/>
      <c r="AF31" s="3"/>
      <c r="AG31" s="8"/>
      <c r="AH31" s="8"/>
      <c r="AI31" s="3"/>
      <c r="AJ31" s="3"/>
      <c r="AK31" s="3"/>
      <c r="AL31" s="3"/>
      <c r="AM31" s="3"/>
      <c r="AN31" s="8"/>
      <c r="AO31" s="8"/>
      <c r="AP31" s="3"/>
      <c r="AQ31" s="3"/>
      <c r="AR31" s="3"/>
      <c r="AS31" s="3"/>
      <c r="AT31" s="3"/>
      <c r="AU31" s="8"/>
      <c r="AV31" s="8"/>
      <c r="AW31" s="3"/>
      <c r="AX31" s="3"/>
      <c r="AY31" s="3"/>
      <c r="AZ31" s="3"/>
      <c r="BA31" s="5"/>
      <c r="BB31" s="58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4"/>
      <c r="X32" s="3"/>
      <c r="Y32" s="3"/>
      <c r="Z32" s="8"/>
      <c r="AA32" s="8"/>
      <c r="AB32" s="3"/>
      <c r="AC32" s="3"/>
      <c r="AD32" s="3"/>
      <c r="AE32" s="3"/>
      <c r="AF32" s="3"/>
      <c r="AG32" s="8"/>
      <c r="AH32" s="8"/>
      <c r="AI32" s="3"/>
      <c r="AJ32" s="3"/>
      <c r="AK32" s="3"/>
      <c r="AL32" s="3"/>
      <c r="AM32" s="3"/>
      <c r="AN32" s="8"/>
      <c r="AO32" s="8"/>
      <c r="AP32" s="3"/>
      <c r="AQ32" s="3"/>
      <c r="AR32" s="3"/>
      <c r="AS32" s="3"/>
      <c r="AT32" s="3"/>
      <c r="AU32" s="8"/>
      <c r="AV32" s="8"/>
      <c r="AW32" s="3"/>
      <c r="AX32" s="3"/>
      <c r="AY32" s="3"/>
      <c r="AZ32" s="3"/>
      <c r="BA32" s="5"/>
      <c r="BB32" s="58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4"/>
      <c r="X33" s="3"/>
      <c r="Y33" s="3"/>
      <c r="Z33" s="8"/>
      <c r="AA33" s="8"/>
      <c r="AB33" s="3"/>
      <c r="AC33" s="3"/>
      <c r="AD33" s="3"/>
      <c r="AE33" s="3"/>
      <c r="AF33" s="3"/>
      <c r="AG33" s="8"/>
      <c r="AH33" s="8"/>
      <c r="AI33" s="3"/>
      <c r="AJ33" s="3"/>
      <c r="AK33" s="3"/>
      <c r="AL33" s="3"/>
      <c r="AM33" s="3"/>
      <c r="AN33" s="8"/>
      <c r="AO33" s="8"/>
      <c r="AP33" s="3"/>
      <c r="AQ33" s="3"/>
      <c r="AR33" s="3"/>
      <c r="AS33" s="3"/>
      <c r="AT33" s="3"/>
      <c r="AU33" s="8"/>
      <c r="AV33" s="8"/>
      <c r="AW33" s="3"/>
      <c r="AX33" s="3"/>
      <c r="AY33" s="3"/>
      <c r="AZ33" s="3"/>
      <c r="BA33" s="5"/>
      <c r="BB33" s="58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4"/>
      <c r="X34" s="3"/>
      <c r="Y34" s="3"/>
      <c r="Z34" s="8"/>
      <c r="AA34" s="8"/>
      <c r="AB34" s="3"/>
      <c r="AC34" s="3"/>
      <c r="AD34" s="3"/>
      <c r="AE34" s="3"/>
      <c r="AF34" s="3"/>
      <c r="AG34" s="8"/>
      <c r="AH34" s="8"/>
      <c r="AI34" s="3"/>
      <c r="AJ34" s="3"/>
      <c r="AK34" s="3"/>
      <c r="AL34" s="3"/>
      <c r="AM34" s="3"/>
      <c r="AN34" s="8"/>
      <c r="AO34" s="8"/>
      <c r="AP34" s="3"/>
      <c r="AQ34" s="3"/>
      <c r="AR34" s="3"/>
      <c r="AS34" s="3"/>
      <c r="AT34" s="3"/>
      <c r="AU34" s="8"/>
      <c r="AV34" s="8"/>
      <c r="AW34" s="3"/>
      <c r="AX34" s="3"/>
      <c r="AY34" s="3"/>
      <c r="AZ34" s="3"/>
      <c r="BA34" s="5"/>
      <c r="BB34" s="58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97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4"/>
      <c r="X35" s="3"/>
      <c r="Y35" s="3"/>
      <c r="Z35" s="8"/>
      <c r="AA35" s="8"/>
      <c r="AB35" s="3"/>
      <c r="AC35" s="3"/>
      <c r="AD35" s="3"/>
      <c r="AE35" s="3"/>
      <c r="AF35" s="3"/>
      <c r="AG35" s="8"/>
      <c r="AH35" s="8"/>
      <c r="AI35" s="3"/>
      <c r="AJ35" s="3"/>
      <c r="AK35" s="3"/>
      <c r="AL35" s="3"/>
      <c r="AM35" s="3"/>
      <c r="AN35" s="8"/>
      <c r="AO35" s="8"/>
      <c r="AP35" s="3"/>
      <c r="AQ35" s="3"/>
      <c r="AR35" s="3"/>
      <c r="AS35" s="3"/>
      <c r="AT35" s="3"/>
      <c r="AU35" s="8"/>
      <c r="AV35" s="8"/>
      <c r="AW35" s="3"/>
      <c r="AX35" s="3"/>
      <c r="AY35" s="3"/>
      <c r="AZ35" s="3"/>
      <c r="BA35" s="5"/>
      <c r="BB35" s="58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4"/>
      <c r="X36" s="3"/>
      <c r="Y36" s="3"/>
      <c r="Z36" s="8"/>
      <c r="AA36" s="8"/>
      <c r="AB36" s="3"/>
      <c r="AC36" s="3"/>
      <c r="AD36" s="3"/>
      <c r="AE36" s="3"/>
      <c r="AF36" s="3"/>
      <c r="AG36" s="8"/>
      <c r="AH36" s="8"/>
      <c r="AI36" s="3"/>
      <c r="AJ36" s="3"/>
      <c r="AK36" s="3"/>
      <c r="AL36" s="3"/>
      <c r="AM36" s="3"/>
      <c r="AN36" s="8"/>
      <c r="AO36" s="8"/>
      <c r="AP36" s="3"/>
      <c r="AQ36" s="3"/>
      <c r="AR36" s="3"/>
      <c r="AS36" s="3"/>
      <c r="AT36" s="3"/>
      <c r="AU36" s="8"/>
      <c r="AV36" s="8"/>
      <c r="AW36" s="3"/>
      <c r="AX36" s="3"/>
      <c r="AY36" s="3"/>
      <c r="AZ36" s="3"/>
      <c r="BA36" s="5"/>
      <c r="BB36" s="58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4"/>
      <c r="X37" s="3"/>
      <c r="Y37" s="3"/>
      <c r="Z37" s="8"/>
      <c r="AA37" s="8"/>
      <c r="AB37" s="3"/>
      <c r="AC37" s="3"/>
      <c r="AD37" s="3"/>
      <c r="AE37" s="3"/>
      <c r="AF37" s="3"/>
      <c r="AG37" s="8"/>
      <c r="AH37" s="8"/>
      <c r="AI37" s="3"/>
      <c r="AJ37" s="3"/>
      <c r="AK37" s="3"/>
      <c r="AL37" s="3"/>
      <c r="AM37" s="3"/>
      <c r="AN37" s="8"/>
      <c r="AO37" s="8"/>
      <c r="AP37" s="3"/>
      <c r="AQ37" s="3"/>
      <c r="AR37" s="3"/>
      <c r="AS37" s="3"/>
      <c r="AT37" s="3"/>
      <c r="AU37" s="8"/>
      <c r="AV37" s="8"/>
      <c r="AW37" s="3"/>
      <c r="AX37" s="3"/>
      <c r="AY37" s="3"/>
      <c r="AZ37" s="3"/>
      <c r="BA37" s="5"/>
      <c r="BB37" s="58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4"/>
      <c r="X38" s="3"/>
      <c r="Y38" s="3"/>
      <c r="Z38" s="8"/>
      <c r="AA38" s="8"/>
      <c r="AB38" s="3"/>
      <c r="AC38" s="3"/>
      <c r="AD38" s="3"/>
      <c r="AE38" s="3"/>
      <c r="AF38" s="3"/>
      <c r="AG38" s="8"/>
      <c r="AH38" s="8"/>
      <c r="AI38" s="3"/>
      <c r="AJ38" s="3"/>
      <c r="AK38" s="3"/>
      <c r="AL38" s="3"/>
      <c r="AM38" s="3"/>
      <c r="AN38" s="8"/>
      <c r="AO38" s="8"/>
      <c r="AP38" s="3"/>
      <c r="AQ38" s="3"/>
      <c r="AR38" s="3"/>
      <c r="AS38" s="3"/>
      <c r="AT38" s="3"/>
      <c r="AU38" s="8"/>
      <c r="AV38" s="8"/>
      <c r="AW38" s="3"/>
      <c r="AX38" s="3"/>
      <c r="AY38" s="3"/>
      <c r="AZ38" s="3"/>
      <c r="BA38" s="5"/>
      <c r="BB38" s="58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4"/>
      <c r="X39" s="3"/>
      <c r="Y39" s="3"/>
      <c r="Z39" s="8"/>
      <c r="AA39" s="8"/>
      <c r="AB39" s="3"/>
      <c r="AC39" s="3"/>
      <c r="AD39" s="3"/>
      <c r="AE39" s="3"/>
      <c r="AF39" s="3"/>
      <c r="AG39" s="8"/>
      <c r="AH39" s="8"/>
      <c r="AI39" s="3"/>
      <c r="AJ39" s="3"/>
      <c r="AK39" s="3"/>
      <c r="AL39" s="3"/>
      <c r="AM39" s="3"/>
      <c r="AN39" s="8"/>
      <c r="AO39" s="8"/>
      <c r="AP39" s="3"/>
      <c r="AQ39" s="3"/>
      <c r="AR39" s="3"/>
      <c r="AS39" s="3"/>
      <c r="AT39" s="3"/>
      <c r="AU39" s="8"/>
      <c r="AV39" s="8"/>
      <c r="AW39" s="3"/>
      <c r="AX39" s="3"/>
      <c r="AY39" s="3"/>
      <c r="AZ39" s="3"/>
      <c r="BA39" s="5"/>
      <c r="BB39" s="58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4"/>
      <c r="X40" s="3"/>
      <c r="Y40" s="3"/>
      <c r="Z40" s="8"/>
      <c r="AA40" s="8"/>
      <c r="AB40" s="3"/>
      <c r="AC40" s="3"/>
      <c r="AD40" s="3"/>
      <c r="AE40" s="3"/>
      <c r="AF40" s="3"/>
      <c r="AG40" s="8"/>
      <c r="AH40" s="8"/>
      <c r="AI40" s="3"/>
      <c r="AJ40" s="3"/>
      <c r="AK40" s="3"/>
      <c r="AL40" s="3"/>
      <c r="AM40" s="3"/>
      <c r="AN40" s="8"/>
      <c r="AO40" s="8"/>
      <c r="AP40" s="3"/>
      <c r="AQ40" s="3"/>
      <c r="AR40" s="3"/>
      <c r="AS40" s="3"/>
      <c r="AT40" s="3"/>
      <c r="AU40" s="8"/>
      <c r="AV40" s="8"/>
      <c r="AW40" s="3"/>
      <c r="AX40" s="3"/>
      <c r="AY40" s="3"/>
      <c r="AZ40" s="3"/>
      <c r="BA40" s="5"/>
      <c r="BB40" s="58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4"/>
      <c r="X41" s="3"/>
      <c r="Y41" s="3"/>
      <c r="Z41" s="8"/>
      <c r="AA41" s="8"/>
      <c r="AB41" s="3"/>
      <c r="AC41" s="3"/>
      <c r="AD41" s="3"/>
      <c r="AE41" s="3"/>
      <c r="AF41" s="3"/>
      <c r="AG41" s="8"/>
      <c r="AH41" s="8"/>
      <c r="AI41" s="3"/>
      <c r="AJ41" s="3"/>
      <c r="AK41" s="3"/>
      <c r="AL41" s="3"/>
      <c r="AM41" s="3"/>
      <c r="AN41" s="8"/>
      <c r="AO41" s="8"/>
      <c r="AP41" s="3"/>
      <c r="AQ41" s="3"/>
      <c r="AR41" s="3"/>
      <c r="AS41" s="3"/>
      <c r="AT41" s="3"/>
      <c r="AU41" s="8"/>
      <c r="AV41" s="8"/>
      <c r="AW41" s="3"/>
      <c r="AX41" s="3"/>
      <c r="AY41" s="3"/>
      <c r="AZ41" s="3"/>
      <c r="BA41" s="5"/>
      <c r="BB41" s="58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4"/>
      <c r="X42" s="3"/>
      <c r="Y42" s="3"/>
      <c r="Z42" s="8"/>
      <c r="AA42" s="8"/>
      <c r="AB42" s="3"/>
      <c r="AC42" s="3"/>
      <c r="AD42" s="3"/>
      <c r="AE42" s="3"/>
      <c r="AF42" s="3"/>
      <c r="AG42" s="8"/>
      <c r="AH42" s="8"/>
      <c r="AI42" s="3"/>
      <c r="AJ42" s="3"/>
      <c r="AK42" s="3"/>
      <c r="AL42" s="3"/>
      <c r="AM42" s="3"/>
      <c r="AN42" s="8"/>
      <c r="AO42" s="8"/>
      <c r="AP42" s="3"/>
      <c r="AQ42" s="3"/>
      <c r="AR42" s="3"/>
      <c r="AS42" s="3"/>
      <c r="AT42" s="3"/>
      <c r="AU42" s="8"/>
      <c r="AV42" s="8"/>
      <c r="AW42" s="3"/>
      <c r="AX42" s="3"/>
      <c r="AY42" s="3"/>
      <c r="AZ42" s="3"/>
      <c r="BA42" s="5"/>
      <c r="BB42" s="58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4"/>
      <c r="X43" s="3"/>
      <c r="Y43" s="3"/>
      <c r="Z43" s="8"/>
      <c r="AA43" s="8"/>
      <c r="AB43" s="3"/>
      <c r="AC43" s="3"/>
      <c r="AD43" s="3"/>
      <c r="AE43" s="3"/>
      <c r="AF43" s="3"/>
      <c r="AG43" s="8"/>
      <c r="AH43" s="8"/>
      <c r="AI43" s="3"/>
      <c r="AJ43" s="3"/>
      <c r="AK43" s="3"/>
      <c r="AL43" s="3"/>
      <c r="AM43" s="3"/>
      <c r="AN43" s="8"/>
      <c r="AO43" s="8"/>
      <c r="AP43" s="3"/>
      <c r="AQ43" s="3"/>
      <c r="AR43" s="3"/>
      <c r="AS43" s="3"/>
      <c r="AT43" s="3"/>
      <c r="AU43" s="8"/>
      <c r="AV43" s="8"/>
      <c r="AW43" s="3"/>
      <c r="AX43" s="3"/>
      <c r="AY43" s="3"/>
      <c r="AZ43" s="3"/>
      <c r="BA43" s="5"/>
      <c r="BB43" s="58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4"/>
      <c r="X44" s="3"/>
      <c r="Y44" s="3"/>
      <c r="Z44" s="8"/>
      <c r="AA44" s="8"/>
      <c r="AB44" s="3"/>
      <c r="AC44" s="3"/>
      <c r="AD44" s="3"/>
      <c r="AE44" s="3"/>
      <c r="AF44" s="3"/>
      <c r="AG44" s="8"/>
      <c r="AH44" s="8"/>
      <c r="AI44" s="3"/>
      <c r="AJ44" s="3"/>
      <c r="AK44" s="3"/>
      <c r="AL44" s="3"/>
      <c r="AM44" s="3"/>
      <c r="AN44" s="8"/>
      <c r="AO44" s="8"/>
      <c r="AP44" s="3"/>
      <c r="AQ44" s="3"/>
      <c r="AR44" s="3"/>
      <c r="AS44" s="3"/>
      <c r="AT44" s="3"/>
      <c r="AU44" s="8"/>
      <c r="AV44" s="8"/>
      <c r="AW44" s="3"/>
      <c r="AX44" s="3"/>
      <c r="AY44" s="3"/>
      <c r="AZ44" s="3"/>
      <c r="BA44" s="5"/>
      <c r="BB44" s="58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4"/>
      <c r="X45" s="3"/>
      <c r="Y45" s="3"/>
      <c r="Z45" s="8"/>
      <c r="AA45" s="8"/>
      <c r="AB45" s="3"/>
      <c r="AC45" s="3"/>
      <c r="AD45" s="3"/>
      <c r="AE45" s="3"/>
      <c r="AF45" s="3"/>
      <c r="AG45" s="8"/>
      <c r="AH45" s="8"/>
      <c r="AI45" s="3"/>
      <c r="AJ45" s="3"/>
      <c r="AK45" s="3"/>
      <c r="AL45" s="3"/>
      <c r="AM45" s="3"/>
      <c r="AN45" s="8"/>
      <c r="AO45" s="8"/>
      <c r="AP45" s="3"/>
      <c r="AQ45" s="3"/>
      <c r="AR45" s="3"/>
      <c r="AS45" s="3"/>
      <c r="AT45" s="3"/>
      <c r="AU45" s="8"/>
      <c r="AV45" s="8"/>
      <c r="AW45" s="3"/>
      <c r="AX45" s="3"/>
      <c r="AY45" s="3"/>
      <c r="AZ45" s="3"/>
      <c r="BA45" s="5"/>
      <c r="BB45" s="58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4"/>
      <c r="X46" s="3"/>
      <c r="Y46" s="3"/>
      <c r="Z46" s="8"/>
      <c r="AA46" s="8"/>
      <c r="AB46" s="3"/>
      <c r="AC46" s="3"/>
      <c r="AD46" s="3"/>
      <c r="AE46" s="3"/>
      <c r="AF46" s="3"/>
      <c r="AG46" s="8"/>
      <c r="AH46" s="8"/>
      <c r="AI46" s="3"/>
      <c r="AJ46" s="3"/>
      <c r="AK46" s="3"/>
      <c r="AL46" s="3"/>
      <c r="AM46" s="3"/>
      <c r="AN46" s="8"/>
      <c r="AO46" s="8"/>
      <c r="AP46" s="3"/>
      <c r="AQ46" s="3"/>
      <c r="AR46" s="3"/>
      <c r="AS46" s="3"/>
      <c r="AT46" s="3"/>
      <c r="AU46" s="8"/>
      <c r="AV46" s="8"/>
      <c r="AW46" s="3"/>
      <c r="AX46" s="3"/>
      <c r="AY46" s="3"/>
      <c r="AZ46" s="3"/>
      <c r="BA46" s="5"/>
      <c r="BB46" s="58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4"/>
      <c r="X47" s="3"/>
      <c r="Y47" s="3"/>
      <c r="Z47" s="8"/>
      <c r="AA47" s="8"/>
      <c r="AB47" s="3"/>
      <c r="AC47" s="3"/>
      <c r="AD47" s="3"/>
      <c r="AE47" s="3"/>
      <c r="AF47" s="3"/>
      <c r="AG47" s="8"/>
      <c r="AH47" s="8"/>
      <c r="AI47" s="3"/>
      <c r="AJ47" s="3"/>
      <c r="AK47" s="3"/>
      <c r="AL47" s="3"/>
      <c r="AM47" s="3"/>
      <c r="AN47" s="8"/>
      <c r="AO47" s="8"/>
      <c r="AP47" s="3"/>
      <c r="AQ47" s="3"/>
      <c r="AR47" s="3"/>
      <c r="AS47" s="3"/>
      <c r="AT47" s="3"/>
      <c r="AU47" s="8"/>
      <c r="AV47" s="8"/>
      <c r="AW47" s="3"/>
      <c r="AX47" s="3"/>
      <c r="AY47" s="3"/>
      <c r="AZ47" s="3"/>
      <c r="BA47" s="5"/>
      <c r="BB47" s="58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4"/>
      <c r="X48" s="3"/>
      <c r="Y48" s="3"/>
      <c r="Z48" s="8"/>
      <c r="AA48" s="8"/>
      <c r="AB48" s="3"/>
      <c r="AC48" s="3"/>
      <c r="AD48" s="3"/>
      <c r="AE48" s="3"/>
      <c r="AF48" s="3"/>
      <c r="AG48" s="8"/>
      <c r="AH48" s="8"/>
      <c r="AI48" s="3"/>
      <c r="AJ48" s="3"/>
      <c r="AK48" s="3"/>
      <c r="AL48" s="3"/>
      <c r="AM48" s="3"/>
      <c r="AN48" s="8"/>
      <c r="AO48" s="8"/>
      <c r="AP48" s="3"/>
      <c r="AQ48" s="3"/>
      <c r="AR48" s="3"/>
      <c r="AS48" s="3"/>
      <c r="AT48" s="3"/>
      <c r="AU48" s="8"/>
      <c r="AV48" s="8"/>
      <c r="AW48" s="3"/>
      <c r="AX48" s="3"/>
      <c r="AY48" s="3"/>
      <c r="AZ48" s="3"/>
      <c r="BA48" s="5"/>
      <c r="BB48" s="58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4"/>
      <c r="X49" s="3"/>
      <c r="Y49" s="3"/>
      <c r="Z49" s="8"/>
      <c r="AA49" s="8"/>
      <c r="AB49" s="3"/>
      <c r="AC49" s="3"/>
      <c r="AD49" s="3"/>
      <c r="AE49" s="3"/>
      <c r="AF49" s="3"/>
      <c r="AG49" s="8"/>
      <c r="AH49" s="8"/>
      <c r="AI49" s="3"/>
      <c r="AJ49" s="3"/>
      <c r="AK49" s="3"/>
      <c r="AL49" s="3"/>
      <c r="AM49" s="3"/>
      <c r="AN49" s="8"/>
      <c r="AO49" s="8"/>
      <c r="AP49" s="3"/>
      <c r="AQ49" s="3"/>
      <c r="AR49" s="3"/>
      <c r="AS49" s="3"/>
      <c r="AT49" s="3"/>
      <c r="AU49" s="8"/>
      <c r="AV49" s="8"/>
      <c r="AW49" s="3"/>
      <c r="AX49" s="3"/>
      <c r="AY49" s="3"/>
      <c r="AZ49" s="3"/>
      <c r="BA49" s="5"/>
      <c r="BB49" s="58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4"/>
      <c r="X50" s="3"/>
      <c r="Y50" s="3"/>
      <c r="Z50" s="8"/>
      <c r="AA50" s="8"/>
      <c r="AB50" s="3"/>
      <c r="AC50" s="3"/>
      <c r="AD50" s="3"/>
      <c r="AE50" s="3"/>
      <c r="AF50" s="3"/>
      <c r="AG50" s="8"/>
      <c r="AH50" s="8"/>
      <c r="AI50" s="3"/>
      <c r="AJ50" s="3"/>
      <c r="AK50" s="3"/>
      <c r="AL50" s="3"/>
      <c r="AM50" s="3"/>
      <c r="AN50" s="8"/>
      <c r="AO50" s="8"/>
      <c r="AP50" s="3"/>
      <c r="AQ50" s="3"/>
      <c r="AR50" s="3"/>
      <c r="AS50" s="3"/>
      <c r="AT50" s="3"/>
      <c r="AU50" s="8"/>
      <c r="AV50" s="8"/>
      <c r="AW50" s="3"/>
      <c r="AX50" s="3"/>
      <c r="AY50" s="3"/>
      <c r="AZ50" s="3"/>
      <c r="BA50" s="5"/>
      <c r="BB50" s="58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4"/>
      <c r="X51" s="3"/>
      <c r="Y51" s="3"/>
      <c r="Z51" s="8"/>
      <c r="AA51" s="8"/>
      <c r="AB51" s="3"/>
      <c r="AC51" s="3"/>
      <c r="AD51" s="3"/>
      <c r="AE51" s="3"/>
      <c r="AF51" s="3"/>
      <c r="AG51" s="8"/>
      <c r="AH51" s="8"/>
      <c r="AI51" s="3"/>
      <c r="AJ51" s="3"/>
      <c r="AK51" s="3"/>
      <c r="AL51" s="3"/>
      <c r="AM51" s="3"/>
      <c r="AN51" s="8"/>
      <c r="AO51" s="8"/>
      <c r="AP51" s="3"/>
      <c r="AQ51" s="3"/>
      <c r="AR51" s="3"/>
      <c r="AS51" s="3"/>
      <c r="AT51" s="3"/>
      <c r="AU51" s="8"/>
      <c r="AV51" s="8"/>
      <c r="AW51" s="3"/>
      <c r="AX51" s="3"/>
      <c r="AY51" s="3"/>
      <c r="AZ51" s="3"/>
      <c r="BA51" s="5"/>
      <c r="BB51" s="58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4"/>
      <c r="X52" s="3"/>
      <c r="Y52" s="3"/>
      <c r="Z52" s="8"/>
      <c r="AA52" s="8"/>
      <c r="AB52" s="3"/>
      <c r="AC52" s="3"/>
      <c r="AD52" s="3"/>
      <c r="AE52" s="3"/>
      <c r="AF52" s="3"/>
      <c r="AG52" s="8"/>
      <c r="AH52" s="8"/>
      <c r="AI52" s="3"/>
      <c r="AJ52" s="3"/>
      <c r="AK52" s="3"/>
      <c r="AL52" s="3"/>
      <c r="AM52" s="3"/>
      <c r="AN52" s="8"/>
      <c r="AO52" s="8"/>
      <c r="AP52" s="3"/>
      <c r="AQ52" s="3"/>
      <c r="AR52" s="3"/>
      <c r="AS52" s="3"/>
      <c r="AT52" s="3"/>
      <c r="AU52" s="8"/>
      <c r="AV52" s="8"/>
      <c r="AW52" s="3"/>
      <c r="AX52" s="3"/>
      <c r="AY52" s="3"/>
      <c r="AZ52" s="3"/>
      <c r="BA52" s="5"/>
      <c r="BB52" s="58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97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4"/>
      <c r="X53" s="3"/>
      <c r="Y53" s="3"/>
      <c r="Z53" s="8"/>
      <c r="AA53" s="8"/>
      <c r="AB53" s="3"/>
      <c r="AC53" s="3"/>
      <c r="AD53" s="3"/>
      <c r="AE53" s="3"/>
      <c r="AF53" s="3"/>
      <c r="AG53" s="8"/>
      <c r="AH53" s="8"/>
      <c r="AI53" s="3"/>
      <c r="AJ53" s="3"/>
      <c r="AK53" s="3"/>
      <c r="AL53" s="3"/>
      <c r="AM53" s="3"/>
      <c r="AN53" s="8"/>
      <c r="AO53" s="8"/>
      <c r="AP53" s="3"/>
      <c r="AQ53" s="3"/>
      <c r="AR53" s="3"/>
      <c r="AS53" s="3"/>
      <c r="AT53" s="3"/>
      <c r="AU53" s="8"/>
      <c r="AV53" s="8"/>
      <c r="AW53" s="3"/>
      <c r="AX53" s="3"/>
      <c r="AY53" s="3"/>
      <c r="AZ53" s="3"/>
      <c r="BA53" s="5"/>
      <c r="BB53" s="58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4"/>
      <c r="X54" s="3"/>
      <c r="Y54" s="3"/>
      <c r="Z54" s="8"/>
      <c r="AA54" s="8"/>
      <c r="AB54" s="3"/>
      <c r="AC54" s="3"/>
      <c r="AD54" s="3"/>
      <c r="AE54" s="3"/>
      <c r="AF54" s="3"/>
      <c r="AG54" s="8"/>
      <c r="AH54" s="8"/>
      <c r="AI54" s="3"/>
      <c r="AJ54" s="3"/>
      <c r="AK54" s="3"/>
      <c r="AL54" s="3"/>
      <c r="AM54" s="3"/>
      <c r="AN54" s="8"/>
      <c r="AO54" s="8"/>
      <c r="AP54" s="3"/>
      <c r="AQ54" s="3"/>
      <c r="AR54" s="3"/>
      <c r="AS54" s="3"/>
      <c r="AT54" s="3"/>
      <c r="AU54" s="8"/>
      <c r="AV54" s="8"/>
      <c r="AW54" s="3"/>
      <c r="AX54" s="3"/>
      <c r="AY54" s="3"/>
      <c r="AZ54" s="3"/>
      <c r="BA54" s="5"/>
      <c r="BB54" s="58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4"/>
      <c r="X55" s="3"/>
      <c r="Y55" s="3"/>
      <c r="Z55" s="8"/>
      <c r="AA55" s="8"/>
      <c r="AB55" s="3"/>
      <c r="AC55" s="3"/>
      <c r="AD55" s="3"/>
      <c r="AE55" s="3"/>
      <c r="AF55" s="3"/>
      <c r="AG55" s="8"/>
      <c r="AH55" s="8"/>
      <c r="AI55" s="3"/>
      <c r="AJ55" s="3"/>
      <c r="AK55" s="3"/>
      <c r="AL55" s="3"/>
      <c r="AM55" s="3"/>
      <c r="AN55" s="8"/>
      <c r="AO55" s="8"/>
      <c r="AP55" s="3"/>
      <c r="AQ55" s="3"/>
      <c r="AR55" s="3"/>
      <c r="AS55" s="3"/>
      <c r="AT55" s="3"/>
      <c r="AU55" s="8"/>
      <c r="AV55" s="8"/>
      <c r="AW55" s="3"/>
      <c r="AX55" s="3"/>
      <c r="AY55" s="3"/>
      <c r="AZ55" s="3"/>
      <c r="BA55" s="5"/>
      <c r="BB55" s="58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4"/>
      <c r="X56" s="3"/>
      <c r="Y56" s="3"/>
      <c r="Z56" s="8"/>
      <c r="AA56" s="8"/>
      <c r="AB56" s="3"/>
      <c r="AC56" s="3"/>
      <c r="AD56" s="3"/>
      <c r="AE56" s="3"/>
      <c r="AF56" s="3"/>
      <c r="AG56" s="8"/>
      <c r="AH56" s="8"/>
      <c r="AI56" s="3"/>
      <c r="AJ56" s="3"/>
      <c r="AK56" s="3"/>
      <c r="AL56" s="3"/>
      <c r="AM56" s="3"/>
      <c r="AN56" s="8"/>
      <c r="AO56" s="8"/>
      <c r="AP56" s="3"/>
      <c r="AQ56" s="3"/>
      <c r="AR56" s="3"/>
      <c r="AS56" s="3"/>
      <c r="AT56" s="3"/>
      <c r="AU56" s="8"/>
      <c r="AV56" s="8"/>
      <c r="AW56" s="3"/>
      <c r="AX56" s="3"/>
      <c r="AY56" s="3"/>
      <c r="AZ56" s="3"/>
      <c r="BA56" s="5"/>
      <c r="BB56" s="58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4"/>
      <c r="X57" s="3"/>
      <c r="Y57" s="3"/>
      <c r="Z57" s="8"/>
      <c r="AA57" s="8"/>
      <c r="AB57" s="3"/>
      <c r="AC57" s="3"/>
      <c r="AD57" s="3"/>
      <c r="AE57" s="3"/>
      <c r="AF57" s="3"/>
      <c r="AG57" s="8"/>
      <c r="AH57" s="8"/>
      <c r="AI57" s="3"/>
      <c r="AJ57" s="3"/>
      <c r="AK57" s="3"/>
      <c r="AL57" s="3"/>
      <c r="AM57" s="3"/>
      <c r="AN57" s="8"/>
      <c r="AO57" s="8"/>
      <c r="AP57" s="3"/>
      <c r="AQ57" s="3"/>
      <c r="AR57" s="3"/>
      <c r="AS57" s="3"/>
      <c r="AT57" s="3"/>
      <c r="AU57" s="8"/>
      <c r="AV57" s="8"/>
      <c r="AW57" s="3"/>
      <c r="AX57" s="3"/>
      <c r="AY57" s="3"/>
      <c r="AZ57" s="3"/>
      <c r="BA57" s="5"/>
      <c r="BB57" s="58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4"/>
      <c r="X58" s="3"/>
      <c r="Y58" s="3"/>
      <c r="Z58" s="8"/>
      <c r="AA58" s="8"/>
      <c r="AB58" s="3"/>
      <c r="AC58" s="3"/>
      <c r="AD58" s="3"/>
      <c r="AE58" s="3"/>
      <c r="AF58" s="3"/>
      <c r="AG58" s="8"/>
      <c r="AH58" s="8"/>
      <c r="AI58" s="3"/>
      <c r="AJ58" s="3"/>
      <c r="AK58" s="3"/>
      <c r="AL58" s="3"/>
      <c r="AM58" s="3"/>
      <c r="AN58" s="8"/>
      <c r="AO58" s="8"/>
      <c r="AP58" s="3"/>
      <c r="AQ58" s="3"/>
      <c r="AR58" s="3"/>
      <c r="AS58" s="3"/>
      <c r="AT58" s="3"/>
      <c r="AU58" s="8"/>
      <c r="AV58" s="8"/>
      <c r="AW58" s="3"/>
      <c r="AX58" s="3"/>
      <c r="AY58" s="3"/>
      <c r="AZ58" s="3"/>
      <c r="BA58" s="5"/>
      <c r="BB58" s="58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4"/>
      <c r="X59" s="3"/>
      <c r="Y59" s="3"/>
      <c r="Z59" s="8"/>
      <c r="AA59" s="8"/>
      <c r="AB59" s="3"/>
      <c r="AC59" s="3"/>
      <c r="AD59" s="3"/>
      <c r="AE59" s="3"/>
      <c r="AF59" s="3"/>
      <c r="AG59" s="8"/>
      <c r="AH59" s="8"/>
      <c r="AI59" s="3"/>
      <c r="AJ59" s="3"/>
      <c r="AK59" s="3"/>
      <c r="AL59" s="3"/>
      <c r="AM59" s="3"/>
      <c r="AN59" s="8"/>
      <c r="AO59" s="8"/>
      <c r="AP59" s="3"/>
      <c r="AQ59" s="3"/>
      <c r="AR59" s="3"/>
      <c r="AS59" s="3"/>
      <c r="AT59" s="3"/>
      <c r="AU59" s="8"/>
      <c r="AV59" s="8"/>
      <c r="AW59" s="3"/>
      <c r="AX59" s="3"/>
      <c r="AY59" s="3"/>
      <c r="AZ59" s="3"/>
      <c r="BA59" s="5"/>
      <c r="BB59" s="58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4"/>
      <c r="X60" s="3"/>
      <c r="Y60" s="3"/>
      <c r="Z60" s="8"/>
      <c r="AA60" s="8"/>
      <c r="AB60" s="3"/>
      <c r="AC60" s="3"/>
      <c r="AD60" s="3"/>
      <c r="AE60" s="3"/>
      <c r="AF60" s="3"/>
      <c r="AG60" s="8"/>
      <c r="AH60" s="8"/>
      <c r="AI60" s="3"/>
      <c r="AJ60" s="3"/>
      <c r="AK60" s="3"/>
      <c r="AL60" s="3"/>
      <c r="AM60" s="3"/>
      <c r="AN60" s="8"/>
      <c r="AO60" s="8"/>
      <c r="AP60" s="3"/>
      <c r="AQ60" s="3"/>
      <c r="AR60" s="3"/>
      <c r="AS60" s="3"/>
      <c r="AT60" s="3"/>
      <c r="AU60" s="8"/>
      <c r="AV60" s="8"/>
      <c r="AW60" s="3"/>
      <c r="AX60" s="3"/>
      <c r="AY60" s="3"/>
      <c r="AZ60" s="3"/>
      <c r="BA60" s="5"/>
      <c r="BB60" s="58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4"/>
      <c r="X61" s="3"/>
      <c r="Y61" s="3"/>
      <c r="Z61" s="8"/>
      <c r="AA61" s="8"/>
      <c r="AB61" s="3"/>
      <c r="AC61" s="3"/>
      <c r="AD61" s="3"/>
      <c r="AE61" s="3"/>
      <c r="AF61" s="3"/>
      <c r="AG61" s="8"/>
      <c r="AH61" s="8"/>
      <c r="AI61" s="3"/>
      <c r="AJ61" s="3"/>
      <c r="AK61" s="3"/>
      <c r="AL61" s="3"/>
      <c r="AM61" s="3"/>
      <c r="AN61" s="8"/>
      <c r="AO61" s="8"/>
      <c r="AP61" s="3"/>
      <c r="AQ61" s="3"/>
      <c r="AR61" s="3"/>
      <c r="AS61" s="3"/>
      <c r="AT61" s="3"/>
      <c r="AU61" s="8"/>
      <c r="AV61" s="8"/>
      <c r="AW61" s="3"/>
      <c r="AX61" s="3"/>
      <c r="AY61" s="3"/>
      <c r="AZ61" s="3"/>
      <c r="BA61" s="5"/>
      <c r="BB61" s="58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4"/>
      <c r="X62" s="3"/>
      <c r="Y62" s="3"/>
      <c r="Z62" s="8"/>
      <c r="AA62" s="8"/>
      <c r="AB62" s="3"/>
      <c r="AC62" s="3"/>
      <c r="AD62" s="3"/>
      <c r="AE62" s="3"/>
      <c r="AF62" s="3"/>
      <c r="AG62" s="8"/>
      <c r="AH62" s="8"/>
      <c r="AI62" s="3"/>
      <c r="AJ62" s="3"/>
      <c r="AK62" s="3"/>
      <c r="AL62" s="3"/>
      <c r="AM62" s="3"/>
      <c r="AN62" s="8"/>
      <c r="AO62" s="8"/>
      <c r="AP62" s="3"/>
      <c r="AQ62" s="3"/>
      <c r="AR62" s="3"/>
      <c r="AS62" s="3"/>
      <c r="AT62" s="3"/>
      <c r="AU62" s="8"/>
      <c r="AV62" s="8"/>
      <c r="AW62" s="3"/>
      <c r="AX62" s="3"/>
      <c r="AY62" s="3"/>
      <c r="AZ62" s="3"/>
      <c r="BA62" s="5"/>
      <c r="BB62" s="58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4"/>
      <c r="X63" s="3"/>
      <c r="Y63" s="3"/>
      <c r="Z63" s="8"/>
      <c r="AA63" s="8"/>
      <c r="AB63" s="3"/>
      <c r="AC63" s="3"/>
      <c r="AD63" s="3"/>
      <c r="AE63" s="3"/>
      <c r="AF63" s="3"/>
      <c r="AG63" s="8"/>
      <c r="AH63" s="8"/>
      <c r="AI63" s="3"/>
      <c r="AJ63" s="3"/>
      <c r="AK63" s="3"/>
      <c r="AL63" s="3"/>
      <c r="AM63" s="3"/>
      <c r="AN63" s="8"/>
      <c r="AO63" s="8"/>
      <c r="AP63" s="3"/>
      <c r="AQ63" s="3"/>
      <c r="AR63" s="3"/>
      <c r="AS63" s="3"/>
      <c r="AT63" s="3"/>
      <c r="AU63" s="8"/>
      <c r="AV63" s="8"/>
      <c r="AW63" s="3"/>
      <c r="AX63" s="3"/>
      <c r="AY63" s="3"/>
      <c r="AZ63" s="3"/>
      <c r="BA63" s="5"/>
      <c r="BB63" s="58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4"/>
      <c r="X64" s="3"/>
      <c r="Y64" s="3"/>
      <c r="Z64" s="8"/>
      <c r="AA64" s="8"/>
      <c r="AB64" s="3"/>
      <c r="AC64" s="3"/>
      <c r="AD64" s="3"/>
      <c r="AE64" s="3"/>
      <c r="AF64" s="3"/>
      <c r="AG64" s="8"/>
      <c r="AH64" s="8"/>
      <c r="AI64" s="3"/>
      <c r="AJ64" s="3"/>
      <c r="AK64" s="3"/>
      <c r="AL64" s="3"/>
      <c r="AM64" s="3"/>
      <c r="AN64" s="8"/>
      <c r="AO64" s="8"/>
      <c r="AP64" s="3"/>
      <c r="AQ64" s="3"/>
      <c r="AR64" s="3"/>
      <c r="AS64" s="3"/>
      <c r="AT64" s="3"/>
      <c r="AU64" s="8"/>
      <c r="AV64" s="8"/>
      <c r="AW64" s="3"/>
      <c r="AX64" s="3"/>
      <c r="AY64" s="3"/>
      <c r="AZ64" s="3"/>
      <c r="BA64" s="5"/>
      <c r="BB64" s="58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4"/>
      <c r="X65" s="3"/>
      <c r="Y65" s="3"/>
      <c r="Z65" s="8"/>
      <c r="AA65" s="8"/>
      <c r="AB65" s="3"/>
      <c r="AC65" s="3"/>
      <c r="AD65" s="3"/>
      <c r="AE65" s="3"/>
      <c r="AF65" s="3"/>
      <c r="AG65" s="8"/>
      <c r="AH65" s="8"/>
      <c r="AI65" s="3"/>
      <c r="AJ65" s="3"/>
      <c r="AK65" s="3"/>
      <c r="AL65" s="3"/>
      <c r="AM65" s="3"/>
      <c r="AN65" s="8"/>
      <c r="AO65" s="8"/>
      <c r="AP65" s="3"/>
      <c r="AQ65" s="3"/>
      <c r="AR65" s="3"/>
      <c r="AS65" s="3"/>
      <c r="AT65" s="3"/>
      <c r="AU65" s="8"/>
      <c r="AV65" s="8"/>
      <c r="AW65" s="3"/>
      <c r="AX65" s="3"/>
      <c r="AY65" s="3"/>
      <c r="AZ65" s="3"/>
      <c r="BA65" s="5"/>
      <c r="BB65" s="58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4"/>
      <c r="X66" s="3"/>
      <c r="Y66" s="3"/>
      <c r="Z66" s="8"/>
      <c r="AA66" s="8"/>
      <c r="AB66" s="3"/>
      <c r="AC66" s="3"/>
      <c r="AD66" s="3"/>
      <c r="AE66" s="3"/>
      <c r="AF66" s="3"/>
      <c r="AG66" s="8"/>
      <c r="AH66" s="8"/>
      <c r="AI66" s="3"/>
      <c r="AJ66" s="3"/>
      <c r="AK66" s="3"/>
      <c r="AL66" s="3"/>
      <c r="AM66" s="3"/>
      <c r="AN66" s="8"/>
      <c r="AO66" s="8"/>
      <c r="AP66" s="3"/>
      <c r="AQ66" s="3"/>
      <c r="AR66" s="3"/>
      <c r="AS66" s="3"/>
      <c r="AT66" s="3"/>
      <c r="AU66" s="8"/>
      <c r="AV66" s="8"/>
      <c r="AW66" s="3"/>
      <c r="AX66" s="3"/>
      <c r="AY66" s="3"/>
      <c r="AZ66" s="3"/>
      <c r="BA66" s="5"/>
      <c r="BB66" s="58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4"/>
      <c r="X67" s="3"/>
      <c r="Y67" s="3"/>
      <c r="Z67" s="8"/>
      <c r="AA67" s="8"/>
      <c r="AB67" s="3"/>
      <c r="AC67" s="3"/>
      <c r="AD67" s="3"/>
      <c r="AE67" s="3"/>
      <c r="AF67" s="3"/>
      <c r="AG67" s="8"/>
      <c r="AH67" s="8"/>
      <c r="AI67" s="3"/>
      <c r="AJ67" s="3"/>
      <c r="AK67" s="3"/>
      <c r="AL67" s="3"/>
      <c r="AM67" s="3"/>
      <c r="AN67" s="8"/>
      <c r="AO67" s="8"/>
      <c r="AP67" s="3"/>
      <c r="AQ67" s="3"/>
      <c r="AR67" s="3"/>
      <c r="AS67" s="3"/>
      <c r="AT67" s="3"/>
      <c r="AU67" s="8"/>
      <c r="AV67" s="8"/>
      <c r="AW67" s="3"/>
      <c r="AX67" s="3"/>
      <c r="AY67" s="3"/>
      <c r="AZ67" s="3"/>
      <c r="BA67" s="5"/>
      <c r="BB67" s="58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4"/>
      <c r="X68" s="3"/>
      <c r="Y68" s="3"/>
      <c r="Z68" s="8"/>
      <c r="AA68" s="8"/>
      <c r="AB68" s="3"/>
      <c r="AC68" s="3"/>
      <c r="AD68" s="3"/>
      <c r="AE68" s="3"/>
      <c r="AF68" s="3"/>
      <c r="AG68" s="8"/>
      <c r="AH68" s="8"/>
      <c r="AI68" s="3"/>
      <c r="AJ68" s="3"/>
      <c r="AK68" s="3"/>
      <c r="AL68" s="3"/>
      <c r="AM68" s="3"/>
      <c r="AN68" s="8"/>
      <c r="AO68" s="8"/>
      <c r="AP68" s="3"/>
      <c r="AQ68" s="3"/>
      <c r="AR68" s="3"/>
      <c r="AS68" s="3"/>
      <c r="AT68" s="3"/>
      <c r="AU68" s="8"/>
      <c r="AV68" s="8"/>
      <c r="AW68" s="3"/>
      <c r="AX68" s="3"/>
      <c r="AY68" s="3"/>
      <c r="AZ68" s="3"/>
      <c r="BA68" s="5"/>
      <c r="BB68" s="58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4"/>
      <c r="X69" s="3"/>
      <c r="Y69" s="3"/>
      <c r="Z69" s="8"/>
      <c r="AA69" s="8"/>
      <c r="AB69" s="3"/>
      <c r="AC69" s="3"/>
      <c r="AD69" s="3"/>
      <c r="AE69" s="3"/>
      <c r="AF69" s="3"/>
      <c r="AG69" s="8"/>
      <c r="AH69" s="8"/>
      <c r="AI69" s="3"/>
      <c r="AJ69" s="3"/>
      <c r="AK69" s="3"/>
      <c r="AL69" s="3"/>
      <c r="AM69" s="3"/>
      <c r="AN69" s="8"/>
      <c r="AO69" s="8"/>
      <c r="AP69" s="3"/>
      <c r="AQ69" s="3"/>
      <c r="AR69" s="3"/>
      <c r="AS69" s="3"/>
      <c r="AT69" s="3"/>
      <c r="AU69" s="8"/>
      <c r="AV69" s="8"/>
      <c r="AW69" s="3"/>
      <c r="AX69" s="3"/>
      <c r="AY69" s="3"/>
      <c r="AZ69" s="3"/>
      <c r="BA69" s="5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4"/>
      <c r="X70" s="3"/>
      <c r="Y70" s="3"/>
      <c r="Z70" s="8"/>
      <c r="AA70" s="8"/>
      <c r="AB70" s="3"/>
      <c r="AC70" s="3"/>
      <c r="AD70" s="3"/>
      <c r="AE70" s="3"/>
      <c r="AF70" s="3"/>
      <c r="AG70" s="8"/>
      <c r="AH70" s="8"/>
      <c r="AI70" s="3"/>
      <c r="AJ70" s="3"/>
      <c r="AK70" s="3"/>
      <c r="AL70" s="3"/>
      <c r="AM70" s="3"/>
      <c r="AN70" s="8"/>
      <c r="AO70" s="8"/>
      <c r="AP70" s="3"/>
      <c r="AQ70" s="3"/>
      <c r="AR70" s="3"/>
      <c r="AS70" s="3"/>
      <c r="AT70" s="3"/>
      <c r="AU70" s="8"/>
      <c r="AV70" s="8"/>
      <c r="AW70" s="3"/>
      <c r="AX70" s="3"/>
      <c r="AY70" s="3"/>
      <c r="AZ70" s="3"/>
      <c r="BA70" s="5"/>
      <c r="BB70" s="58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97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4"/>
      <c r="X71" s="3"/>
      <c r="Y71" s="3"/>
      <c r="Z71" s="8"/>
      <c r="AA71" s="8"/>
      <c r="AB71" s="3"/>
      <c r="AC71" s="3"/>
      <c r="AD71" s="3"/>
      <c r="AE71" s="3"/>
      <c r="AF71" s="3"/>
      <c r="AG71" s="8"/>
      <c r="AH71" s="8"/>
      <c r="AI71" s="3"/>
      <c r="AJ71" s="3"/>
      <c r="AK71" s="3"/>
      <c r="AL71" s="3"/>
      <c r="AM71" s="3"/>
      <c r="AN71" s="8"/>
      <c r="AO71" s="8"/>
      <c r="AP71" s="3"/>
      <c r="AQ71" s="3"/>
      <c r="AR71" s="3"/>
      <c r="AS71" s="3"/>
      <c r="AT71" s="3"/>
      <c r="AU71" s="8"/>
      <c r="AV71" s="8"/>
      <c r="AW71" s="3"/>
      <c r="AX71" s="3"/>
      <c r="AY71" s="3"/>
      <c r="AZ71" s="3"/>
      <c r="BA71" s="5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4"/>
      <c r="X72" s="3"/>
      <c r="Y72" s="3"/>
      <c r="Z72" s="8"/>
      <c r="AA72" s="8"/>
      <c r="AB72" s="3"/>
      <c r="AC72" s="3"/>
      <c r="AD72" s="3"/>
      <c r="AE72" s="3"/>
      <c r="AF72" s="3"/>
      <c r="AG72" s="8"/>
      <c r="AH72" s="8"/>
      <c r="AI72" s="3"/>
      <c r="AJ72" s="3"/>
      <c r="AK72" s="3"/>
      <c r="AL72" s="3"/>
      <c r="AM72" s="3"/>
      <c r="AN72" s="8"/>
      <c r="AO72" s="8"/>
      <c r="AP72" s="3"/>
      <c r="AQ72" s="3"/>
      <c r="AR72" s="3"/>
      <c r="AS72" s="3"/>
      <c r="AT72" s="3"/>
      <c r="AU72" s="8"/>
      <c r="AV72" s="8"/>
      <c r="AW72" s="3"/>
      <c r="AX72" s="3"/>
      <c r="AY72" s="3"/>
      <c r="AZ72" s="3"/>
      <c r="BA72" s="5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4"/>
      <c r="X73" s="3"/>
      <c r="Y73" s="3"/>
      <c r="Z73" s="8"/>
      <c r="AA73" s="8"/>
      <c r="AB73" s="3"/>
      <c r="AC73" s="3"/>
      <c r="AD73" s="3"/>
      <c r="AE73" s="3"/>
      <c r="AF73" s="3"/>
      <c r="AG73" s="8"/>
      <c r="AH73" s="8"/>
      <c r="AI73" s="3"/>
      <c r="AJ73" s="3"/>
      <c r="AK73" s="3"/>
      <c r="AL73" s="3"/>
      <c r="AM73" s="3"/>
      <c r="AN73" s="8"/>
      <c r="AO73" s="8"/>
      <c r="AP73" s="3"/>
      <c r="AQ73" s="3"/>
      <c r="AR73" s="3"/>
      <c r="AS73" s="3"/>
      <c r="AT73" s="3"/>
      <c r="AU73" s="8"/>
      <c r="AV73" s="8"/>
      <c r="AW73" s="3"/>
      <c r="AX73" s="3"/>
      <c r="AY73" s="3"/>
      <c r="AZ73" s="3"/>
      <c r="BA73" s="5"/>
      <c r="BB73" s="58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4"/>
      <c r="X74" s="3"/>
      <c r="Y74" s="3"/>
      <c r="Z74" s="8"/>
      <c r="AA74" s="8"/>
      <c r="AB74" s="3"/>
      <c r="AC74" s="3"/>
      <c r="AD74" s="3"/>
      <c r="AE74" s="3"/>
      <c r="AF74" s="3"/>
      <c r="AG74" s="8"/>
      <c r="AH74" s="8"/>
      <c r="AI74" s="3"/>
      <c r="AJ74" s="3"/>
      <c r="AK74" s="3"/>
      <c r="AL74" s="3"/>
      <c r="AM74" s="3"/>
      <c r="AN74" s="8"/>
      <c r="AO74" s="8"/>
      <c r="AP74" s="3"/>
      <c r="AQ74" s="3"/>
      <c r="AR74" s="3"/>
      <c r="AS74" s="3"/>
      <c r="AT74" s="3"/>
      <c r="AU74" s="8"/>
      <c r="AV74" s="8"/>
      <c r="AW74" s="3"/>
      <c r="AX74" s="3"/>
      <c r="AY74" s="3"/>
      <c r="AZ74" s="3"/>
      <c r="BA74" s="5"/>
      <c r="BB74" s="58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97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4"/>
      <c r="X75" s="3"/>
      <c r="Y75" s="3"/>
      <c r="Z75" s="8"/>
      <c r="AA75" s="8"/>
      <c r="AB75" s="3"/>
      <c r="AC75" s="3"/>
      <c r="AD75" s="3"/>
      <c r="AE75" s="3"/>
      <c r="AF75" s="3"/>
      <c r="AG75" s="8"/>
      <c r="AH75" s="8"/>
      <c r="AI75" s="3"/>
      <c r="AJ75" s="3"/>
      <c r="AK75" s="3"/>
      <c r="AL75" s="3"/>
      <c r="AM75" s="3"/>
      <c r="AN75" s="8"/>
      <c r="AO75" s="8"/>
      <c r="AP75" s="3"/>
      <c r="AQ75" s="3"/>
      <c r="AR75" s="3"/>
      <c r="AS75" s="3"/>
      <c r="AT75" s="3"/>
      <c r="AU75" s="8"/>
      <c r="AV75" s="8"/>
      <c r="AW75" s="3"/>
      <c r="AX75" s="3"/>
      <c r="AY75" s="3"/>
      <c r="AZ75" s="3"/>
      <c r="BA75" s="5"/>
      <c r="BB75" s="58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4"/>
      <c r="X76" s="3"/>
      <c r="Y76" s="3"/>
      <c r="Z76" s="8"/>
      <c r="AA76" s="8"/>
      <c r="AB76" s="3"/>
      <c r="AC76" s="3"/>
      <c r="AD76" s="3"/>
      <c r="AE76" s="3"/>
      <c r="AF76" s="3"/>
      <c r="AG76" s="8"/>
      <c r="AH76" s="8"/>
      <c r="AI76" s="3"/>
      <c r="AJ76" s="3"/>
      <c r="AK76" s="3"/>
      <c r="AL76" s="3"/>
      <c r="AM76" s="3"/>
      <c r="AN76" s="8"/>
      <c r="AO76" s="8"/>
      <c r="AP76" s="3"/>
      <c r="AQ76" s="3"/>
      <c r="AR76" s="3"/>
      <c r="AS76" s="3"/>
      <c r="AT76" s="3"/>
      <c r="AU76" s="8"/>
      <c r="AV76" s="8"/>
      <c r="AW76" s="3"/>
      <c r="AX76" s="3"/>
      <c r="AY76" s="3"/>
      <c r="AZ76" s="3"/>
      <c r="BA76" s="5"/>
      <c r="BB76" s="58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4"/>
      <c r="X77" s="3"/>
      <c r="Y77" s="3"/>
      <c r="Z77" s="8"/>
      <c r="AA77" s="8"/>
      <c r="AB77" s="3"/>
      <c r="AC77" s="3"/>
      <c r="AD77" s="3"/>
      <c r="AE77" s="3"/>
      <c r="AF77" s="3"/>
      <c r="AG77" s="8"/>
      <c r="AH77" s="8"/>
      <c r="AI77" s="3"/>
      <c r="AJ77" s="3"/>
      <c r="AK77" s="3"/>
      <c r="AL77" s="3"/>
      <c r="AM77" s="3"/>
      <c r="AN77" s="8"/>
      <c r="AO77" s="8"/>
      <c r="AP77" s="3"/>
      <c r="AQ77" s="3"/>
      <c r="AR77" s="3"/>
      <c r="AS77" s="3"/>
      <c r="AT77" s="3"/>
      <c r="AU77" s="8"/>
      <c r="AV77" s="8"/>
      <c r="AW77" s="3"/>
      <c r="AX77" s="3"/>
      <c r="AY77" s="3"/>
      <c r="AZ77" s="3"/>
      <c r="BA77" s="5"/>
      <c r="BB77" s="58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4"/>
      <c r="X78" s="3"/>
      <c r="Y78" s="3"/>
      <c r="Z78" s="8"/>
      <c r="AA78" s="8"/>
      <c r="AB78" s="3"/>
      <c r="AC78" s="3"/>
      <c r="AD78" s="3"/>
      <c r="AE78" s="3"/>
      <c r="AF78" s="3"/>
      <c r="AG78" s="8"/>
      <c r="AH78" s="8"/>
      <c r="AI78" s="3"/>
      <c r="AJ78" s="3"/>
      <c r="AK78" s="3"/>
      <c r="AL78" s="3"/>
      <c r="AM78" s="3"/>
      <c r="AN78" s="8"/>
      <c r="AO78" s="8"/>
      <c r="AP78" s="3"/>
      <c r="AQ78" s="3"/>
      <c r="AR78" s="3"/>
      <c r="AS78" s="3"/>
      <c r="AT78" s="3"/>
      <c r="AU78" s="8"/>
      <c r="AV78" s="8"/>
      <c r="AW78" s="3"/>
      <c r="AX78" s="3"/>
      <c r="AY78" s="3"/>
      <c r="AZ78" s="3"/>
      <c r="BA78" s="5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4"/>
        <v/>
      </c>
      <c r="K79" s="6" t="str">
        <f t="shared" si="10"/>
        <v/>
      </c>
      <c r="L79" s="6" t="str">
        <f t="shared" si="11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4"/>
      <c r="X79" s="3"/>
      <c r="Y79" s="3"/>
      <c r="Z79" s="8"/>
      <c r="AA79" s="8"/>
      <c r="AB79" s="3"/>
      <c r="AC79" s="3"/>
      <c r="AD79" s="3"/>
      <c r="AE79" s="3"/>
      <c r="AF79" s="3"/>
      <c r="AG79" s="8"/>
      <c r="AH79" s="8"/>
      <c r="AI79" s="3"/>
      <c r="AJ79" s="3"/>
      <c r="AK79" s="3"/>
      <c r="AL79" s="3"/>
      <c r="AM79" s="3"/>
      <c r="AN79" s="8"/>
      <c r="AO79" s="8"/>
      <c r="AP79" s="3"/>
      <c r="AQ79" s="3"/>
      <c r="AR79" s="3"/>
      <c r="AS79" s="3"/>
      <c r="AT79" s="3"/>
      <c r="AU79" s="8"/>
      <c r="AV79" s="8"/>
      <c r="AW79" s="3"/>
      <c r="AX79" s="3"/>
      <c r="AY79" s="3"/>
      <c r="AZ79" s="3"/>
      <c r="BA79" s="5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97">
        <v>69</v>
      </c>
      <c r="B80" s="103"/>
      <c r="C80" s="104"/>
      <c r="D80" s="2"/>
      <c r="E80" s="105"/>
      <c r="F80" s="105"/>
      <c r="G80" s="100" t="str">
        <f t="shared" si="4"/>
        <v/>
      </c>
      <c r="H80" s="100" t="str">
        <f t="shared" si="5"/>
        <v/>
      </c>
      <c r="I80" s="101">
        <f t="shared" si="0"/>
        <v>0</v>
      </c>
      <c r="J80" s="100" t="str">
        <f t="shared" si="14"/>
        <v/>
      </c>
      <c r="K80" s="6" t="str">
        <f t="shared" si="6"/>
        <v/>
      </c>
      <c r="L80" s="6" t="str">
        <f t="shared" si="6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4"/>
      <c r="X80" s="3"/>
      <c r="Y80" s="3"/>
      <c r="Z80" s="8"/>
      <c r="AA80" s="8"/>
      <c r="AB80" s="3"/>
      <c r="AC80" s="3"/>
      <c r="AD80" s="3"/>
      <c r="AE80" s="3"/>
      <c r="AF80" s="3"/>
      <c r="AG80" s="8"/>
      <c r="AH80" s="8"/>
      <c r="AI80" s="3"/>
      <c r="AJ80" s="3"/>
      <c r="AK80" s="3"/>
      <c r="AL80" s="3"/>
      <c r="AM80" s="3"/>
      <c r="AN80" s="8"/>
      <c r="AO80" s="8"/>
      <c r="AP80" s="3"/>
      <c r="AQ80" s="3"/>
      <c r="AR80" s="3"/>
      <c r="AS80" s="3"/>
      <c r="AT80" s="3"/>
      <c r="AU80" s="8"/>
      <c r="AV80" s="8"/>
      <c r="AW80" s="3"/>
      <c r="AX80" s="3"/>
      <c r="AY80" s="3"/>
      <c r="AZ80" s="3"/>
      <c r="BA80" s="5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4"/>
        <v/>
      </c>
      <c r="H81" s="100" t="str">
        <f t="shared" si="5"/>
        <v/>
      </c>
      <c r="I81" s="101">
        <f t="shared" si="0"/>
        <v>0</v>
      </c>
      <c r="J81" s="100" t="str">
        <f t="shared" si="14"/>
        <v/>
      </c>
      <c r="K81" s="6" t="str">
        <f t="shared" si="6"/>
        <v/>
      </c>
      <c r="L81" s="6" t="str">
        <f t="shared" si="6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4"/>
      <c r="X81" s="3"/>
      <c r="Y81" s="3"/>
      <c r="Z81" s="8"/>
      <c r="AA81" s="8"/>
      <c r="AB81" s="3"/>
      <c r="AC81" s="3"/>
      <c r="AD81" s="3"/>
      <c r="AE81" s="3"/>
      <c r="AF81" s="3"/>
      <c r="AG81" s="8"/>
      <c r="AH81" s="8"/>
      <c r="AI81" s="3"/>
      <c r="AJ81" s="3"/>
      <c r="AK81" s="3"/>
      <c r="AL81" s="3"/>
      <c r="AM81" s="3"/>
      <c r="AN81" s="8"/>
      <c r="AO81" s="8"/>
      <c r="AP81" s="3"/>
      <c r="AQ81" s="3"/>
      <c r="AR81" s="3"/>
      <c r="AS81" s="3"/>
      <c r="AT81" s="3"/>
      <c r="AU81" s="8"/>
      <c r="AV81" s="8"/>
      <c r="AW81" s="3"/>
      <c r="AX81" s="3"/>
      <c r="AY81" s="3"/>
      <c r="AZ81" s="3"/>
      <c r="BA81" s="5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4"/>
        <v/>
      </c>
      <c r="H82" s="100" t="str">
        <f t="shared" si="5"/>
        <v/>
      </c>
      <c r="I82" s="101">
        <f t="shared" si="0"/>
        <v>0</v>
      </c>
      <c r="J82" s="100" t="str">
        <f t="shared" si="14"/>
        <v/>
      </c>
      <c r="K82" s="6" t="str">
        <f t="shared" si="6"/>
        <v/>
      </c>
      <c r="L82" s="6" t="str">
        <f t="shared" si="6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4"/>
      <c r="X82" s="3"/>
      <c r="Y82" s="3"/>
      <c r="Z82" s="8"/>
      <c r="AA82" s="8"/>
      <c r="AB82" s="3"/>
      <c r="AC82" s="3"/>
      <c r="AD82" s="3"/>
      <c r="AE82" s="3"/>
      <c r="AF82" s="3"/>
      <c r="AG82" s="8"/>
      <c r="AH82" s="8"/>
      <c r="AI82" s="3"/>
      <c r="AJ82" s="3"/>
      <c r="AK82" s="3"/>
      <c r="AL82" s="3"/>
      <c r="AM82" s="3"/>
      <c r="AN82" s="8"/>
      <c r="AO82" s="8"/>
      <c r="AP82" s="3"/>
      <c r="AQ82" s="3"/>
      <c r="AR82" s="3"/>
      <c r="AS82" s="3"/>
      <c r="AT82" s="3"/>
      <c r="AU82" s="8"/>
      <c r="AV82" s="8"/>
      <c r="AW82" s="3"/>
      <c r="AX82" s="3"/>
      <c r="AY82" s="3"/>
      <c r="AZ82" s="3"/>
      <c r="BA82" s="5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4"/>
        <v/>
      </c>
      <c r="H83" s="100" t="str">
        <f t="shared" si="5"/>
        <v/>
      </c>
      <c r="I83" s="101">
        <f t="shared" si="0"/>
        <v>0</v>
      </c>
      <c r="J83" s="100" t="str">
        <f t="shared" si="14"/>
        <v/>
      </c>
      <c r="K83" s="6" t="str">
        <f t="shared" si="6"/>
        <v/>
      </c>
      <c r="L83" s="6" t="str">
        <f t="shared" si="6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4"/>
      <c r="X83" s="3"/>
      <c r="Y83" s="3"/>
      <c r="Z83" s="8"/>
      <c r="AA83" s="8"/>
      <c r="AB83" s="3"/>
      <c r="AC83" s="3"/>
      <c r="AD83" s="3"/>
      <c r="AE83" s="3"/>
      <c r="AF83" s="3"/>
      <c r="AG83" s="8"/>
      <c r="AH83" s="8"/>
      <c r="AI83" s="3"/>
      <c r="AJ83" s="3"/>
      <c r="AK83" s="3"/>
      <c r="AL83" s="3"/>
      <c r="AM83" s="3"/>
      <c r="AN83" s="8"/>
      <c r="AO83" s="8"/>
      <c r="AP83" s="3"/>
      <c r="AQ83" s="3"/>
      <c r="AR83" s="3"/>
      <c r="AS83" s="3"/>
      <c r="AT83" s="3"/>
      <c r="AU83" s="8"/>
      <c r="AV83" s="8"/>
      <c r="AW83" s="3"/>
      <c r="AX83" s="3"/>
      <c r="AY83" s="3"/>
      <c r="AZ83" s="3"/>
      <c r="BA83" s="5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97">
        <v>73</v>
      </c>
      <c r="B84" s="103"/>
      <c r="C84" s="104"/>
      <c r="D84" s="2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4"/>
      <c r="X84" s="3"/>
      <c r="Y84" s="3"/>
      <c r="Z84" s="8"/>
      <c r="AA84" s="8"/>
      <c r="AB84" s="3"/>
      <c r="AC84" s="3"/>
      <c r="AD84" s="3"/>
      <c r="AE84" s="3"/>
      <c r="AF84" s="3"/>
      <c r="AG84" s="8"/>
      <c r="AH84" s="8"/>
      <c r="AI84" s="3"/>
      <c r="AJ84" s="3"/>
      <c r="AK84" s="3"/>
      <c r="AL84" s="3"/>
      <c r="AM84" s="3"/>
      <c r="AN84" s="8"/>
      <c r="AO84" s="8"/>
      <c r="AP84" s="3"/>
      <c r="AQ84" s="3"/>
      <c r="AR84" s="3"/>
      <c r="AS84" s="3"/>
      <c r="AT84" s="3"/>
      <c r="AU84" s="8"/>
      <c r="AV84" s="8"/>
      <c r="AW84" s="3"/>
      <c r="AX84" s="3"/>
      <c r="AY84" s="3"/>
      <c r="AZ84" s="3"/>
      <c r="BA84" s="5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4"/>
      <c r="X85" s="3"/>
      <c r="Y85" s="3"/>
      <c r="Z85" s="8"/>
      <c r="AA85" s="8"/>
      <c r="AB85" s="3"/>
      <c r="AC85" s="3"/>
      <c r="AD85" s="3"/>
      <c r="AE85" s="3"/>
      <c r="AF85" s="3"/>
      <c r="AG85" s="8"/>
      <c r="AH85" s="8"/>
      <c r="AI85" s="3"/>
      <c r="AJ85" s="3"/>
      <c r="AK85" s="3"/>
      <c r="AL85" s="3"/>
      <c r="AM85" s="3"/>
      <c r="AN85" s="8"/>
      <c r="AO85" s="8"/>
      <c r="AP85" s="3"/>
      <c r="AQ85" s="3"/>
      <c r="AR85" s="3"/>
      <c r="AS85" s="3"/>
      <c r="AT85" s="3"/>
      <c r="AU85" s="8"/>
      <c r="AV85" s="8"/>
      <c r="AW85" s="3"/>
      <c r="AX85" s="3"/>
      <c r="AY85" s="3"/>
      <c r="AZ85" s="3"/>
      <c r="BA85" s="5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4"/>
      <c r="X86" s="3"/>
      <c r="Y86" s="3"/>
      <c r="Z86" s="8"/>
      <c r="AA86" s="8"/>
      <c r="AB86" s="3"/>
      <c r="AC86" s="3"/>
      <c r="AD86" s="3"/>
      <c r="AE86" s="3"/>
      <c r="AF86" s="3"/>
      <c r="AG86" s="8"/>
      <c r="AH86" s="8"/>
      <c r="AI86" s="3"/>
      <c r="AJ86" s="3"/>
      <c r="AK86" s="3"/>
      <c r="AL86" s="3"/>
      <c r="AM86" s="3"/>
      <c r="AN86" s="8"/>
      <c r="AO86" s="8"/>
      <c r="AP86" s="3"/>
      <c r="AQ86" s="3"/>
      <c r="AR86" s="3"/>
      <c r="AS86" s="3"/>
      <c r="AT86" s="3"/>
      <c r="AU86" s="8"/>
      <c r="AV86" s="8"/>
      <c r="AW86" s="3"/>
      <c r="AX86" s="3"/>
      <c r="AY86" s="3"/>
      <c r="AZ86" s="3"/>
      <c r="BA86" s="5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4"/>
      <c r="X87" s="3"/>
      <c r="Y87" s="3"/>
      <c r="Z87" s="8"/>
      <c r="AA87" s="8"/>
      <c r="AB87" s="3"/>
      <c r="AC87" s="3"/>
      <c r="AD87" s="3"/>
      <c r="AE87" s="3"/>
      <c r="AF87" s="3"/>
      <c r="AG87" s="8"/>
      <c r="AH87" s="8"/>
      <c r="AI87" s="3"/>
      <c r="AJ87" s="3"/>
      <c r="AK87" s="3"/>
      <c r="AL87" s="3"/>
      <c r="AM87" s="3"/>
      <c r="AN87" s="8"/>
      <c r="AO87" s="8"/>
      <c r="AP87" s="3"/>
      <c r="AQ87" s="3"/>
      <c r="AR87" s="3"/>
      <c r="AS87" s="3"/>
      <c r="AT87" s="3"/>
      <c r="AU87" s="8"/>
      <c r="AV87" s="8"/>
      <c r="AW87" s="3"/>
      <c r="AX87" s="3"/>
      <c r="AY87" s="3"/>
      <c r="AZ87" s="3"/>
      <c r="BA87" s="5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GP87" s="54"/>
      <c r="GQ87" s="54"/>
    </row>
    <row r="88" spans="1:199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4"/>
      <c r="X88" s="3"/>
      <c r="Y88" s="3"/>
      <c r="Z88" s="8"/>
      <c r="AA88" s="8"/>
      <c r="AB88" s="3"/>
      <c r="AC88" s="3"/>
      <c r="AD88" s="3"/>
      <c r="AE88" s="3"/>
      <c r="AF88" s="3"/>
      <c r="AG88" s="8"/>
      <c r="AH88" s="8"/>
      <c r="AI88" s="3"/>
      <c r="AJ88" s="3"/>
      <c r="AK88" s="3"/>
      <c r="AL88" s="3"/>
      <c r="AM88" s="3"/>
      <c r="AN88" s="8"/>
      <c r="AO88" s="8"/>
      <c r="AP88" s="3"/>
      <c r="AQ88" s="3"/>
      <c r="AR88" s="3"/>
      <c r="AS88" s="3"/>
      <c r="AT88" s="3"/>
      <c r="AU88" s="8"/>
      <c r="AV88" s="8"/>
      <c r="AW88" s="3"/>
      <c r="AX88" s="3"/>
      <c r="AY88" s="3"/>
      <c r="AZ88" s="3"/>
      <c r="BA88" s="5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4"/>
      <c r="X89" s="3"/>
      <c r="Y89" s="3"/>
      <c r="Z89" s="8"/>
      <c r="AA89" s="8"/>
      <c r="AB89" s="3"/>
      <c r="AC89" s="3"/>
      <c r="AD89" s="3"/>
      <c r="AE89" s="3"/>
      <c r="AF89" s="3"/>
      <c r="AG89" s="8"/>
      <c r="AH89" s="8"/>
      <c r="AI89" s="3"/>
      <c r="AJ89" s="3"/>
      <c r="AK89" s="3"/>
      <c r="AL89" s="3"/>
      <c r="AM89" s="3"/>
      <c r="AN89" s="8"/>
      <c r="AO89" s="8"/>
      <c r="AP89" s="3"/>
      <c r="AQ89" s="3"/>
      <c r="AR89" s="3"/>
      <c r="AS89" s="3"/>
      <c r="AT89" s="3"/>
      <c r="AU89" s="8"/>
      <c r="AV89" s="8"/>
      <c r="AW89" s="3"/>
      <c r="AX89" s="3"/>
      <c r="AY89" s="3"/>
      <c r="AZ89" s="3"/>
      <c r="BA89" s="5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4"/>
      <c r="X90" s="3"/>
      <c r="Y90" s="3"/>
      <c r="Z90" s="8"/>
      <c r="AA90" s="8"/>
      <c r="AB90" s="3"/>
      <c r="AC90" s="3"/>
      <c r="AD90" s="3"/>
      <c r="AE90" s="3"/>
      <c r="AF90" s="3"/>
      <c r="AG90" s="8"/>
      <c r="AH90" s="8"/>
      <c r="AI90" s="3"/>
      <c r="AJ90" s="3"/>
      <c r="AK90" s="3"/>
      <c r="AL90" s="3"/>
      <c r="AM90" s="3"/>
      <c r="AN90" s="8"/>
      <c r="AO90" s="8"/>
      <c r="AP90" s="3"/>
      <c r="AQ90" s="3"/>
      <c r="AR90" s="3"/>
      <c r="AS90" s="3"/>
      <c r="AT90" s="3"/>
      <c r="AU90" s="8"/>
      <c r="AV90" s="8"/>
      <c r="AW90" s="3"/>
      <c r="AX90" s="3"/>
      <c r="AY90" s="3"/>
      <c r="AZ90" s="3"/>
      <c r="BA90" s="5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4"/>
      <c r="X91" s="3"/>
      <c r="Y91" s="3"/>
      <c r="Z91" s="8"/>
      <c r="AA91" s="8"/>
      <c r="AB91" s="3"/>
      <c r="AC91" s="3"/>
      <c r="AD91" s="3"/>
      <c r="AE91" s="3"/>
      <c r="AF91" s="3"/>
      <c r="AG91" s="8"/>
      <c r="AH91" s="8"/>
      <c r="AI91" s="3"/>
      <c r="AJ91" s="3"/>
      <c r="AK91" s="3"/>
      <c r="AL91" s="3"/>
      <c r="AM91" s="3"/>
      <c r="AN91" s="8"/>
      <c r="AO91" s="8"/>
      <c r="AP91" s="3"/>
      <c r="AQ91" s="3"/>
      <c r="AR91" s="3"/>
      <c r="AS91" s="3"/>
      <c r="AT91" s="3"/>
      <c r="AU91" s="8"/>
      <c r="AV91" s="8"/>
      <c r="AW91" s="3"/>
      <c r="AX91" s="3"/>
      <c r="AY91" s="3"/>
      <c r="AZ91" s="3"/>
      <c r="BA91" s="5"/>
      <c r="BB91" s="59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4"/>
      <c r="X92" s="3"/>
      <c r="Y92" s="3"/>
      <c r="Z92" s="8"/>
      <c r="AA92" s="8"/>
      <c r="AB92" s="3"/>
      <c r="AC92" s="3"/>
      <c r="AD92" s="3"/>
      <c r="AE92" s="3"/>
      <c r="AF92" s="3"/>
      <c r="AG92" s="8"/>
      <c r="AH92" s="8"/>
      <c r="AI92" s="3"/>
      <c r="AJ92" s="3"/>
      <c r="AK92" s="3"/>
      <c r="AL92" s="3"/>
      <c r="AM92" s="3"/>
      <c r="AN92" s="8"/>
      <c r="AO92" s="8"/>
      <c r="AP92" s="3"/>
      <c r="AQ92" s="3"/>
      <c r="AR92" s="3"/>
      <c r="AS92" s="3"/>
      <c r="AT92" s="3"/>
      <c r="AU92" s="8"/>
      <c r="AV92" s="8"/>
      <c r="AW92" s="3"/>
      <c r="AX92" s="3"/>
      <c r="AY92" s="3"/>
      <c r="AZ92" s="3"/>
      <c r="BA92" s="5"/>
      <c r="BB92" s="59"/>
      <c r="BC92" s="59"/>
      <c r="GP92" s="54"/>
      <c r="GQ92" s="54"/>
    </row>
    <row r="93" spans="1:199" ht="15" hidden="1" customHeight="1" x14ac:dyDescent="0.25">
      <c r="A93" s="97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4"/>
      <c r="X93" s="3"/>
      <c r="Y93" s="3"/>
      <c r="Z93" s="8"/>
      <c r="AA93" s="8"/>
      <c r="AB93" s="3"/>
      <c r="AC93" s="3"/>
      <c r="AD93" s="3"/>
      <c r="AE93" s="3"/>
      <c r="AF93" s="3"/>
      <c r="AG93" s="8"/>
      <c r="AH93" s="8"/>
      <c r="AI93" s="3"/>
      <c r="AJ93" s="3"/>
      <c r="AK93" s="3"/>
      <c r="AL93" s="3"/>
      <c r="AM93" s="3"/>
      <c r="AN93" s="8"/>
      <c r="AO93" s="8"/>
      <c r="AP93" s="3"/>
      <c r="AQ93" s="3"/>
      <c r="AR93" s="3"/>
      <c r="AS93" s="3"/>
      <c r="AT93" s="3"/>
      <c r="AU93" s="8"/>
      <c r="AV93" s="8"/>
      <c r="AW93" s="3"/>
      <c r="AX93" s="3"/>
      <c r="AY93" s="3"/>
      <c r="AZ93" s="3"/>
      <c r="BA93" s="5"/>
      <c r="BB93" s="59"/>
      <c r="BC93" s="59"/>
      <c r="GP93" s="54"/>
      <c r="GQ93" s="54"/>
    </row>
    <row r="94" spans="1:199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4"/>
      <c r="X94" s="3"/>
      <c r="Y94" s="3"/>
      <c r="Z94" s="8"/>
      <c r="AA94" s="8"/>
      <c r="AB94" s="3"/>
      <c r="AC94" s="3"/>
      <c r="AD94" s="3"/>
      <c r="AE94" s="3"/>
      <c r="AF94" s="3"/>
      <c r="AG94" s="8"/>
      <c r="AH94" s="8"/>
      <c r="AI94" s="3"/>
      <c r="AJ94" s="3"/>
      <c r="AK94" s="3"/>
      <c r="AL94" s="3"/>
      <c r="AM94" s="3"/>
      <c r="AN94" s="8"/>
      <c r="AO94" s="8"/>
      <c r="AP94" s="3"/>
      <c r="AQ94" s="3"/>
      <c r="AR94" s="3"/>
      <c r="AS94" s="3"/>
      <c r="AT94" s="3"/>
      <c r="AU94" s="8"/>
      <c r="AV94" s="8"/>
      <c r="AW94" s="3"/>
      <c r="AX94" s="3"/>
      <c r="AY94" s="3"/>
      <c r="AZ94" s="3"/>
      <c r="BA94" s="5"/>
      <c r="BB94" s="58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4"/>
      <c r="X95" s="3"/>
      <c r="Y95" s="3"/>
      <c r="Z95" s="8"/>
      <c r="AA95" s="8"/>
      <c r="AB95" s="3"/>
      <c r="AC95" s="3"/>
      <c r="AD95" s="3"/>
      <c r="AE95" s="3"/>
      <c r="AF95" s="3"/>
      <c r="AG95" s="8"/>
      <c r="AH95" s="8"/>
      <c r="AI95" s="3"/>
      <c r="AJ95" s="3"/>
      <c r="AK95" s="3"/>
      <c r="AL95" s="3"/>
      <c r="AM95" s="3"/>
      <c r="AN95" s="8"/>
      <c r="AO95" s="8"/>
      <c r="AP95" s="3"/>
      <c r="AQ95" s="3"/>
      <c r="AR95" s="3"/>
      <c r="AS95" s="3"/>
      <c r="AT95" s="3"/>
      <c r="AU95" s="8"/>
      <c r="AV95" s="8"/>
      <c r="AW95" s="3"/>
      <c r="AX95" s="3"/>
      <c r="AY95" s="3"/>
      <c r="AZ95" s="3"/>
      <c r="BA95" s="5"/>
      <c r="BB95" s="58"/>
      <c r="BC95" s="59"/>
      <c r="GP95" s="54"/>
      <c r="GQ95" s="54"/>
    </row>
    <row r="96" spans="1:199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4"/>
      <c r="X96" s="3"/>
      <c r="Y96" s="3"/>
      <c r="Z96" s="8"/>
      <c r="AA96" s="8"/>
      <c r="AB96" s="3"/>
      <c r="AC96" s="3"/>
      <c r="AD96" s="3"/>
      <c r="AE96" s="3"/>
      <c r="AF96" s="3"/>
      <c r="AG96" s="8"/>
      <c r="AH96" s="8"/>
      <c r="AI96" s="3"/>
      <c r="AJ96" s="3"/>
      <c r="AK96" s="3"/>
      <c r="AL96" s="3"/>
      <c r="AM96" s="3"/>
      <c r="AN96" s="8"/>
      <c r="AO96" s="8"/>
      <c r="AP96" s="3"/>
      <c r="AQ96" s="3"/>
      <c r="AR96" s="3"/>
      <c r="AS96" s="3"/>
      <c r="AT96" s="3"/>
      <c r="AU96" s="8"/>
      <c r="AV96" s="8"/>
      <c r="AW96" s="3"/>
      <c r="AX96" s="3"/>
      <c r="AY96" s="3"/>
      <c r="AZ96" s="3"/>
      <c r="BA96" s="5"/>
      <c r="BB96" s="59"/>
      <c r="BC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4"/>
      <c r="X97" s="3"/>
      <c r="Y97" s="3"/>
      <c r="Z97" s="8"/>
      <c r="AA97" s="8"/>
      <c r="AB97" s="3"/>
      <c r="AC97" s="3"/>
      <c r="AD97" s="3"/>
      <c r="AE97" s="3"/>
      <c r="AF97" s="3"/>
      <c r="AG97" s="8"/>
      <c r="AH97" s="8"/>
      <c r="AI97" s="3"/>
      <c r="AJ97" s="3"/>
      <c r="AK97" s="3"/>
      <c r="AL97" s="3"/>
      <c r="AM97" s="3"/>
      <c r="AN97" s="8"/>
      <c r="AO97" s="8"/>
      <c r="AP97" s="3"/>
      <c r="AQ97" s="3"/>
      <c r="AR97" s="3"/>
      <c r="AS97" s="3"/>
      <c r="AT97" s="3"/>
      <c r="AU97" s="8"/>
      <c r="AV97" s="8"/>
      <c r="AW97" s="3"/>
      <c r="AX97" s="3"/>
      <c r="AY97" s="3"/>
      <c r="AZ97" s="3"/>
      <c r="BA97" s="5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GP97" s="54"/>
      <c r="GQ97" s="54"/>
    </row>
    <row r="98" spans="1:199" ht="15" hidden="1" customHeight="1" x14ac:dyDescent="0.25">
      <c r="A98" s="97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4"/>
      <c r="X98" s="3"/>
      <c r="Y98" s="3"/>
      <c r="Z98" s="8"/>
      <c r="AA98" s="8"/>
      <c r="AB98" s="3"/>
      <c r="AC98" s="3"/>
      <c r="AD98" s="3"/>
      <c r="AE98" s="3"/>
      <c r="AF98" s="3"/>
      <c r="AG98" s="8"/>
      <c r="AH98" s="8"/>
      <c r="AI98" s="3"/>
      <c r="AJ98" s="3"/>
      <c r="AK98" s="3"/>
      <c r="AL98" s="3"/>
      <c r="AM98" s="3"/>
      <c r="AN98" s="8"/>
      <c r="AO98" s="8"/>
      <c r="AP98" s="3"/>
      <c r="AQ98" s="3"/>
      <c r="AR98" s="3"/>
      <c r="AS98" s="3"/>
      <c r="AT98" s="3"/>
      <c r="AU98" s="8"/>
      <c r="AV98" s="8"/>
      <c r="AW98" s="3"/>
      <c r="AX98" s="3"/>
      <c r="AY98" s="3"/>
      <c r="AZ98" s="3"/>
      <c r="BA98" s="5"/>
      <c r="BB98" s="106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4"/>
      <c r="X99" s="3"/>
      <c r="Y99" s="3"/>
      <c r="Z99" s="8"/>
      <c r="AA99" s="8"/>
      <c r="AB99" s="3"/>
      <c r="AC99" s="3"/>
      <c r="AD99" s="3"/>
      <c r="AE99" s="3"/>
      <c r="AF99" s="3"/>
      <c r="AG99" s="8"/>
      <c r="AH99" s="8"/>
      <c r="AI99" s="3"/>
      <c r="AJ99" s="3"/>
      <c r="AK99" s="3"/>
      <c r="AL99" s="3"/>
      <c r="AM99" s="3"/>
      <c r="AN99" s="8"/>
      <c r="AO99" s="8"/>
      <c r="AP99" s="3"/>
      <c r="AQ99" s="3"/>
      <c r="AR99" s="3"/>
      <c r="AS99" s="3"/>
      <c r="AT99" s="3"/>
      <c r="AU99" s="8"/>
      <c r="AV99" s="8"/>
      <c r="AW99" s="3"/>
      <c r="AX99" s="3"/>
      <c r="AY99" s="3"/>
      <c r="AZ99" s="3"/>
      <c r="BA99" s="5"/>
      <c r="BB99" s="59"/>
      <c r="BC99" s="59"/>
      <c r="GP99" s="54"/>
      <c r="GQ99" s="54"/>
    </row>
    <row r="100" spans="1:199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4"/>
      <c r="X100" s="3"/>
      <c r="Y100" s="3"/>
      <c r="Z100" s="8"/>
      <c r="AA100" s="8"/>
      <c r="AB100" s="3"/>
      <c r="AC100" s="3"/>
      <c r="AD100" s="3"/>
      <c r="AE100" s="3"/>
      <c r="AF100" s="3"/>
      <c r="AG100" s="8"/>
      <c r="AH100" s="8"/>
      <c r="AI100" s="3"/>
      <c r="AJ100" s="3"/>
      <c r="AK100" s="3"/>
      <c r="AL100" s="3"/>
      <c r="AM100" s="3"/>
      <c r="AN100" s="8"/>
      <c r="AO100" s="8"/>
      <c r="AP100" s="3"/>
      <c r="AQ100" s="3"/>
      <c r="AR100" s="3"/>
      <c r="AS100" s="3"/>
      <c r="AT100" s="3"/>
      <c r="AU100" s="8"/>
      <c r="AV100" s="8"/>
      <c r="AW100" s="3"/>
      <c r="AX100" s="3"/>
      <c r="AY100" s="3"/>
      <c r="AZ100" s="3"/>
      <c r="BA100" s="5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2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4"/>
      <c r="X101" s="3"/>
      <c r="Y101" s="3"/>
      <c r="Z101" s="8"/>
      <c r="AA101" s="8"/>
      <c r="AB101" s="3"/>
      <c r="AC101" s="3"/>
      <c r="AD101" s="3"/>
      <c r="AE101" s="3"/>
      <c r="AF101" s="3"/>
      <c r="AG101" s="8"/>
      <c r="AH101" s="8"/>
      <c r="AI101" s="3"/>
      <c r="AJ101" s="3"/>
      <c r="AK101" s="3"/>
      <c r="AL101" s="3"/>
      <c r="AM101" s="3"/>
      <c r="AN101" s="8"/>
      <c r="AO101" s="8"/>
      <c r="AP101" s="3"/>
      <c r="AQ101" s="3"/>
      <c r="AR101" s="3"/>
      <c r="AS101" s="3"/>
      <c r="AT101" s="3"/>
      <c r="AU101" s="8"/>
      <c r="AV101" s="8"/>
      <c r="AW101" s="3"/>
      <c r="AX101" s="3"/>
      <c r="AY101" s="3"/>
      <c r="AZ101" s="3"/>
      <c r="BA101" s="5"/>
      <c r="BB101" s="59"/>
      <c r="BC101" s="59"/>
      <c r="GP101" s="54"/>
      <c r="GQ101" s="54"/>
    </row>
    <row r="102" spans="1:199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4"/>
      <c r="X102" s="3"/>
      <c r="Y102" s="3"/>
      <c r="Z102" s="8"/>
      <c r="AA102" s="8"/>
      <c r="AB102" s="3"/>
      <c r="AC102" s="3"/>
      <c r="AD102" s="3"/>
      <c r="AE102" s="3"/>
      <c r="AF102" s="3"/>
      <c r="AG102" s="8"/>
      <c r="AH102" s="8"/>
      <c r="AI102" s="3"/>
      <c r="AJ102" s="3"/>
      <c r="AK102" s="3"/>
      <c r="AL102" s="3"/>
      <c r="AM102" s="3"/>
      <c r="AN102" s="8"/>
      <c r="AO102" s="8"/>
      <c r="AP102" s="3"/>
      <c r="AQ102" s="3"/>
      <c r="AR102" s="3"/>
      <c r="AS102" s="3"/>
      <c r="AT102" s="3"/>
      <c r="AU102" s="8"/>
      <c r="AV102" s="8"/>
      <c r="AW102" s="3"/>
      <c r="AX102" s="3"/>
      <c r="AY102" s="3"/>
      <c r="AZ102" s="3"/>
      <c r="BA102" s="5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4"/>
      <c r="X103" s="3"/>
      <c r="Y103" s="3"/>
      <c r="Z103" s="8"/>
      <c r="AA103" s="8"/>
      <c r="AB103" s="3"/>
      <c r="AC103" s="3"/>
      <c r="AD103" s="3"/>
      <c r="AE103" s="3"/>
      <c r="AF103" s="3"/>
      <c r="AG103" s="8"/>
      <c r="AH103" s="8"/>
      <c r="AI103" s="3"/>
      <c r="AJ103" s="3"/>
      <c r="AK103" s="3"/>
      <c r="AL103" s="3"/>
      <c r="AM103" s="3"/>
      <c r="AN103" s="8"/>
      <c r="AO103" s="8"/>
      <c r="AP103" s="3"/>
      <c r="AQ103" s="3"/>
      <c r="AR103" s="3"/>
      <c r="AS103" s="3"/>
      <c r="AT103" s="3"/>
      <c r="AU103" s="8"/>
      <c r="AV103" s="8"/>
      <c r="AW103" s="3"/>
      <c r="AX103" s="3"/>
      <c r="AY103" s="3"/>
      <c r="AZ103" s="3"/>
      <c r="BA103" s="5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4"/>
      <c r="X104" s="3"/>
      <c r="Y104" s="3"/>
      <c r="Z104" s="8"/>
      <c r="AA104" s="8"/>
      <c r="AB104" s="3"/>
      <c r="AC104" s="3"/>
      <c r="AD104" s="3"/>
      <c r="AE104" s="3"/>
      <c r="AF104" s="3"/>
      <c r="AG104" s="8"/>
      <c r="AH104" s="8"/>
      <c r="AI104" s="3"/>
      <c r="AJ104" s="3"/>
      <c r="AK104" s="3"/>
      <c r="AL104" s="3"/>
      <c r="AM104" s="3"/>
      <c r="AN104" s="8"/>
      <c r="AO104" s="8"/>
      <c r="AP104" s="3"/>
      <c r="AQ104" s="3"/>
      <c r="AR104" s="3"/>
      <c r="AS104" s="3"/>
      <c r="AT104" s="3"/>
      <c r="AU104" s="8"/>
      <c r="AV104" s="8"/>
      <c r="AW104" s="3"/>
      <c r="AX104" s="3"/>
      <c r="AY104" s="3"/>
      <c r="AZ104" s="3"/>
      <c r="BA104" s="5"/>
      <c r="BB104" s="59"/>
      <c r="BC104" s="59"/>
      <c r="GP104" s="54"/>
      <c r="GQ104" s="54"/>
    </row>
    <row r="105" spans="1:199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4"/>
      <c r="X105" s="3"/>
      <c r="Y105" s="3"/>
      <c r="Z105" s="8"/>
      <c r="AA105" s="8"/>
      <c r="AB105" s="3"/>
      <c r="AC105" s="3"/>
      <c r="AD105" s="3"/>
      <c r="AE105" s="3"/>
      <c r="AF105" s="3"/>
      <c r="AG105" s="8"/>
      <c r="AH105" s="8"/>
      <c r="AI105" s="3"/>
      <c r="AJ105" s="3"/>
      <c r="AK105" s="3"/>
      <c r="AL105" s="3"/>
      <c r="AM105" s="3"/>
      <c r="AN105" s="8"/>
      <c r="AO105" s="8"/>
      <c r="AP105" s="3"/>
      <c r="AQ105" s="3"/>
      <c r="AR105" s="3"/>
      <c r="AS105" s="3"/>
      <c r="AT105" s="3"/>
      <c r="AU105" s="8"/>
      <c r="AV105" s="8"/>
      <c r="AW105" s="3"/>
      <c r="AX105" s="3"/>
      <c r="AY105" s="3"/>
      <c r="AZ105" s="3"/>
      <c r="BA105" s="5"/>
      <c r="BB105" s="59"/>
      <c r="BC105" s="59"/>
      <c r="GP105" s="54"/>
      <c r="GQ105" s="54"/>
    </row>
    <row r="106" spans="1:199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4"/>
      <c r="X106" s="3"/>
      <c r="Y106" s="3"/>
      <c r="Z106" s="8"/>
      <c r="AA106" s="8"/>
      <c r="AB106" s="3"/>
      <c r="AC106" s="3"/>
      <c r="AD106" s="3"/>
      <c r="AE106" s="3"/>
      <c r="AF106" s="3"/>
      <c r="AG106" s="8"/>
      <c r="AH106" s="8"/>
      <c r="AI106" s="3"/>
      <c r="AJ106" s="3"/>
      <c r="AK106" s="3"/>
      <c r="AL106" s="3"/>
      <c r="AM106" s="3"/>
      <c r="AN106" s="8"/>
      <c r="AO106" s="8"/>
      <c r="AP106" s="3"/>
      <c r="AQ106" s="3"/>
      <c r="AR106" s="3"/>
      <c r="AS106" s="3"/>
      <c r="AT106" s="3"/>
      <c r="AU106" s="8"/>
      <c r="AV106" s="8"/>
      <c r="AW106" s="3"/>
      <c r="AX106" s="3"/>
      <c r="AY106" s="3"/>
      <c r="AZ106" s="3"/>
      <c r="BA106" s="5"/>
      <c r="BB106" s="59"/>
      <c r="BC106" s="59"/>
      <c r="GP106" s="54"/>
      <c r="GQ106" s="54"/>
    </row>
    <row r="107" spans="1:199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4"/>
      <c r="X107" s="3"/>
      <c r="Y107" s="3"/>
      <c r="Z107" s="8"/>
      <c r="AA107" s="8"/>
      <c r="AB107" s="3"/>
      <c r="AC107" s="3"/>
      <c r="AD107" s="3"/>
      <c r="AE107" s="3"/>
      <c r="AF107" s="3"/>
      <c r="AG107" s="8"/>
      <c r="AH107" s="8"/>
      <c r="AI107" s="3"/>
      <c r="AJ107" s="3"/>
      <c r="AK107" s="3"/>
      <c r="AL107" s="3"/>
      <c r="AM107" s="3"/>
      <c r="AN107" s="8"/>
      <c r="AO107" s="8"/>
      <c r="AP107" s="3"/>
      <c r="AQ107" s="3"/>
      <c r="AR107" s="3"/>
      <c r="AS107" s="3"/>
      <c r="AT107" s="3"/>
      <c r="AU107" s="8"/>
      <c r="AV107" s="8"/>
      <c r="AW107" s="3"/>
      <c r="AX107" s="3"/>
      <c r="AY107" s="3"/>
      <c r="AZ107" s="3"/>
      <c r="BA107" s="5"/>
      <c r="BB107" s="59"/>
      <c r="BC107" s="59"/>
      <c r="GP107" s="54"/>
      <c r="GQ107" s="54"/>
    </row>
    <row r="108" spans="1:199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4"/>
      <c r="X108" s="3"/>
      <c r="Y108" s="3"/>
      <c r="Z108" s="8"/>
      <c r="AA108" s="8"/>
      <c r="AB108" s="3"/>
      <c r="AC108" s="3"/>
      <c r="AD108" s="3"/>
      <c r="AE108" s="3"/>
      <c r="AF108" s="3"/>
      <c r="AG108" s="8"/>
      <c r="AH108" s="8"/>
      <c r="AI108" s="3"/>
      <c r="AJ108" s="3"/>
      <c r="AK108" s="3"/>
      <c r="AL108" s="3"/>
      <c r="AM108" s="3"/>
      <c r="AN108" s="8"/>
      <c r="AO108" s="8"/>
      <c r="AP108" s="3"/>
      <c r="AQ108" s="3"/>
      <c r="AR108" s="3"/>
      <c r="AS108" s="3"/>
      <c r="AT108" s="3"/>
      <c r="AU108" s="8"/>
      <c r="AV108" s="8"/>
      <c r="AW108" s="3"/>
      <c r="AX108" s="3"/>
      <c r="AY108" s="3"/>
      <c r="AZ108" s="3"/>
      <c r="BA108" s="5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4"/>
      <c r="X109" s="3"/>
      <c r="Y109" s="3"/>
      <c r="Z109" s="8"/>
      <c r="AA109" s="8"/>
      <c r="AB109" s="3"/>
      <c r="AC109" s="3"/>
      <c r="AD109" s="3"/>
      <c r="AE109" s="3"/>
      <c r="AF109" s="3"/>
      <c r="AG109" s="8"/>
      <c r="AH109" s="8"/>
      <c r="AI109" s="3"/>
      <c r="AJ109" s="3"/>
      <c r="AK109" s="3"/>
      <c r="AL109" s="3"/>
      <c r="AM109" s="3"/>
      <c r="AN109" s="8"/>
      <c r="AO109" s="8"/>
      <c r="AP109" s="3"/>
      <c r="AQ109" s="3"/>
      <c r="AR109" s="3"/>
      <c r="AS109" s="3"/>
      <c r="AT109" s="3"/>
      <c r="AU109" s="8"/>
      <c r="AV109" s="8"/>
      <c r="AW109" s="3"/>
      <c r="AX109" s="3"/>
      <c r="AY109" s="3"/>
      <c r="AZ109" s="3"/>
      <c r="BA109" s="5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2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4"/>
      <c r="X110" s="3"/>
      <c r="Y110" s="3"/>
      <c r="Z110" s="8"/>
      <c r="AA110" s="8"/>
      <c r="AB110" s="3"/>
      <c r="AC110" s="3"/>
      <c r="AD110" s="3"/>
      <c r="AE110" s="3"/>
      <c r="AF110" s="3"/>
      <c r="AG110" s="8"/>
      <c r="AH110" s="8"/>
      <c r="AI110" s="3"/>
      <c r="AJ110" s="3"/>
      <c r="AK110" s="3"/>
      <c r="AL110" s="3"/>
      <c r="AM110" s="3"/>
      <c r="AN110" s="8"/>
      <c r="AO110" s="8"/>
      <c r="AP110" s="3"/>
      <c r="AQ110" s="3"/>
      <c r="AR110" s="3"/>
      <c r="AS110" s="3"/>
      <c r="AT110" s="3"/>
      <c r="AU110" s="8"/>
      <c r="AV110" s="8"/>
      <c r="AW110" s="3"/>
      <c r="AX110" s="3"/>
      <c r="AY110" s="3"/>
      <c r="AZ110" s="3"/>
      <c r="BA110" s="5"/>
      <c r="BB110" s="59"/>
      <c r="BC110" s="59"/>
      <c r="GP110" s="54"/>
      <c r="GQ110" s="54"/>
    </row>
    <row r="111" spans="1:199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4"/>
      <c r="X111" s="3"/>
      <c r="Y111" s="3"/>
      <c r="Z111" s="8"/>
      <c r="AA111" s="8"/>
      <c r="AB111" s="3"/>
      <c r="AC111" s="3"/>
      <c r="AD111" s="3"/>
      <c r="AE111" s="3"/>
      <c r="AF111" s="3"/>
      <c r="AG111" s="8"/>
      <c r="AH111" s="8"/>
      <c r="AI111" s="3"/>
      <c r="AJ111" s="3"/>
      <c r="AK111" s="3"/>
      <c r="AL111" s="3"/>
      <c r="AM111" s="3"/>
      <c r="AN111" s="8"/>
      <c r="AO111" s="8"/>
      <c r="AP111" s="3"/>
      <c r="AQ111" s="3"/>
      <c r="AR111" s="3"/>
      <c r="AS111" s="3"/>
      <c r="AT111" s="3"/>
      <c r="AU111" s="8"/>
      <c r="AV111" s="8"/>
      <c r="AW111" s="3"/>
      <c r="AX111" s="3"/>
      <c r="AY111" s="3"/>
      <c r="AZ111" s="3"/>
      <c r="BA111" s="5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23" priority="2" operator="lessThan">
      <formula>2</formula>
    </cfRule>
  </conditionalFormatting>
  <conditionalFormatting sqref="I12:I111">
    <cfRule type="cellIs" dxfId="22" priority="1" operator="lessThan">
      <formula>10</formula>
    </cfRule>
  </conditionalFormatting>
  <conditionalFormatting sqref="J12:J111">
    <cfRule type="cellIs" dxfId="21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6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4CAD67B3-5AFB-414A-9C87-E1FCD61BD0BD}">
            <xm:f>Jahresübersicht!$B$47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46235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Jahresübersicht!E16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136"/>
      <c r="X12" s="8"/>
      <c r="Y12" s="3"/>
      <c r="Z12" s="3"/>
      <c r="AA12" s="3"/>
      <c r="AB12" s="3"/>
      <c r="AC12" s="3"/>
      <c r="AD12" s="3"/>
      <c r="AE12" s="8"/>
      <c r="AF12" s="8"/>
      <c r="AG12" s="3"/>
      <c r="AH12" s="3"/>
      <c r="AI12" s="3"/>
      <c r="AJ12" s="3"/>
      <c r="AK12" s="8"/>
      <c r="AL12" s="8"/>
      <c r="AM12" s="3"/>
      <c r="AN12" s="3"/>
      <c r="AO12" s="3"/>
      <c r="AP12" s="3"/>
      <c r="AQ12" s="3"/>
      <c r="AR12" s="8"/>
      <c r="AS12" s="8"/>
      <c r="AT12" s="3"/>
      <c r="AU12" s="3"/>
      <c r="AV12" s="3"/>
      <c r="AW12" s="3"/>
      <c r="AX12" s="3"/>
      <c r="AY12" s="8"/>
      <c r="AZ12" s="127"/>
      <c r="BA12" s="5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9"/>
      <c r="X13" s="8"/>
      <c r="Y13" s="3"/>
      <c r="Z13" s="3"/>
      <c r="AA13" s="3"/>
      <c r="AB13" s="3"/>
      <c r="AC13" s="3"/>
      <c r="AD13" s="3"/>
      <c r="AE13" s="8"/>
      <c r="AF13" s="8"/>
      <c r="AG13" s="3"/>
      <c r="AH13" s="3"/>
      <c r="AI13" s="3"/>
      <c r="AJ13" s="3"/>
      <c r="AK13" s="8"/>
      <c r="AL13" s="8"/>
      <c r="AM13" s="3"/>
      <c r="AN13" s="3"/>
      <c r="AO13" s="3"/>
      <c r="AP13" s="3"/>
      <c r="AQ13" s="3"/>
      <c r="AR13" s="8"/>
      <c r="AS13" s="8"/>
      <c r="AT13" s="3"/>
      <c r="AU13" s="3"/>
      <c r="AV13" s="3"/>
      <c r="AW13" s="3"/>
      <c r="AX13" s="3"/>
      <c r="AY13" s="8"/>
      <c r="AZ13" s="127"/>
      <c r="BA13" s="5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9"/>
      <c r="X14" s="8"/>
      <c r="Y14" s="3"/>
      <c r="Z14" s="3"/>
      <c r="AA14" s="3"/>
      <c r="AB14" s="3"/>
      <c r="AC14" s="3"/>
      <c r="AD14" s="3"/>
      <c r="AE14" s="8"/>
      <c r="AF14" s="8"/>
      <c r="AG14" s="3"/>
      <c r="AH14" s="3"/>
      <c r="AI14" s="3"/>
      <c r="AJ14" s="3"/>
      <c r="AK14" s="8"/>
      <c r="AL14" s="8"/>
      <c r="AM14" s="3"/>
      <c r="AN14" s="3"/>
      <c r="AO14" s="3"/>
      <c r="AP14" s="3"/>
      <c r="AQ14" s="3"/>
      <c r="AR14" s="8"/>
      <c r="AS14" s="8"/>
      <c r="AT14" s="3"/>
      <c r="AU14" s="3"/>
      <c r="AV14" s="3"/>
      <c r="AW14" s="3"/>
      <c r="AX14" s="3"/>
      <c r="AY14" s="8"/>
      <c r="AZ14" s="127"/>
      <c r="BA14" s="5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9"/>
      <c r="X15" s="8"/>
      <c r="Y15" s="3"/>
      <c r="Z15" s="3"/>
      <c r="AA15" s="3"/>
      <c r="AB15" s="3"/>
      <c r="AC15" s="3"/>
      <c r="AD15" s="3"/>
      <c r="AE15" s="8"/>
      <c r="AF15" s="8"/>
      <c r="AG15" s="3"/>
      <c r="AH15" s="3"/>
      <c r="AI15" s="3"/>
      <c r="AJ15" s="3"/>
      <c r="AK15" s="8"/>
      <c r="AL15" s="8"/>
      <c r="AM15" s="3"/>
      <c r="AN15" s="3"/>
      <c r="AO15" s="3"/>
      <c r="AP15" s="3"/>
      <c r="AQ15" s="3"/>
      <c r="AR15" s="8"/>
      <c r="AS15" s="8"/>
      <c r="AT15" s="3"/>
      <c r="AU15" s="3"/>
      <c r="AV15" s="3"/>
      <c r="AW15" s="3"/>
      <c r="AX15" s="3"/>
      <c r="AY15" s="8"/>
      <c r="AZ15" s="127"/>
      <c r="BA15" s="5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9"/>
      <c r="X16" s="8"/>
      <c r="Y16" s="3"/>
      <c r="Z16" s="3"/>
      <c r="AA16" s="3"/>
      <c r="AB16" s="3"/>
      <c r="AC16" s="3"/>
      <c r="AD16" s="3"/>
      <c r="AE16" s="8"/>
      <c r="AF16" s="8"/>
      <c r="AG16" s="3"/>
      <c r="AH16" s="3"/>
      <c r="AI16" s="3"/>
      <c r="AJ16" s="3"/>
      <c r="AK16" s="8"/>
      <c r="AL16" s="8"/>
      <c r="AM16" s="3"/>
      <c r="AN16" s="3"/>
      <c r="AO16" s="3"/>
      <c r="AP16" s="3"/>
      <c r="AQ16" s="3"/>
      <c r="AR16" s="8"/>
      <c r="AS16" s="8"/>
      <c r="AT16" s="3"/>
      <c r="AU16" s="3"/>
      <c r="AV16" s="3"/>
      <c r="AW16" s="3"/>
      <c r="AX16" s="3"/>
      <c r="AY16" s="8"/>
      <c r="AZ16" s="127"/>
      <c r="BA16" s="5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9"/>
      <c r="X17" s="8"/>
      <c r="Y17" s="3"/>
      <c r="Z17" s="3"/>
      <c r="AA17" s="3"/>
      <c r="AB17" s="3"/>
      <c r="AC17" s="3"/>
      <c r="AD17" s="3"/>
      <c r="AE17" s="8"/>
      <c r="AF17" s="8"/>
      <c r="AG17" s="3"/>
      <c r="AH17" s="3"/>
      <c r="AI17" s="3"/>
      <c r="AJ17" s="3"/>
      <c r="AK17" s="8"/>
      <c r="AL17" s="8"/>
      <c r="AM17" s="3"/>
      <c r="AN17" s="3"/>
      <c r="AO17" s="3"/>
      <c r="AP17" s="3"/>
      <c r="AQ17" s="3"/>
      <c r="AR17" s="8"/>
      <c r="AS17" s="8"/>
      <c r="AT17" s="3"/>
      <c r="AU17" s="3"/>
      <c r="AV17" s="3"/>
      <c r="AW17" s="3"/>
      <c r="AX17" s="3"/>
      <c r="AY17" s="8"/>
      <c r="AZ17" s="127"/>
      <c r="BA17" s="5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9"/>
      <c r="X18" s="8"/>
      <c r="Y18" s="3"/>
      <c r="Z18" s="3"/>
      <c r="AA18" s="3"/>
      <c r="AB18" s="3"/>
      <c r="AC18" s="3"/>
      <c r="AD18" s="3"/>
      <c r="AE18" s="8"/>
      <c r="AF18" s="8"/>
      <c r="AG18" s="3"/>
      <c r="AH18" s="3"/>
      <c r="AI18" s="3"/>
      <c r="AJ18" s="3"/>
      <c r="AK18" s="8"/>
      <c r="AL18" s="8"/>
      <c r="AM18" s="3"/>
      <c r="AN18" s="3"/>
      <c r="AO18" s="3"/>
      <c r="AP18" s="3"/>
      <c r="AQ18" s="3"/>
      <c r="AR18" s="8"/>
      <c r="AS18" s="8"/>
      <c r="AT18" s="3"/>
      <c r="AU18" s="3"/>
      <c r="AV18" s="3"/>
      <c r="AW18" s="3"/>
      <c r="AX18" s="3"/>
      <c r="AY18" s="8"/>
      <c r="AZ18" s="127"/>
      <c r="BA18" s="5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97">
        <v>8</v>
      </c>
      <c r="B19" s="103"/>
      <c r="C19" s="104"/>
      <c r="D19" s="1"/>
      <c r="E19" s="105"/>
      <c r="F19" s="105"/>
      <c r="G19" s="100" t="str">
        <f t="shared" ref="G19:G78" si="7">IF(ISBLANK(E19),"",E19*10)</f>
        <v/>
      </c>
      <c r="H19" s="100" t="str">
        <f t="shared" ref="H19:H78" si="8">IF(ISBLANK(F19),"",F19*20)</f>
        <v/>
      </c>
      <c r="I19" s="101">
        <f t="shared" ref="I19:I78" si="9">SUM(G19,H19)</f>
        <v>0</v>
      </c>
      <c r="J19" s="100" t="str">
        <f t="shared" si="1"/>
        <v/>
      </c>
      <c r="K19" s="6" t="str">
        <f t="shared" ref="K19:K78" si="10">IF(M19=E19,"","X")</f>
        <v/>
      </c>
      <c r="L19" s="6" t="str">
        <f t="shared" ref="L19:L78" si="11">IF(N19=F19,"","X")</f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9"/>
      <c r="X19" s="8"/>
      <c r="Y19" s="3"/>
      <c r="Z19" s="3"/>
      <c r="AA19" s="3"/>
      <c r="AB19" s="3"/>
      <c r="AC19" s="3"/>
      <c r="AD19" s="3"/>
      <c r="AE19" s="8"/>
      <c r="AF19" s="8"/>
      <c r="AG19" s="3"/>
      <c r="AH19" s="3"/>
      <c r="AI19" s="3"/>
      <c r="AJ19" s="3"/>
      <c r="AK19" s="8"/>
      <c r="AL19" s="8"/>
      <c r="AM19" s="3"/>
      <c r="AN19" s="3"/>
      <c r="AO19" s="3"/>
      <c r="AP19" s="3"/>
      <c r="AQ19" s="3"/>
      <c r="AR19" s="8"/>
      <c r="AS19" s="8"/>
      <c r="AT19" s="3"/>
      <c r="AU19" s="3"/>
      <c r="AV19" s="3"/>
      <c r="AW19" s="3"/>
      <c r="AX19" s="3"/>
      <c r="AY19" s="8"/>
      <c r="AZ19" s="127"/>
      <c r="BA19" s="5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7"/>
        <v/>
      </c>
      <c r="H20" s="100" t="str">
        <f t="shared" si="8"/>
        <v/>
      </c>
      <c r="I20" s="101">
        <f t="shared" si="9"/>
        <v>0</v>
      </c>
      <c r="J20" s="100" t="str">
        <f t="shared" si="1"/>
        <v/>
      </c>
      <c r="K20" s="6" t="str">
        <f t="shared" si="10"/>
        <v/>
      </c>
      <c r="L20" s="6" t="str">
        <f t="shared" si="11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9"/>
      <c r="X20" s="8"/>
      <c r="Y20" s="3"/>
      <c r="Z20" s="3"/>
      <c r="AA20" s="3"/>
      <c r="AB20" s="3"/>
      <c r="AC20" s="3"/>
      <c r="AD20" s="3"/>
      <c r="AE20" s="8"/>
      <c r="AF20" s="8"/>
      <c r="AG20" s="3"/>
      <c r="AH20" s="3"/>
      <c r="AI20" s="3"/>
      <c r="AJ20" s="3"/>
      <c r="AK20" s="8"/>
      <c r="AL20" s="8"/>
      <c r="AM20" s="3"/>
      <c r="AN20" s="3"/>
      <c r="AO20" s="3"/>
      <c r="AP20" s="3"/>
      <c r="AQ20" s="3"/>
      <c r="AR20" s="8"/>
      <c r="AS20" s="8"/>
      <c r="AT20" s="3"/>
      <c r="AU20" s="3"/>
      <c r="AV20" s="3"/>
      <c r="AW20" s="3"/>
      <c r="AX20" s="3"/>
      <c r="AY20" s="8"/>
      <c r="AZ20" s="127"/>
      <c r="BA20" s="5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7"/>
        <v/>
      </c>
      <c r="H21" s="100" t="str">
        <f t="shared" si="8"/>
        <v/>
      </c>
      <c r="I21" s="101">
        <f t="shared" si="9"/>
        <v>0</v>
      </c>
      <c r="J21" s="100" t="str">
        <f t="shared" si="1"/>
        <v/>
      </c>
      <c r="K21" s="6" t="str">
        <f t="shared" si="10"/>
        <v/>
      </c>
      <c r="L21" s="6" t="str">
        <f t="shared" si="11"/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9"/>
      <c r="X21" s="8"/>
      <c r="Y21" s="3"/>
      <c r="Z21" s="3"/>
      <c r="AA21" s="3"/>
      <c r="AB21" s="3"/>
      <c r="AC21" s="3"/>
      <c r="AD21" s="3"/>
      <c r="AE21" s="8"/>
      <c r="AF21" s="8"/>
      <c r="AG21" s="3"/>
      <c r="AH21" s="3"/>
      <c r="AI21" s="3"/>
      <c r="AJ21" s="3"/>
      <c r="AK21" s="8"/>
      <c r="AL21" s="8"/>
      <c r="AM21" s="3"/>
      <c r="AN21" s="3"/>
      <c r="AO21" s="3"/>
      <c r="AP21" s="3"/>
      <c r="AQ21" s="3"/>
      <c r="AR21" s="8"/>
      <c r="AS21" s="8"/>
      <c r="AT21" s="3"/>
      <c r="AU21" s="3"/>
      <c r="AV21" s="3"/>
      <c r="AW21" s="3"/>
      <c r="AX21" s="3"/>
      <c r="AY21" s="8"/>
      <c r="AZ21" s="127"/>
      <c r="BA21" s="5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9"/>
      <c r="X22" s="8"/>
      <c r="Y22" s="3"/>
      <c r="Z22" s="3"/>
      <c r="AA22" s="3"/>
      <c r="AB22" s="3"/>
      <c r="AC22" s="3"/>
      <c r="AD22" s="3"/>
      <c r="AE22" s="8"/>
      <c r="AF22" s="8"/>
      <c r="AG22" s="3"/>
      <c r="AH22" s="3"/>
      <c r="AI22" s="3"/>
      <c r="AJ22" s="3"/>
      <c r="AK22" s="8"/>
      <c r="AL22" s="8"/>
      <c r="AM22" s="3"/>
      <c r="AN22" s="3"/>
      <c r="AO22" s="3"/>
      <c r="AP22" s="3"/>
      <c r="AQ22" s="3"/>
      <c r="AR22" s="8"/>
      <c r="AS22" s="8"/>
      <c r="AT22" s="3"/>
      <c r="AU22" s="3"/>
      <c r="AV22" s="3"/>
      <c r="AW22" s="3"/>
      <c r="AX22" s="3"/>
      <c r="AY22" s="8"/>
      <c r="AZ22" s="127"/>
      <c r="BA22" s="5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9"/>
      <c r="X23" s="8"/>
      <c r="Y23" s="3"/>
      <c r="Z23" s="3"/>
      <c r="AA23" s="3"/>
      <c r="AB23" s="3"/>
      <c r="AC23" s="3"/>
      <c r="AD23" s="3"/>
      <c r="AE23" s="8"/>
      <c r="AF23" s="8"/>
      <c r="AG23" s="3"/>
      <c r="AH23" s="3"/>
      <c r="AI23" s="3"/>
      <c r="AJ23" s="3"/>
      <c r="AK23" s="8"/>
      <c r="AL23" s="8"/>
      <c r="AM23" s="3"/>
      <c r="AN23" s="3"/>
      <c r="AO23" s="3"/>
      <c r="AP23" s="3"/>
      <c r="AQ23" s="3"/>
      <c r="AR23" s="8"/>
      <c r="AS23" s="8"/>
      <c r="AT23" s="3"/>
      <c r="AU23" s="3"/>
      <c r="AV23" s="3"/>
      <c r="AW23" s="3"/>
      <c r="AX23" s="3"/>
      <c r="AY23" s="8"/>
      <c r="AZ23" s="127"/>
      <c r="BA23" s="5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97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9"/>
      <c r="X24" s="8"/>
      <c r="Y24" s="3"/>
      <c r="Z24" s="3"/>
      <c r="AA24" s="3"/>
      <c r="AB24" s="3"/>
      <c r="AC24" s="3"/>
      <c r="AD24" s="3"/>
      <c r="AE24" s="8"/>
      <c r="AF24" s="8"/>
      <c r="AG24" s="3"/>
      <c r="AH24" s="3"/>
      <c r="AI24" s="3"/>
      <c r="AJ24" s="3"/>
      <c r="AK24" s="8"/>
      <c r="AL24" s="8"/>
      <c r="AM24" s="3"/>
      <c r="AN24" s="3"/>
      <c r="AO24" s="3"/>
      <c r="AP24" s="3"/>
      <c r="AQ24" s="3"/>
      <c r="AR24" s="8"/>
      <c r="AS24" s="8"/>
      <c r="AT24" s="3"/>
      <c r="AU24" s="3"/>
      <c r="AV24" s="3"/>
      <c r="AW24" s="3"/>
      <c r="AX24" s="3"/>
      <c r="AY24" s="8"/>
      <c r="AZ24" s="127"/>
      <c r="BA24" s="5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9"/>
      <c r="X25" s="8"/>
      <c r="Y25" s="3"/>
      <c r="Z25" s="3"/>
      <c r="AA25" s="3"/>
      <c r="AB25" s="3"/>
      <c r="AC25" s="3"/>
      <c r="AD25" s="3"/>
      <c r="AE25" s="8"/>
      <c r="AF25" s="8"/>
      <c r="AG25" s="3"/>
      <c r="AH25" s="3"/>
      <c r="AI25" s="3"/>
      <c r="AJ25" s="3"/>
      <c r="AK25" s="8"/>
      <c r="AL25" s="8"/>
      <c r="AM25" s="3"/>
      <c r="AN25" s="3"/>
      <c r="AO25" s="3"/>
      <c r="AP25" s="3"/>
      <c r="AQ25" s="3"/>
      <c r="AR25" s="8"/>
      <c r="AS25" s="8"/>
      <c r="AT25" s="3"/>
      <c r="AU25" s="3"/>
      <c r="AV25" s="3"/>
      <c r="AW25" s="3"/>
      <c r="AX25" s="3"/>
      <c r="AY25" s="8"/>
      <c r="AZ25" s="127"/>
      <c r="BA25" s="5"/>
      <c r="BB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9"/>
      <c r="X26" s="8"/>
      <c r="Y26" s="3"/>
      <c r="Z26" s="3"/>
      <c r="AA26" s="3"/>
      <c r="AB26" s="3"/>
      <c r="AC26" s="3"/>
      <c r="AD26" s="3"/>
      <c r="AE26" s="8"/>
      <c r="AF26" s="8"/>
      <c r="AG26" s="3"/>
      <c r="AH26" s="3"/>
      <c r="AI26" s="3"/>
      <c r="AJ26" s="3"/>
      <c r="AK26" s="8"/>
      <c r="AL26" s="8"/>
      <c r="AM26" s="3"/>
      <c r="AN26" s="3"/>
      <c r="AO26" s="3"/>
      <c r="AP26" s="3"/>
      <c r="AQ26" s="3"/>
      <c r="AR26" s="8"/>
      <c r="AS26" s="8"/>
      <c r="AT26" s="3"/>
      <c r="AU26" s="3"/>
      <c r="AV26" s="3"/>
      <c r="AW26" s="3"/>
      <c r="AX26" s="3"/>
      <c r="AY26" s="8"/>
      <c r="AZ26" s="127"/>
      <c r="BA26" s="5"/>
      <c r="BB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9"/>
      <c r="X27" s="8"/>
      <c r="Y27" s="3"/>
      <c r="Z27" s="3"/>
      <c r="AA27" s="3"/>
      <c r="AB27" s="3"/>
      <c r="AC27" s="3"/>
      <c r="AD27" s="3"/>
      <c r="AE27" s="8"/>
      <c r="AF27" s="8"/>
      <c r="AG27" s="3"/>
      <c r="AH27" s="3"/>
      <c r="AI27" s="3"/>
      <c r="AJ27" s="3"/>
      <c r="AK27" s="8"/>
      <c r="AL27" s="8"/>
      <c r="AM27" s="3"/>
      <c r="AN27" s="3"/>
      <c r="AO27" s="3"/>
      <c r="AP27" s="3"/>
      <c r="AQ27" s="3"/>
      <c r="AR27" s="8"/>
      <c r="AS27" s="8"/>
      <c r="AT27" s="3"/>
      <c r="AU27" s="3"/>
      <c r="AV27" s="3"/>
      <c r="AW27" s="3"/>
      <c r="AX27" s="3"/>
      <c r="AY27" s="8"/>
      <c r="AZ27" s="127"/>
      <c r="BA27" s="5"/>
      <c r="BB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9"/>
      <c r="X28" s="8"/>
      <c r="Y28" s="3"/>
      <c r="Z28" s="3"/>
      <c r="AA28" s="3"/>
      <c r="AB28" s="3"/>
      <c r="AC28" s="3"/>
      <c r="AD28" s="3"/>
      <c r="AE28" s="8"/>
      <c r="AF28" s="8"/>
      <c r="AG28" s="3"/>
      <c r="AH28" s="3"/>
      <c r="AI28" s="3"/>
      <c r="AJ28" s="3"/>
      <c r="AK28" s="8"/>
      <c r="AL28" s="8"/>
      <c r="AM28" s="3"/>
      <c r="AN28" s="3"/>
      <c r="AO28" s="3"/>
      <c r="AP28" s="3"/>
      <c r="AQ28" s="3"/>
      <c r="AR28" s="8"/>
      <c r="AS28" s="8"/>
      <c r="AT28" s="3"/>
      <c r="AU28" s="3"/>
      <c r="AV28" s="3"/>
      <c r="AW28" s="3"/>
      <c r="AX28" s="3"/>
      <c r="AY28" s="8"/>
      <c r="AZ28" s="127"/>
      <c r="BA28" s="5"/>
      <c r="BB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9"/>
      <c r="X29" s="8"/>
      <c r="Y29" s="3"/>
      <c r="Z29" s="3"/>
      <c r="AA29" s="3"/>
      <c r="AB29" s="3"/>
      <c r="AC29" s="3"/>
      <c r="AD29" s="3"/>
      <c r="AE29" s="8"/>
      <c r="AF29" s="8"/>
      <c r="AG29" s="3"/>
      <c r="AH29" s="3"/>
      <c r="AI29" s="3"/>
      <c r="AJ29" s="3"/>
      <c r="AK29" s="8"/>
      <c r="AL29" s="8"/>
      <c r="AM29" s="3"/>
      <c r="AN29" s="3"/>
      <c r="AO29" s="3"/>
      <c r="AP29" s="3"/>
      <c r="AQ29" s="3"/>
      <c r="AR29" s="8"/>
      <c r="AS29" s="8"/>
      <c r="AT29" s="3"/>
      <c r="AU29" s="3"/>
      <c r="AV29" s="3"/>
      <c r="AW29" s="3"/>
      <c r="AX29" s="3"/>
      <c r="AY29" s="8"/>
      <c r="AZ29" s="127"/>
      <c r="BA29" s="5"/>
      <c r="BB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9"/>
      <c r="X30" s="8"/>
      <c r="Y30" s="3"/>
      <c r="Z30" s="3"/>
      <c r="AA30" s="3"/>
      <c r="AB30" s="3"/>
      <c r="AC30" s="3"/>
      <c r="AD30" s="3"/>
      <c r="AE30" s="8"/>
      <c r="AF30" s="8"/>
      <c r="AG30" s="3"/>
      <c r="AH30" s="3"/>
      <c r="AI30" s="3"/>
      <c r="AJ30" s="3"/>
      <c r="AK30" s="8"/>
      <c r="AL30" s="8"/>
      <c r="AM30" s="3"/>
      <c r="AN30" s="3"/>
      <c r="AO30" s="3"/>
      <c r="AP30" s="3"/>
      <c r="AQ30" s="3"/>
      <c r="AR30" s="8"/>
      <c r="AS30" s="8"/>
      <c r="AT30" s="3"/>
      <c r="AU30" s="3"/>
      <c r="AV30" s="3"/>
      <c r="AW30" s="3"/>
      <c r="AX30" s="3"/>
      <c r="AY30" s="8"/>
      <c r="AZ30" s="127"/>
      <c r="BA30" s="5"/>
      <c r="BB30" s="58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97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9"/>
      <c r="X31" s="8"/>
      <c r="Y31" s="3"/>
      <c r="Z31" s="3"/>
      <c r="AA31" s="3"/>
      <c r="AB31" s="3"/>
      <c r="AC31" s="3"/>
      <c r="AD31" s="3"/>
      <c r="AE31" s="8"/>
      <c r="AF31" s="8"/>
      <c r="AG31" s="3"/>
      <c r="AH31" s="3"/>
      <c r="AI31" s="3"/>
      <c r="AJ31" s="3"/>
      <c r="AK31" s="8"/>
      <c r="AL31" s="8"/>
      <c r="AM31" s="3"/>
      <c r="AN31" s="3"/>
      <c r="AO31" s="3"/>
      <c r="AP31" s="3"/>
      <c r="AQ31" s="3"/>
      <c r="AR31" s="8"/>
      <c r="AS31" s="8"/>
      <c r="AT31" s="3"/>
      <c r="AU31" s="3"/>
      <c r="AV31" s="3"/>
      <c r="AW31" s="3"/>
      <c r="AX31" s="3"/>
      <c r="AY31" s="8"/>
      <c r="AZ31" s="127"/>
      <c r="BA31" s="5"/>
      <c r="BB31" s="58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9"/>
      <c r="X32" s="8"/>
      <c r="Y32" s="3"/>
      <c r="Z32" s="3"/>
      <c r="AA32" s="3"/>
      <c r="AB32" s="3"/>
      <c r="AC32" s="3"/>
      <c r="AD32" s="3"/>
      <c r="AE32" s="8"/>
      <c r="AF32" s="8"/>
      <c r="AG32" s="3"/>
      <c r="AH32" s="3"/>
      <c r="AI32" s="3"/>
      <c r="AJ32" s="3"/>
      <c r="AK32" s="8"/>
      <c r="AL32" s="8"/>
      <c r="AM32" s="3"/>
      <c r="AN32" s="3"/>
      <c r="AO32" s="3"/>
      <c r="AP32" s="3"/>
      <c r="AQ32" s="3"/>
      <c r="AR32" s="8"/>
      <c r="AS32" s="8"/>
      <c r="AT32" s="3"/>
      <c r="AU32" s="3"/>
      <c r="AV32" s="3"/>
      <c r="AW32" s="3"/>
      <c r="AX32" s="3"/>
      <c r="AY32" s="8"/>
      <c r="AZ32" s="127"/>
      <c r="BA32" s="5"/>
      <c r="BB32" s="58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97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9"/>
      <c r="X33" s="8"/>
      <c r="Y33" s="3"/>
      <c r="Z33" s="3"/>
      <c r="AA33" s="3"/>
      <c r="AB33" s="3"/>
      <c r="AC33" s="3"/>
      <c r="AD33" s="3"/>
      <c r="AE33" s="8"/>
      <c r="AF33" s="8"/>
      <c r="AG33" s="3"/>
      <c r="AH33" s="3"/>
      <c r="AI33" s="3"/>
      <c r="AJ33" s="3"/>
      <c r="AK33" s="8"/>
      <c r="AL33" s="8"/>
      <c r="AM33" s="3"/>
      <c r="AN33" s="3"/>
      <c r="AO33" s="3"/>
      <c r="AP33" s="3"/>
      <c r="AQ33" s="3"/>
      <c r="AR33" s="8"/>
      <c r="AS33" s="8"/>
      <c r="AT33" s="3"/>
      <c r="AU33" s="3"/>
      <c r="AV33" s="3"/>
      <c r="AW33" s="3"/>
      <c r="AX33" s="3"/>
      <c r="AY33" s="8"/>
      <c r="AZ33" s="127"/>
      <c r="BA33" s="5"/>
      <c r="BB33" s="58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9"/>
      <c r="X34" s="8"/>
      <c r="Y34" s="3"/>
      <c r="Z34" s="3"/>
      <c r="AA34" s="3"/>
      <c r="AB34" s="3"/>
      <c r="AC34" s="3"/>
      <c r="AD34" s="3"/>
      <c r="AE34" s="8"/>
      <c r="AF34" s="8"/>
      <c r="AG34" s="3"/>
      <c r="AH34" s="3"/>
      <c r="AI34" s="3"/>
      <c r="AJ34" s="3"/>
      <c r="AK34" s="8"/>
      <c r="AL34" s="8"/>
      <c r="AM34" s="3"/>
      <c r="AN34" s="3"/>
      <c r="AO34" s="3"/>
      <c r="AP34" s="3"/>
      <c r="AQ34" s="3"/>
      <c r="AR34" s="8"/>
      <c r="AS34" s="8"/>
      <c r="AT34" s="3"/>
      <c r="AU34" s="3"/>
      <c r="AV34" s="3"/>
      <c r="AW34" s="3"/>
      <c r="AX34" s="3"/>
      <c r="AY34" s="8"/>
      <c r="AZ34" s="127"/>
      <c r="BA34" s="5"/>
      <c r="BB34" s="58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9"/>
      <c r="X35" s="8"/>
      <c r="Y35" s="3"/>
      <c r="Z35" s="3"/>
      <c r="AA35" s="3"/>
      <c r="AB35" s="3"/>
      <c r="AC35" s="3"/>
      <c r="AD35" s="3"/>
      <c r="AE35" s="8"/>
      <c r="AF35" s="8"/>
      <c r="AG35" s="3"/>
      <c r="AH35" s="3"/>
      <c r="AI35" s="3"/>
      <c r="AJ35" s="3"/>
      <c r="AK35" s="8"/>
      <c r="AL35" s="8"/>
      <c r="AM35" s="3"/>
      <c r="AN35" s="3"/>
      <c r="AO35" s="3"/>
      <c r="AP35" s="3"/>
      <c r="AQ35" s="3"/>
      <c r="AR35" s="8"/>
      <c r="AS35" s="8"/>
      <c r="AT35" s="3"/>
      <c r="AU35" s="3"/>
      <c r="AV35" s="3"/>
      <c r="AW35" s="3"/>
      <c r="AX35" s="3"/>
      <c r="AY35" s="8"/>
      <c r="AZ35" s="127"/>
      <c r="BA35" s="5"/>
      <c r="BB35" s="58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9"/>
      <c r="X36" s="8"/>
      <c r="Y36" s="3"/>
      <c r="Z36" s="3"/>
      <c r="AA36" s="3"/>
      <c r="AB36" s="3"/>
      <c r="AC36" s="3"/>
      <c r="AD36" s="3"/>
      <c r="AE36" s="8"/>
      <c r="AF36" s="8"/>
      <c r="AG36" s="3"/>
      <c r="AH36" s="3"/>
      <c r="AI36" s="3"/>
      <c r="AJ36" s="3"/>
      <c r="AK36" s="8"/>
      <c r="AL36" s="8"/>
      <c r="AM36" s="3"/>
      <c r="AN36" s="3"/>
      <c r="AO36" s="3"/>
      <c r="AP36" s="3"/>
      <c r="AQ36" s="3"/>
      <c r="AR36" s="8"/>
      <c r="AS36" s="8"/>
      <c r="AT36" s="3"/>
      <c r="AU36" s="3"/>
      <c r="AV36" s="3"/>
      <c r="AW36" s="3"/>
      <c r="AX36" s="3"/>
      <c r="AY36" s="8"/>
      <c r="AZ36" s="127"/>
      <c r="BA36" s="5"/>
      <c r="BB36" s="58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9"/>
      <c r="X37" s="8"/>
      <c r="Y37" s="3"/>
      <c r="Z37" s="3"/>
      <c r="AA37" s="3"/>
      <c r="AB37" s="3"/>
      <c r="AC37" s="3"/>
      <c r="AD37" s="3"/>
      <c r="AE37" s="8"/>
      <c r="AF37" s="8"/>
      <c r="AG37" s="3"/>
      <c r="AH37" s="3"/>
      <c r="AI37" s="3"/>
      <c r="AJ37" s="3"/>
      <c r="AK37" s="8"/>
      <c r="AL37" s="8"/>
      <c r="AM37" s="3"/>
      <c r="AN37" s="3"/>
      <c r="AO37" s="3"/>
      <c r="AP37" s="3"/>
      <c r="AQ37" s="3"/>
      <c r="AR37" s="8"/>
      <c r="AS37" s="8"/>
      <c r="AT37" s="3"/>
      <c r="AU37" s="3"/>
      <c r="AV37" s="3"/>
      <c r="AW37" s="3"/>
      <c r="AX37" s="3"/>
      <c r="AY37" s="8"/>
      <c r="AZ37" s="127"/>
      <c r="BA37" s="5"/>
      <c r="BB37" s="58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97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9"/>
      <c r="X38" s="8"/>
      <c r="Y38" s="3"/>
      <c r="Z38" s="3"/>
      <c r="AA38" s="3"/>
      <c r="AB38" s="3"/>
      <c r="AC38" s="3"/>
      <c r="AD38" s="3"/>
      <c r="AE38" s="8"/>
      <c r="AF38" s="8"/>
      <c r="AG38" s="3"/>
      <c r="AH38" s="3"/>
      <c r="AI38" s="3"/>
      <c r="AJ38" s="3"/>
      <c r="AK38" s="8"/>
      <c r="AL38" s="8"/>
      <c r="AM38" s="3"/>
      <c r="AN38" s="3"/>
      <c r="AO38" s="3"/>
      <c r="AP38" s="3"/>
      <c r="AQ38" s="3"/>
      <c r="AR38" s="8"/>
      <c r="AS38" s="8"/>
      <c r="AT38" s="3"/>
      <c r="AU38" s="3"/>
      <c r="AV38" s="3"/>
      <c r="AW38" s="3"/>
      <c r="AX38" s="3"/>
      <c r="AY38" s="8"/>
      <c r="AZ38" s="127"/>
      <c r="BA38" s="5"/>
      <c r="BB38" s="58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9"/>
      <c r="X39" s="8"/>
      <c r="Y39" s="3"/>
      <c r="Z39" s="3"/>
      <c r="AA39" s="3"/>
      <c r="AB39" s="3"/>
      <c r="AC39" s="3"/>
      <c r="AD39" s="3"/>
      <c r="AE39" s="8"/>
      <c r="AF39" s="8"/>
      <c r="AG39" s="3"/>
      <c r="AH39" s="3"/>
      <c r="AI39" s="3"/>
      <c r="AJ39" s="3"/>
      <c r="AK39" s="8"/>
      <c r="AL39" s="8"/>
      <c r="AM39" s="3"/>
      <c r="AN39" s="3"/>
      <c r="AO39" s="3"/>
      <c r="AP39" s="3"/>
      <c r="AQ39" s="3"/>
      <c r="AR39" s="8"/>
      <c r="AS39" s="8"/>
      <c r="AT39" s="3"/>
      <c r="AU39" s="3"/>
      <c r="AV39" s="3"/>
      <c r="AW39" s="3"/>
      <c r="AX39" s="3"/>
      <c r="AY39" s="8"/>
      <c r="AZ39" s="127"/>
      <c r="BA39" s="5"/>
      <c r="BB39" s="58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97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9"/>
      <c r="X40" s="8"/>
      <c r="Y40" s="3"/>
      <c r="Z40" s="3"/>
      <c r="AA40" s="3"/>
      <c r="AB40" s="3"/>
      <c r="AC40" s="3"/>
      <c r="AD40" s="3"/>
      <c r="AE40" s="8"/>
      <c r="AF40" s="8"/>
      <c r="AG40" s="3"/>
      <c r="AH40" s="3"/>
      <c r="AI40" s="3"/>
      <c r="AJ40" s="3"/>
      <c r="AK40" s="8"/>
      <c r="AL40" s="8"/>
      <c r="AM40" s="3"/>
      <c r="AN40" s="3"/>
      <c r="AO40" s="3"/>
      <c r="AP40" s="3"/>
      <c r="AQ40" s="3"/>
      <c r="AR40" s="8"/>
      <c r="AS40" s="8"/>
      <c r="AT40" s="3"/>
      <c r="AU40" s="3"/>
      <c r="AV40" s="3"/>
      <c r="AW40" s="3"/>
      <c r="AX40" s="3"/>
      <c r="AY40" s="8"/>
      <c r="AZ40" s="127"/>
      <c r="BA40" s="5"/>
      <c r="BB40" s="58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9"/>
      <c r="X41" s="8"/>
      <c r="Y41" s="3"/>
      <c r="Z41" s="3"/>
      <c r="AA41" s="3"/>
      <c r="AB41" s="3"/>
      <c r="AC41" s="3"/>
      <c r="AD41" s="3"/>
      <c r="AE41" s="8"/>
      <c r="AF41" s="8"/>
      <c r="AG41" s="3"/>
      <c r="AH41" s="3"/>
      <c r="AI41" s="3"/>
      <c r="AJ41" s="3"/>
      <c r="AK41" s="8"/>
      <c r="AL41" s="8"/>
      <c r="AM41" s="3"/>
      <c r="AN41" s="3"/>
      <c r="AO41" s="3"/>
      <c r="AP41" s="3"/>
      <c r="AQ41" s="3"/>
      <c r="AR41" s="8"/>
      <c r="AS41" s="8"/>
      <c r="AT41" s="3"/>
      <c r="AU41" s="3"/>
      <c r="AV41" s="3"/>
      <c r="AW41" s="3"/>
      <c r="AX41" s="3"/>
      <c r="AY41" s="8"/>
      <c r="AZ41" s="127"/>
      <c r="BA41" s="5"/>
      <c r="BB41" s="58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9"/>
      <c r="X42" s="8"/>
      <c r="Y42" s="3"/>
      <c r="Z42" s="3"/>
      <c r="AA42" s="3"/>
      <c r="AB42" s="3"/>
      <c r="AC42" s="3"/>
      <c r="AD42" s="3"/>
      <c r="AE42" s="8"/>
      <c r="AF42" s="8"/>
      <c r="AG42" s="3"/>
      <c r="AH42" s="3"/>
      <c r="AI42" s="3"/>
      <c r="AJ42" s="3"/>
      <c r="AK42" s="8"/>
      <c r="AL42" s="8"/>
      <c r="AM42" s="3"/>
      <c r="AN42" s="3"/>
      <c r="AO42" s="3"/>
      <c r="AP42" s="3"/>
      <c r="AQ42" s="3"/>
      <c r="AR42" s="8"/>
      <c r="AS42" s="8"/>
      <c r="AT42" s="3"/>
      <c r="AU42" s="3"/>
      <c r="AV42" s="3"/>
      <c r="AW42" s="3"/>
      <c r="AX42" s="3"/>
      <c r="AY42" s="8"/>
      <c r="AZ42" s="127"/>
      <c r="BA42" s="5"/>
      <c r="BB42" s="58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9"/>
      <c r="X43" s="8"/>
      <c r="Y43" s="3"/>
      <c r="Z43" s="3"/>
      <c r="AA43" s="3"/>
      <c r="AB43" s="3"/>
      <c r="AC43" s="3"/>
      <c r="AD43" s="3"/>
      <c r="AE43" s="8"/>
      <c r="AF43" s="8"/>
      <c r="AG43" s="3"/>
      <c r="AH43" s="3"/>
      <c r="AI43" s="3"/>
      <c r="AJ43" s="3"/>
      <c r="AK43" s="8"/>
      <c r="AL43" s="8"/>
      <c r="AM43" s="3"/>
      <c r="AN43" s="3"/>
      <c r="AO43" s="3"/>
      <c r="AP43" s="3"/>
      <c r="AQ43" s="3"/>
      <c r="AR43" s="8"/>
      <c r="AS43" s="8"/>
      <c r="AT43" s="3"/>
      <c r="AU43" s="3"/>
      <c r="AV43" s="3"/>
      <c r="AW43" s="3"/>
      <c r="AX43" s="3"/>
      <c r="AY43" s="8"/>
      <c r="AZ43" s="127"/>
      <c r="BA43" s="5"/>
      <c r="BB43" s="58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102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9"/>
      <c r="X44" s="8"/>
      <c r="Y44" s="3"/>
      <c r="Z44" s="3"/>
      <c r="AA44" s="3"/>
      <c r="AB44" s="3"/>
      <c r="AC44" s="3"/>
      <c r="AD44" s="3"/>
      <c r="AE44" s="8"/>
      <c r="AF44" s="8"/>
      <c r="AG44" s="3"/>
      <c r="AH44" s="3"/>
      <c r="AI44" s="3"/>
      <c r="AJ44" s="3"/>
      <c r="AK44" s="8"/>
      <c r="AL44" s="8"/>
      <c r="AM44" s="3"/>
      <c r="AN44" s="3"/>
      <c r="AO44" s="3"/>
      <c r="AP44" s="3"/>
      <c r="AQ44" s="3"/>
      <c r="AR44" s="8"/>
      <c r="AS44" s="8"/>
      <c r="AT44" s="3"/>
      <c r="AU44" s="3"/>
      <c r="AV44" s="3"/>
      <c r="AW44" s="3"/>
      <c r="AX44" s="3"/>
      <c r="AY44" s="8"/>
      <c r="AZ44" s="127"/>
      <c r="BA44" s="5"/>
      <c r="BB44" s="58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97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9"/>
      <c r="X45" s="8"/>
      <c r="Y45" s="3"/>
      <c r="Z45" s="3"/>
      <c r="AA45" s="3"/>
      <c r="AB45" s="3"/>
      <c r="AC45" s="3"/>
      <c r="AD45" s="3"/>
      <c r="AE45" s="8"/>
      <c r="AF45" s="8"/>
      <c r="AG45" s="3"/>
      <c r="AH45" s="3"/>
      <c r="AI45" s="3"/>
      <c r="AJ45" s="3"/>
      <c r="AK45" s="8"/>
      <c r="AL45" s="8"/>
      <c r="AM45" s="3"/>
      <c r="AN45" s="3"/>
      <c r="AO45" s="3"/>
      <c r="AP45" s="3"/>
      <c r="AQ45" s="3"/>
      <c r="AR45" s="8"/>
      <c r="AS45" s="8"/>
      <c r="AT45" s="3"/>
      <c r="AU45" s="3"/>
      <c r="AV45" s="3"/>
      <c r="AW45" s="3"/>
      <c r="AX45" s="3"/>
      <c r="AY45" s="8"/>
      <c r="AZ45" s="127"/>
      <c r="BA45" s="5"/>
      <c r="BB45" s="58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9"/>
      <c r="X46" s="8"/>
      <c r="Y46" s="3"/>
      <c r="Z46" s="3"/>
      <c r="AA46" s="3"/>
      <c r="AB46" s="3"/>
      <c r="AC46" s="3"/>
      <c r="AD46" s="3"/>
      <c r="AE46" s="8"/>
      <c r="AF46" s="8"/>
      <c r="AG46" s="3"/>
      <c r="AH46" s="3"/>
      <c r="AI46" s="3"/>
      <c r="AJ46" s="3"/>
      <c r="AK46" s="8"/>
      <c r="AL46" s="8"/>
      <c r="AM46" s="3"/>
      <c r="AN46" s="3"/>
      <c r="AO46" s="3"/>
      <c r="AP46" s="3"/>
      <c r="AQ46" s="3"/>
      <c r="AR46" s="8"/>
      <c r="AS46" s="8"/>
      <c r="AT46" s="3"/>
      <c r="AU46" s="3"/>
      <c r="AV46" s="3"/>
      <c r="AW46" s="3"/>
      <c r="AX46" s="3"/>
      <c r="AY46" s="8"/>
      <c r="AZ46" s="127"/>
      <c r="BA46" s="5"/>
      <c r="BB46" s="58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97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9"/>
      <c r="X47" s="8"/>
      <c r="Y47" s="3"/>
      <c r="Z47" s="3"/>
      <c r="AA47" s="3"/>
      <c r="AB47" s="3"/>
      <c r="AC47" s="3"/>
      <c r="AD47" s="3"/>
      <c r="AE47" s="8"/>
      <c r="AF47" s="8"/>
      <c r="AG47" s="3"/>
      <c r="AH47" s="3"/>
      <c r="AI47" s="3"/>
      <c r="AJ47" s="3"/>
      <c r="AK47" s="8"/>
      <c r="AL47" s="8"/>
      <c r="AM47" s="3"/>
      <c r="AN47" s="3"/>
      <c r="AO47" s="3"/>
      <c r="AP47" s="3"/>
      <c r="AQ47" s="3"/>
      <c r="AR47" s="8"/>
      <c r="AS47" s="8"/>
      <c r="AT47" s="3"/>
      <c r="AU47" s="3"/>
      <c r="AV47" s="3"/>
      <c r="AW47" s="3"/>
      <c r="AX47" s="3"/>
      <c r="AY47" s="8"/>
      <c r="AZ47" s="127"/>
      <c r="BA47" s="5"/>
      <c r="BB47" s="58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9"/>
      <c r="X48" s="8"/>
      <c r="Y48" s="3"/>
      <c r="Z48" s="3"/>
      <c r="AA48" s="3"/>
      <c r="AB48" s="3"/>
      <c r="AC48" s="3"/>
      <c r="AD48" s="3"/>
      <c r="AE48" s="8"/>
      <c r="AF48" s="8"/>
      <c r="AG48" s="3"/>
      <c r="AH48" s="3"/>
      <c r="AI48" s="3"/>
      <c r="AJ48" s="3"/>
      <c r="AK48" s="8"/>
      <c r="AL48" s="8"/>
      <c r="AM48" s="3"/>
      <c r="AN48" s="3"/>
      <c r="AO48" s="3"/>
      <c r="AP48" s="3"/>
      <c r="AQ48" s="3"/>
      <c r="AR48" s="8"/>
      <c r="AS48" s="8"/>
      <c r="AT48" s="3"/>
      <c r="AU48" s="3"/>
      <c r="AV48" s="3"/>
      <c r="AW48" s="3"/>
      <c r="AX48" s="3"/>
      <c r="AY48" s="8"/>
      <c r="AZ48" s="127"/>
      <c r="BA48" s="5"/>
      <c r="BB48" s="58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9"/>
      <c r="X49" s="8"/>
      <c r="Y49" s="3"/>
      <c r="Z49" s="3"/>
      <c r="AA49" s="3"/>
      <c r="AB49" s="3"/>
      <c r="AC49" s="3"/>
      <c r="AD49" s="3"/>
      <c r="AE49" s="8"/>
      <c r="AF49" s="8"/>
      <c r="AG49" s="3"/>
      <c r="AH49" s="3"/>
      <c r="AI49" s="3"/>
      <c r="AJ49" s="3"/>
      <c r="AK49" s="8"/>
      <c r="AL49" s="8"/>
      <c r="AM49" s="3"/>
      <c r="AN49" s="3"/>
      <c r="AO49" s="3"/>
      <c r="AP49" s="3"/>
      <c r="AQ49" s="3"/>
      <c r="AR49" s="8"/>
      <c r="AS49" s="8"/>
      <c r="AT49" s="3"/>
      <c r="AU49" s="3"/>
      <c r="AV49" s="3"/>
      <c r="AW49" s="3"/>
      <c r="AX49" s="3"/>
      <c r="AY49" s="8"/>
      <c r="AZ49" s="127"/>
      <c r="BA49" s="5"/>
      <c r="BB49" s="58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9"/>
      <c r="X50" s="8"/>
      <c r="Y50" s="3"/>
      <c r="Z50" s="3"/>
      <c r="AA50" s="3"/>
      <c r="AB50" s="3"/>
      <c r="AC50" s="3"/>
      <c r="AD50" s="3"/>
      <c r="AE50" s="8"/>
      <c r="AF50" s="8"/>
      <c r="AG50" s="3"/>
      <c r="AH50" s="3"/>
      <c r="AI50" s="3"/>
      <c r="AJ50" s="3"/>
      <c r="AK50" s="8"/>
      <c r="AL50" s="8"/>
      <c r="AM50" s="3"/>
      <c r="AN50" s="3"/>
      <c r="AO50" s="3"/>
      <c r="AP50" s="3"/>
      <c r="AQ50" s="3"/>
      <c r="AR50" s="8"/>
      <c r="AS50" s="8"/>
      <c r="AT50" s="3"/>
      <c r="AU50" s="3"/>
      <c r="AV50" s="3"/>
      <c r="AW50" s="3"/>
      <c r="AX50" s="3"/>
      <c r="AY50" s="8"/>
      <c r="AZ50" s="127"/>
      <c r="BA50" s="5"/>
      <c r="BB50" s="58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9"/>
      <c r="X51" s="8"/>
      <c r="Y51" s="3"/>
      <c r="Z51" s="3"/>
      <c r="AA51" s="3"/>
      <c r="AB51" s="3"/>
      <c r="AC51" s="3"/>
      <c r="AD51" s="3"/>
      <c r="AE51" s="8"/>
      <c r="AF51" s="8"/>
      <c r="AG51" s="3"/>
      <c r="AH51" s="3"/>
      <c r="AI51" s="3"/>
      <c r="AJ51" s="3"/>
      <c r="AK51" s="8"/>
      <c r="AL51" s="8"/>
      <c r="AM51" s="3"/>
      <c r="AN51" s="3"/>
      <c r="AO51" s="3"/>
      <c r="AP51" s="3"/>
      <c r="AQ51" s="3"/>
      <c r="AR51" s="8"/>
      <c r="AS51" s="8"/>
      <c r="AT51" s="3"/>
      <c r="AU51" s="3"/>
      <c r="AV51" s="3"/>
      <c r="AW51" s="3"/>
      <c r="AX51" s="3"/>
      <c r="AY51" s="8"/>
      <c r="AZ51" s="127"/>
      <c r="BA51" s="5"/>
      <c r="BB51" s="58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9"/>
      <c r="X52" s="8"/>
      <c r="Y52" s="3"/>
      <c r="Z52" s="3"/>
      <c r="AA52" s="3"/>
      <c r="AB52" s="3"/>
      <c r="AC52" s="3"/>
      <c r="AD52" s="3"/>
      <c r="AE52" s="8"/>
      <c r="AF52" s="8"/>
      <c r="AG52" s="3"/>
      <c r="AH52" s="3"/>
      <c r="AI52" s="3"/>
      <c r="AJ52" s="3"/>
      <c r="AK52" s="8"/>
      <c r="AL52" s="8"/>
      <c r="AM52" s="3"/>
      <c r="AN52" s="3"/>
      <c r="AO52" s="3"/>
      <c r="AP52" s="3"/>
      <c r="AQ52" s="3"/>
      <c r="AR52" s="8"/>
      <c r="AS52" s="8"/>
      <c r="AT52" s="3"/>
      <c r="AU52" s="3"/>
      <c r="AV52" s="3"/>
      <c r="AW52" s="3"/>
      <c r="AX52" s="3"/>
      <c r="AY52" s="8"/>
      <c r="AZ52" s="127"/>
      <c r="BA52" s="5"/>
      <c r="BB52" s="58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9"/>
      <c r="X53" s="8"/>
      <c r="Y53" s="3"/>
      <c r="Z53" s="3"/>
      <c r="AA53" s="3"/>
      <c r="AB53" s="3"/>
      <c r="AC53" s="3"/>
      <c r="AD53" s="3"/>
      <c r="AE53" s="8"/>
      <c r="AF53" s="8"/>
      <c r="AG53" s="3"/>
      <c r="AH53" s="3"/>
      <c r="AI53" s="3"/>
      <c r="AJ53" s="3"/>
      <c r="AK53" s="8"/>
      <c r="AL53" s="8"/>
      <c r="AM53" s="3"/>
      <c r="AN53" s="3"/>
      <c r="AO53" s="3"/>
      <c r="AP53" s="3"/>
      <c r="AQ53" s="3"/>
      <c r="AR53" s="8"/>
      <c r="AS53" s="8"/>
      <c r="AT53" s="3"/>
      <c r="AU53" s="3"/>
      <c r="AV53" s="3"/>
      <c r="AW53" s="3"/>
      <c r="AX53" s="3"/>
      <c r="AY53" s="8"/>
      <c r="AZ53" s="127"/>
      <c r="BA53" s="5"/>
      <c r="BB53" s="58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97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9"/>
      <c r="X54" s="8"/>
      <c r="Y54" s="3"/>
      <c r="Z54" s="3"/>
      <c r="AA54" s="3"/>
      <c r="AB54" s="3"/>
      <c r="AC54" s="3"/>
      <c r="AD54" s="3"/>
      <c r="AE54" s="8"/>
      <c r="AF54" s="8"/>
      <c r="AG54" s="3"/>
      <c r="AH54" s="3"/>
      <c r="AI54" s="3"/>
      <c r="AJ54" s="3"/>
      <c r="AK54" s="8"/>
      <c r="AL54" s="8"/>
      <c r="AM54" s="3"/>
      <c r="AN54" s="3"/>
      <c r="AO54" s="3"/>
      <c r="AP54" s="3"/>
      <c r="AQ54" s="3"/>
      <c r="AR54" s="8"/>
      <c r="AS54" s="8"/>
      <c r="AT54" s="3"/>
      <c r="AU54" s="3"/>
      <c r="AV54" s="3"/>
      <c r="AW54" s="3"/>
      <c r="AX54" s="3"/>
      <c r="AY54" s="8"/>
      <c r="AZ54" s="127"/>
      <c r="BA54" s="5"/>
      <c r="BB54" s="58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9"/>
      <c r="X55" s="8"/>
      <c r="Y55" s="3"/>
      <c r="Z55" s="3"/>
      <c r="AA55" s="3"/>
      <c r="AB55" s="3"/>
      <c r="AC55" s="3"/>
      <c r="AD55" s="3"/>
      <c r="AE55" s="8"/>
      <c r="AF55" s="8"/>
      <c r="AG55" s="3"/>
      <c r="AH55" s="3"/>
      <c r="AI55" s="3"/>
      <c r="AJ55" s="3"/>
      <c r="AK55" s="8"/>
      <c r="AL55" s="8"/>
      <c r="AM55" s="3"/>
      <c r="AN55" s="3"/>
      <c r="AO55" s="3"/>
      <c r="AP55" s="3"/>
      <c r="AQ55" s="3"/>
      <c r="AR55" s="8"/>
      <c r="AS55" s="8"/>
      <c r="AT55" s="3"/>
      <c r="AU55" s="3"/>
      <c r="AV55" s="3"/>
      <c r="AW55" s="3"/>
      <c r="AX55" s="3"/>
      <c r="AY55" s="8"/>
      <c r="AZ55" s="127"/>
      <c r="BA55" s="5"/>
      <c r="BB55" s="58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9"/>
      <c r="X56" s="8"/>
      <c r="Y56" s="3"/>
      <c r="Z56" s="3"/>
      <c r="AA56" s="3"/>
      <c r="AB56" s="3"/>
      <c r="AC56" s="3"/>
      <c r="AD56" s="3"/>
      <c r="AE56" s="8"/>
      <c r="AF56" s="8"/>
      <c r="AG56" s="3"/>
      <c r="AH56" s="3"/>
      <c r="AI56" s="3"/>
      <c r="AJ56" s="3"/>
      <c r="AK56" s="8"/>
      <c r="AL56" s="8"/>
      <c r="AM56" s="3"/>
      <c r="AN56" s="3"/>
      <c r="AO56" s="3"/>
      <c r="AP56" s="3"/>
      <c r="AQ56" s="3"/>
      <c r="AR56" s="8"/>
      <c r="AS56" s="8"/>
      <c r="AT56" s="3"/>
      <c r="AU56" s="3"/>
      <c r="AV56" s="3"/>
      <c r="AW56" s="3"/>
      <c r="AX56" s="3"/>
      <c r="AY56" s="8"/>
      <c r="AZ56" s="127"/>
      <c r="BA56" s="5"/>
      <c r="BB56" s="58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102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9"/>
      <c r="X57" s="8"/>
      <c r="Y57" s="3"/>
      <c r="Z57" s="3"/>
      <c r="AA57" s="3"/>
      <c r="AB57" s="3"/>
      <c r="AC57" s="3"/>
      <c r="AD57" s="3"/>
      <c r="AE57" s="8"/>
      <c r="AF57" s="8"/>
      <c r="AG57" s="3"/>
      <c r="AH57" s="3"/>
      <c r="AI57" s="3"/>
      <c r="AJ57" s="3"/>
      <c r="AK57" s="8"/>
      <c r="AL57" s="8"/>
      <c r="AM57" s="3"/>
      <c r="AN57" s="3"/>
      <c r="AO57" s="3"/>
      <c r="AP57" s="3"/>
      <c r="AQ57" s="3"/>
      <c r="AR57" s="8"/>
      <c r="AS57" s="8"/>
      <c r="AT57" s="3"/>
      <c r="AU57" s="3"/>
      <c r="AV57" s="3"/>
      <c r="AW57" s="3"/>
      <c r="AX57" s="3"/>
      <c r="AY57" s="8"/>
      <c r="AZ57" s="127"/>
      <c r="BA57" s="5"/>
      <c r="BB57" s="58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9"/>
      <c r="X58" s="8"/>
      <c r="Y58" s="3"/>
      <c r="Z58" s="3"/>
      <c r="AA58" s="3"/>
      <c r="AB58" s="3"/>
      <c r="AC58" s="3"/>
      <c r="AD58" s="3"/>
      <c r="AE58" s="8"/>
      <c r="AF58" s="8"/>
      <c r="AG58" s="3"/>
      <c r="AH58" s="3"/>
      <c r="AI58" s="3"/>
      <c r="AJ58" s="3"/>
      <c r="AK58" s="8"/>
      <c r="AL58" s="8"/>
      <c r="AM58" s="3"/>
      <c r="AN58" s="3"/>
      <c r="AO58" s="3"/>
      <c r="AP58" s="3"/>
      <c r="AQ58" s="3"/>
      <c r="AR58" s="8"/>
      <c r="AS58" s="8"/>
      <c r="AT58" s="3"/>
      <c r="AU58" s="3"/>
      <c r="AV58" s="3"/>
      <c r="AW58" s="3"/>
      <c r="AX58" s="3"/>
      <c r="AY58" s="8"/>
      <c r="AZ58" s="127"/>
      <c r="BA58" s="5"/>
      <c r="BB58" s="58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97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9"/>
      <c r="X59" s="8"/>
      <c r="Y59" s="3"/>
      <c r="Z59" s="3"/>
      <c r="AA59" s="3"/>
      <c r="AB59" s="3"/>
      <c r="AC59" s="3"/>
      <c r="AD59" s="3"/>
      <c r="AE59" s="8"/>
      <c r="AF59" s="8"/>
      <c r="AG59" s="3"/>
      <c r="AH59" s="3"/>
      <c r="AI59" s="3"/>
      <c r="AJ59" s="3"/>
      <c r="AK59" s="8"/>
      <c r="AL59" s="8"/>
      <c r="AM59" s="3"/>
      <c r="AN59" s="3"/>
      <c r="AO59" s="3"/>
      <c r="AP59" s="3"/>
      <c r="AQ59" s="3"/>
      <c r="AR59" s="8"/>
      <c r="AS59" s="8"/>
      <c r="AT59" s="3"/>
      <c r="AU59" s="3"/>
      <c r="AV59" s="3"/>
      <c r="AW59" s="3"/>
      <c r="AX59" s="3"/>
      <c r="AY59" s="8"/>
      <c r="AZ59" s="127"/>
      <c r="BA59" s="5"/>
      <c r="BB59" s="58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9"/>
      <c r="X60" s="8"/>
      <c r="Y60" s="3"/>
      <c r="Z60" s="3"/>
      <c r="AA60" s="3"/>
      <c r="AB60" s="3"/>
      <c r="AC60" s="3"/>
      <c r="AD60" s="3"/>
      <c r="AE60" s="8"/>
      <c r="AF60" s="8"/>
      <c r="AG60" s="3"/>
      <c r="AH60" s="3"/>
      <c r="AI60" s="3"/>
      <c r="AJ60" s="3"/>
      <c r="AK60" s="8"/>
      <c r="AL60" s="8"/>
      <c r="AM60" s="3"/>
      <c r="AN60" s="3"/>
      <c r="AO60" s="3"/>
      <c r="AP60" s="3"/>
      <c r="AQ60" s="3"/>
      <c r="AR60" s="8"/>
      <c r="AS60" s="8"/>
      <c r="AT60" s="3"/>
      <c r="AU60" s="3"/>
      <c r="AV60" s="3"/>
      <c r="AW60" s="3"/>
      <c r="AX60" s="3"/>
      <c r="AY60" s="8"/>
      <c r="AZ60" s="127"/>
      <c r="BA60" s="5"/>
      <c r="BB60" s="58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97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9"/>
      <c r="X61" s="8"/>
      <c r="Y61" s="3"/>
      <c r="Z61" s="3"/>
      <c r="AA61" s="3"/>
      <c r="AB61" s="3"/>
      <c r="AC61" s="3"/>
      <c r="AD61" s="3"/>
      <c r="AE61" s="8"/>
      <c r="AF61" s="8"/>
      <c r="AG61" s="3"/>
      <c r="AH61" s="3"/>
      <c r="AI61" s="3"/>
      <c r="AJ61" s="3"/>
      <c r="AK61" s="8"/>
      <c r="AL61" s="8"/>
      <c r="AM61" s="3"/>
      <c r="AN61" s="3"/>
      <c r="AO61" s="3"/>
      <c r="AP61" s="3"/>
      <c r="AQ61" s="3"/>
      <c r="AR61" s="8"/>
      <c r="AS61" s="8"/>
      <c r="AT61" s="3"/>
      <c r="AU61" s="3"/>
      <c r="AV61" s="3"/>
      <c r="AW61" s="3"/>
      <c r="AX61" s="3"/>
      <c r="AY61" s="8"/>
      <c r="AZ61" s="127"/>
      <c r="BA61" s="5"/>
      <c r="BB61" s="58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102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9"/>
      <c r="X62" s="8"/>
      <c r="Y62" s="3"/>
      <c r="Z62" s="3"/>
      <c r="AA62" s="3"/>
      <c r="AB62" s="3"/>
      <c r="AC62" s="3"/>
      <c r="AD62" s="3"/>
      <c r="AE62" s="8"/>
      <c r="AF62" s="8"/>
      <c r="AG62" s="3"/>
      <c r="AH62" s="3"/>
      <c r="AI62" s="3"/>
      <c r="AJ62" s="3"/>
      <c r="AK62" s="8"/>
      <c r="AL62" s="8"/>
      <c r="AM62" s="3"/>
      <c r="AN62" s="3"/>
      <c r="AO62" s="3"/>
      <c r="AP62" s="3"/>
      <c r="AQ62" s="3"/>
      <c r="AR62" s="8"/>
      <c r="AS62" s="8"/>
      <c r="AT62" s="3"/>
      <c r="AU62" s="3"/>
      <c r="AV62" s="3"/>
      <c r="AW62" s="3"/>
      <c r="AX62" s="3"/>
      <c r="AY62" s="8"/>
      <c r="AZ62" s="127"/>
      <c r="BA62" s="5"/>
      <c r="BB62" s="58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9"/>
      <c r="X63" s="8"/>
      <c r="Y63" s="3"/>
      <c r="Z63" s="3"/>
      <c r="AA63" s="3"/>
      <c r="AB63" s="3"/>
      <c r="AC63" s="3"/>
      <c r="AD63" s="3"/>
      <c r="AE63" s="8"/>
      <c r="AF63" s="8"/>
      <c r="AG63" s="3"/>
      <c r="AH63" s="3"/>
      <c r="AI63" s="3"/>
      <c r="AJ63" s="3"/>
      <c r="AK63" s="8"/>
      <c r="AL63" s="8"/>
      <c r="AM63" s="3"/>
      <c r="AN63" s="3"/>
      <c r="AO63" s="3"/>
      <c r="AP63" s="3"/>
      <c r="AQ63" s="3"/>
      <c r="AR63" s="8"/>
      <c r="AS63" s="8"/>
      <c r="AT63" s="3"/>
      <c r="AU63" s="3"/>
      <c r="AV63" s="3"/>
      <c r="AW63" s="3"/>
      <c r="AX63" s="3"/>
      <c r="AY63" s="8"/>
      <c r="AZ63" s="127"/>
      <c r="BA63" s="5"/>
      <c r="BB63" s="58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9"/>
      <c r="X64" s="8"/>
      <c r="Y64" s="3"/>
      <c r="Z64" s="3"/>
      <c r="AA64" s="3"/>
      <c r="AB64" s="3"/>
      <c r="AC64" s="3"/>
      <c r="AD64" s="3"/>
      <c r="AE64" s="8"/>
      <c r="AF64" s="8"/>
      <c r="AG64" s="3"/>
      <c r="AH64" s="3"/>
      <c r="AI64" s="3"/>
      <c r="AJ64" s="3"/>
      <c r="AK64" s="8"/>
      <c r="AL64" s="8"/>
      <c r="AM64" s="3"/>
      <c r="AN64" s="3"/>
      <c r="AO64" s="3"/>
      <c r="AP64" s="3"/>
      <c r="AQ64" s="3"/>
      <c r="AR64" s="8"/>
      <c r="AS64" s="8"/>
      <c r="AT64" s="3"/>
      <c r="AU64" s="3"/>
      <c r="AV64" s="3"/>
      <c r="AW64" s="3"/>
      <c r="AX64" s="3"/>
      <c r="AY64" s="8"/>
      <c r="AZ64" s="127"/>
      <c r="BA64" s="5"/>
      <c r="BB64" s="58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9"/>
      <c r="X65" s="8"/>
      <c r="Y65" s="3"/>
      <c r="Z65" s="3"/>
      <c r="AA65" s="3"/>
      <c r="AB65" s="3"/>
      <c r="AC65" s="3"/>
      <c r="AD65" s="3"/>
      <c r="AE65" s="8"/>
      <c r="AF65" s="8"/>
      <c r="AG65" s="3"/>
      <c r="AH65" s="3"/>
      <c r="AI65" s="3"/>
      <c r="AJ65" s="3"/>
      <c r="AK65" s="8"/>
      <c r="AL65" s="8"/>
      <c r="AM65" s="3"/>
      <c r="AN65" s="3"/>
      <c r="AO65" s="3"/>
      <c r="AP65" s="3"/>
      <c r="AQ65" s="3"/>
      <c r="AR65" s="8"/>
      <c r="AS65" s="8"/>
      <c r="AT65" s="3"/>
      <c r="AU65" s="3"/>
      <c r="AV65" s="3"/>
      <c r="AW65" s="3"/>
      <c r="AX65" s="3"/>
      <c r="AY65" s="8"/>
      <c r="AZ65" s="127"/>
      <c r="BA65" s="5"/>
      <c r="BB65" s="58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9"/>
      <c r="X66" s="8"/>
      <c r="Y66" s="3"/>
      <c r="Z66" s="3"/>
      <c r="AA66" s="3"/>
      <c r="AB66" s="3"/>
      <c r="AC66" s="3"/>
      <c r="AD66" s="3"/>
      <c r="AE66" s="8"/>
      <c r="AF66" s="8"/>
      <c r="AG66" s="3"/>
      <c r="AH66" s="3"/>
      <c r="AI66" s="3"/>
      <c r="AJ66" s="3"/>
      <c r="AK66" s="8"/>
      <c r="AL66" s="8"/>
      <c r="AM66" s="3"/>
      <c r="AN66" s="3"/>
      <c r="AO66" s="3"/>
      <c r="AP66" s="3"/>
      <c r="AQ66" s="3"/>
      <c r="AR66" s="8"/>
      <c r="AS66" s="8"/>
      <c r="AT66" s="3"/>
      <c r="AU66" s="3"/>
      <c r="AV66" s="3"/>
      <c r="AW66" s="3"/>
      <c r="AX66" s="3"/>
      <c r="AY66" s="8"/>
      <c r="AZ66" s="127"/>
      <c r="BA66" s="5"/>
      <c r="BB66" s="58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9"/>
      <c r="X67" s="8"/>
      <c r="Y67" s="3"/>
      <c r="Z67" s="3"/>
      <c r="AA67" s="3"/>
      <c r="AB67" s="3"/>
      <c r="AC67" s="3"/>
      <c r="AD67" s="3"/>
      <c r="AE67" s="8"/>
      <c r="AF67" s="8"/>
      <c r="AG67" s="3"/>
      <c r="AH67" s="3"/>
      <c r="AI67" s="3"/>
      <c r="AJ67" s="3"/>
      <c r="AK67" s="8"/>
      <c r="AL67" s="8"/>
      <c r="AM67" s="3"/>
      <c r="AN67" s="3"/>
      <c r="AO67" s="3"/>
      <c r="AP67" s="3"/>
      <c r="AQ67" s="3"/>
      <c r="AR67" s="8"/>
      <c r="AS67" s="8"/>
      <c r="AT67" s="3"/>
      <c r="AU67" s="3"/>
      <c r="AV67" s="3"/>
      <c r="AW67" s="3"/>
      <c r="AX67" s="3"/>
      <c r="AY67" s="8"/>
      <c r="AZ67" s="127"/>
      <c r="BA67" s="5"/>
      <c r="BB67" s="58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97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9"/>
      <c r="X68" s="8"/>
      <c r="Y68" s="3"/>
      <c r="Z68" s="3"/>
      <c r="AA68" s="3"/>
      <c r="AB68" s="3"/>
      <c r="AC68" s="3"/>
      <c r="AD68" s="3"/>
      <c r="AE68" s="8"/>
      <c r="AF68" s="8"/>
      <c r="AG68" s="3"/>
      <c r="AH68" s="3"/>
      <c r="AI68" s="3"/>
      <c r="AJ68" s="3"/>
      <c r="AK68" s="8"/>
      <c r="AL68" s="8"/>
      <c r="AM68" s="3"/>
      <c r="AN68" s="3"/>
      <c r="AO68" s="3"/>
      <c r="AP68" s="3"/>
      <c r="AQ68" s="3"/>
      <c r="AR68" s="8"/>
      <c r="AS68" s="8"/>
      <c r="AT68" s="3"/>
      <c r="AU68" s="3"/>
      <c r="AV68" s="3"/>
      <c r="AW68" s="3"/>
      <c r="AX68" s="3"/>
      <c r="AY68" s="8"/>
      <c r="AZ68" s="127"/>
      <c r="BA68" s="5"/>
      <c r="BB68" s="58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9"/>
      <c r="X69" s="8"/>
      <c r="Y69" s="3"/>
      <c r="Z69" s="3"/>
      <c r="AA69" s="3"/>
      <c r="AB69" s="3"/>
      <c r="AC69" s="3"/>
      <c r="AD69" s="3"/>
      <c r="AE69" s="8"/>
      <c r="AF69" s="8"/>
      <c r="AG69" s="3"/>
      <c r="AH69" s="3"/>
      <c r="AI69" s="3"/>
      <c r="AJ69" s="3"/>
      <c r="AK69" s="8"/>
      <c r="AL69" s="8"/>
      <c r="AM69" s="3"/>
      <c r="AN69" s="3"/>
      <c r="AO69" s="3"/>
      <c r="AP69" s="3"/>
      <c r="AQ69" s="3"/>
      <c r="AR69" s="8"/>
      <c r="AS69" s="8"/>
      <c r="AT69" s="3"/>
      <c r="AU69" s="3"/>
      <c r="AV69" s="3"/>
      <c r="AW69" s="3"/>
      <c r="AX69" s="3"/>
      <c r="AY69" s="8"/>
      <c r="AZ69" s="127"/>
      <c r="BA69" s="5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9"/>
      <c r="X70" s="8"/>
      <c r="Y70" s="3"/>
      <c r="Z70" s="3"/>
      <c r="AA70" s="3"/>
      <c r="AB70" s="3"/>
      <c r="AC70" s="3"/>
      <c r="AD70" s="3"/>
      <c r="AE70" s="8"/>
      <c r="AF70" s="8"/>
      <c r="AG70" s="3"/>
      <c r="AH70" s="3"/>
      <c r="AI70" s="3"/>
      <c r="AJ70" s="3"/>
      <c r="AK70" s="8"/>
      <c r="AL70" s="8"/>
      <c r="AM70" s="3"/>
      <c r="AN70" s="3"/>
      <c r="AO70" s="3"/>
      <c r="AP70" s="3"/>
      <c r="AQ70" s="3"/>
      <c r="AR70" s="8"/>
      <c r="AS70" s="8"/>
      <c r="AT70" s="3"/>
      <c r="AU70" s="3"/>
      <c r="AV70" s="3"/>
      <c r="AW70" s="3"/>
      <c r="AX70" s="3"/>
      <c r="AY70" s="8"/>
      <c r="AZ70" s="127"/>
      <c r="BA70" s="5"/>
      <c r="BB70" s="58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9"/>
      <c r="X71" s="8"/>
      <c r="Y71" s="3"/>
      <c r="Z71" s="3"/>
      <c r="AA71" s="3"/>
      <c r="AB71" s="3"/>
      <c r="AC71" s="3"/>
      <c r="AD71" s="3"/>
      <c r="AE71" s="8"/>
      <c r="AF71" s="8"/>
      <c r="AG71" s="3"/>
      <c r="AH71" s="3"/>
      <c r="AI71" s="3"/>
      <c r="AJ71" s="3"/>
      <c r="AK71" s="8"/>
      <c r="AL71" s="8"/>
      <c r="AM71" s="3"/>
      <c r="AN71" s="3"/>
      <c r="AO71" s="3"/>
      <c r="AP71" s="3"/>
      <c r="AQ71" s="3"/>
      <c r="AR71" s="8"/>
      <c r="AS71" s="8"/>
      <c r="AT71" s="3"/>
      <c r="AU71" s="3"/>
      <c r="AV71" s="3"/>
      <c r="AW71" s="3"/>
      <c r="AX71" s="3"/>
      <c r="AY71" s="8"/>
      <c r="AZ71" s="127"/>
      <c r="BA71" s="5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9"/>
      <c r="X72" s="8"/>
      <c r="Y72" s="3"/>
      <c r="Z72" s="3"/>
      <c r="AA72" s="3"/>
      <c r="AB72" s="3"/>
      <c r="AC72" s="3"/>
      <c r="AD72" s="3"/>
      <c r="AE72" s="8"/>
      <c r="AF72" s="8"/>
      <c r="AG72" s="3"/>
      <c r="AH72" s="3"/>
      <c r="AI72" s="3"/>
      <c r="AJ72" s="3"/>
      <c r="AK72" s="8"/>
      <c r="AL72" s="8"/>
      <c r="AM72" s="3"/>
      <c r="AN72" s="3"/>
      <c r="AO72" s="3"/>
      <c r="AP72" s="3"/>
      <c r="AQ72" s="3"/>
      <c r="AR72" s="8"/>
      <c r="AS72" s="8"/>
      <c r="AT72" s="3"/>
      <c r="AU72" s="3"/>
      <c r="AV72" s="3"/>
      <c r="AW72" s="3"/>
      <c r="AX72" s="3"/>
      <c r="AY72" s="8"/>
      <c r="AZ72" s="127"/>
      <c r="BA72" s="5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97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9"/>
      <c r="X73" s="8"/>
      <c r="Y73" s="3"/>
      <c r="Z73" s="3"/>
      <c r="AA73" s="3"/>
      <c r="AB73" s="3"/>
      <c r="AC73" s="3"/>
      <c r="AD73" s="3"/>
      <c r="AE73" s="8"/>
      <c r="AF73" s="8"/>
      <c r="AG73" s="3"/>
      <c r="AH73" s="3"/>
      <c r="AI73" s="3"/>
      <c r="AJ73" s="3"/>
      <c r="AK73" s="8"/>
      <c r="AL73" s="8"/>
      <c r="AM73" s="3"/>
      <c r="AN73" s="3"/>
      <c r="AO73" s="3"/>
      <c r="AP73" s="3"/>
      <c r="AQ73" s="3"/>
      <c r="AR73" s="8"/>
      <c r="AS73" s="8"/>
      <c r="AT73" s="3"/>
      <c r="AU73" s="3"/>
      <c r="AV73" s="3"/>
      <c r="AW73" s="3"/>
      <c r="AX73" s="3"/>
      <c r="AY73" s="8"/>
      <c r="AZ73" s="127"/>
      <c r="BA73" s="5"/>
      <c r="BB73" s="58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9"/>
      <c r="X74" s="8"/>
      <c r="Y74" s="3"/>
      <c r="Z74" s="3"/>
      <c r="AA74" s="3"/>
      <c r="AB74" s="3"/>
      <c r="AC74" s="3"/>
      <c r="AD74" s="3"/>
      <c r="AE74" s="8"/>
      <c r="AF74" s="8"/>
      <c r="AG74" s="3"/>
      <c r="AH74" s="3"/>
      <c r="AI74" s="3"/>
      <c r="AJ74" s="3"/>
      <c r="AK74" s="8"/>
      <c r="AL74" s="8"/>
      <c r="AM74" s="3"/>
      <c r="AN74" s="3"/>
      <c r="AO74" s="3"/>
      <c r="AP74" s="3"/>
      <c r="AQ74" s="3"/>
      <c r="AR74" s="8"/>
      <c r="AS74" s="8"/>
      <c r="AT74" s="3"/>
      <c r="AU74" s="3"/>
      <c r="AV74" s="3"/>
      <c r="AW74" s="3"/>
      <c r="AX74" s="3"/>
      <c r="AY74" s="8"/>
      <c r="AZ74" s="127"/>
      <c r="BA74" s="5"/>
      <c r="BB74" s="58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97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9"/>
      <c r="X75" s="8"/>
      <c r="Y75" s="3"/>
      <c r="Z75" s="3"/>
      <c r="AA75" s="3"/>
      <c r="AB75" s="3"/>
      <c r="AC75" s="3"/>
      <c r="AD75" s="3"/>
      <c r="AE75" s="8"/>
      <c r="AF75" s="8"/>
      <c r="AG75" s="3"/>
      <c r="AH75" s="3"/>
      <c r="AI75" s="3"/>
      <c r="AJ75" s="3"/>
      <c r="AK75" s="8"/>
      <c r="AL75" s="8"/>
      <c r="AM75" s="3"/>
      <c r="AN75" s="3"/>
      <c r="AO75" s="3"/>
      <c r="AP75" s="3"/>
      <c r="AQ75" s="3"/>
      <c r="AR75" s="8"/>
      <c r="AS75" s="8"/>
      <c r="AT75" s="3"/>
      <c r="AU75" s="3"/>
      <c r="AV75" s="3"/>
      <c r="AW75" s="3"/>
      <c r="AX75" s="3"/>
      <c r="AY75" s="8"/>
      <c r="AZ75" s="127"/>
      <c r="BA75" s="5"/>
      <c r="BB75" s="58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9"/>
      <c r="X76" s="8"/>
      <c r="Y76" s="3"/>
      <c r="Z76" s="3"/>
      <c r="AA76" s="3"/>
      <c r="AB76" s="3"/>
      <c r="AC76" s="3"/>
      <c r="AD76" s="3"/>
      <c r="AE76" s="8"/>
      <c r="AF76" s="8"/>
      <c r="AG76" s="3"/>
      <c r="AH76" s="3"/>
      <c r="AI76" s="3"/>
      <c r="AJ76" s="3"/>
      <c r="AK76" s="8"/>
      <c r="AL76" s="8"/>
      <c r="AM76" s="3"/>
      <c r="AN76" s="3"/>
      <c r="AO76" s="3"/>
      <c r="AP76" s="3"/>
      <c r="AQ76" s="3"/>
      <c r="AR76" s="8"/>
      <c r="AS76" s="8"/>
      <c r="AT76" s="3"/>
      <c r="AU76" s="3"/>
      <c r="AV76" s="3"/>
      <c r="AW76" s="3"/>
      <c r="AX76" s="3"/>
      <c r="AY76" s="8"/>
      <c r="AZ76" s="127"/>
      <c r="BA76" s="5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9"/>
      <c r="X77" s="8"/>
      <c r="Y77" s="3"/>
      <c r="Z77" s="3"/>
      <c r="AA77" s="3"/>
      <c r="AB77" s="3"/>
      <c r="AC77" s="3"/>
      <c r="AD77" s="3"/>
      <c r="AE77" s="8"/>
      <c r="AF77" s="8"/>
      <c r="AG77" s="3"/>
      <c r="AH77" s="3"/>
      <c r="AI77" s="3"/>
      <c r="AJ77" s="3"/>
      <c r="AK77" s="8"/>
      <c r="AL77" s="8"/>
      <c r="AM77" s="3"/>
      <c r="AN77" s="3"/>
      <c r="AO77" s="3"/>
      <c r="AP77" s="3"/>
      <c r="AQ77" s="3"/>
      <c r="AR77" s="8"/>
      <c r="AS77" s="8"/>
      <c r="AT77" s="3"/>
      <c r="AU77" s="3"/>
      <c r="AV77" s="3"/>
      <c r="AW77" s="3"/>
      <c r="AX77" s="3"/>
      <c r="AY77" s="8"/>
      <c r="AZ77" s="127"/>
      <c r="BA77" s="5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102">
        <v>67</v>
      </c>
      <c r="B78" s="103"/>
      <c r="C78" s="104"/>
      <c r="D78" s="2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9"/>
      <c r="X78" s="8"/>
      <c r="Y78" s="3"/>
      <c r="Z78" s="3"/>
      <c r="AA78" s="3"/>
      <c r="AB78" s="3"/>
      <c r="AC78" s="3"/>
      <c r="AD78" s="3"/>
      <c r="AE78" s="8"/>
      <c r="AF78" s="8"/>
      <c r="AG78" s="3"/>
      <c r="AH78" s="3"/>
      <c r="AI78" s="3"/>
      <c r="AJ78" s="3"/>
      <c r="AK78" s="8"/>
      <c r="AL78" s="8"/>
      <c r="AM78" s="3"/>
      <c r="AN78" s="3"/>
      <c r="AO78" s="3"/>
      <c r="AP78" s="3"/>
      <c r="AQ78" s="3"/>
      <c r="AR78" s="8"/>
      <c r="AS78" s="8"/>
      <c r="AT78" s="3"/>
      <c r="AU78" s="3"/>
      <c r="AV78" s="3"/>
      <c r="AW78" s="3"/>
      <c r="AX78" s="3"/>
      <c r="AY78" s="8"/>
      <c r="AZ78" s="127"/>
      <c r="BA78" s="5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4"/>
        <v/>
      </c>
      <c r="H79" s="100" t="str">
        <f t="shared" si="5"/>
        <v/>
      </c>
      <c r="I79" s="101">
        <f t="shared" si="0"/>
        <v>0</v>
      </c>
      <c r="J79" s="100" t="str">
        <f t="shared" si="14"/>
        <v/>
      </c>
      <c r="K79" s="6" t="str">
        <f t="shared" si="6"/>
        <v/>
      </c>
      <c r="L79" s="6" t="str">
        <f t="shared" si="6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9"/>
      <c r="X79" s="8"/>
      <c r="Y79" s="3"/>
      <c r="Z79" s="3"/>
      <c r="AA79" s="3"/>
      <c r="AB79" s="3"/>
      <c r="AC79" s="3"/>
      <c r="AD79" s="3"/>
      <c r="AE79" s="8"/>
      <c r="AF79" s="8"/>
      <c r="AG79" s="3"/>
      <c r="AH79" s="3"/>
      <c r="AI79" s="3"/>
      <c r="AJ79" s="3"/>
      <c r="AK79" s="8"/>
      <c r="AL79" s="8"/>
      <c r="AM79" s="3"/>
      <c r="AN79" s="3"/>
      <c r="AO79" s="3"/>
      <c r="AP79" s="3"/>
      <c r="AQ79" s="3"/>
      <c r="AR79" s="8"/>
      <c r="AS79" s="8"/>
      <c r="AT79" s="3"/>
      <c r="AU79" s="3"/>
      <c r="AV79" s="3"/>
      <c r="AW79" s="3"/>
      <c r="AX79" s="3"/>
      <c r="AY79" s="8"/>
      <c r="AZ79" s="127"/>
      <c r="BA79" s="5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97">
        <v>69</v>
      </c>
      <c r="B80" s="103"/>
      <c r="C80" s="104"/>
      <c r="D80" s="1"/>
      <c r="E80" s="105"/>
      <c r="F80" s="105"/>
      <c r="G80" s="100" t="str">
        <f t="shared" si="4"/>
        <v/>
      </c>
      <c r="H80" s="100" t="str">
        <f t="shared" si="5"/>
        <v/>
      </c>
      <c r="I80" s="101">
        <f t="shared" si="0"/>
        <v>0</v>
      </c>
      <c r="J80" s="100" t="str">
        <f t="shared" si="14"/>
        <v/>
      </c>
      <c r="K80" s="6" t="str">
        <f t="shared" si="6"/>
        <v/>
      </c>
      <c r="L80" s="6" t="str">
        <f t="shared" si="6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9"/>
      <c r="X80" s="8"/>
      <c r="Y80" s="3"/>
      <c r="Z80" s="3"/>
      <c r="AA80" s="3"/>
      <c r="AB80" s="3"/>
      <c r="AC80" s="3"/>
      <c r="AD80" s="3"/>
      <c r="AE80" s="8"/>
      <c r="AF80" s="8"/>
      <c r="AG80" s="3"/>
      <c r="AH80" s="3"/>
      <c r="AI80" s="3"/>
      <c r="AJ80" s="3"/>
      <c r="AK80" s="8"/>
      <c r="AL80" s="8"/>
      <c r="AM80" s="3"/>
      <c r="AN80" s="3"/>
      <c r="AO80" s="3"/>
      <c r="AP80" s="3"/>
      <c r="AQ80" s="3"/>
      <c r="AR80" s="8"/>
      <c r="AS80" s="8"/>
      <c r="AT80" s="3"/>
      <c r="AU80" s="3"/>
      <c r="AV80" s="3"/>
      <c r="AW80" s="3"/>
      <c r="AX80" s="3"/>
      <c r="AY80" s="8"/>
      <c r="AZ80" s="127"/>
      <c r="BA80" s="5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4"/>
        <v/>
      </c>
      <c r="H81" s="100" t="str">
        <f t="shared" si="5"/>
        <v/>
      </c>
      <c r="I81" s="101">
        <f t="shared" si="0"/>
        <v>0</v>
      </c>
      <c r="J81" s="100" t="str">
        <f t="shared" si="14"/>
        <v/>
      </c>
      <c r="K81" s="6" t="str">
        <f t="shared" si="6"/>
        <v/>
      </c>
      <c r="L81" s="6" t="str">
        <f t="shared" si="6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9"/>
      <c r="X81" s="8"/>
      <c r="Y81" s="3"/>
      <c r="Z81" s="3"/>
      <c r="AA81" s="3"/>
      <c r="AB81" s="3"/>
      <c r="AC81" s="3"/>
      <c r="AD81" s="3"/>
      <c r="AE81" s="8"/>
      <c r="AF81" s="8"/>
      <c r="AG81" s="3"/>
      <c r="AH81" s="3"/>
      <c r="AI81" s="3"/>
      <c r="AJ81" s="3"/>
      <c r="AK81" s="8"/>
      <c r="AL81" s="8"/>
      <c r="AM81" s="3"/>
      <c r="AN81" s="3"/>
      <c r="AO81" s="3"/>
      <c r="AP81" s="3"/>
      <c r="AQ81" s="3"/>
      <c r="AR81" s="8"/>
      <c r="AS81" s="8"/>
      <c r="AT81" s="3"/>
      <c r="AU81" s="3"/>
      <c r="AV81" s="3"/>
      <c r="AW81" s="3"/>
      <c r="AX81" s="3"/>
      <c r="AY81" s="8"/>
      <c r="AZ81" s="127"/>
      <c r="BA81" s="5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97">
        <v>71</v>
      </c>
      <c r="B82" s="103"/>
      <c r="C82" s="104"/>
      <c r="D82" s="2"/>
      <c r="E82" s="105"/>
      <c r="F82" s="105"/>
      <c r="G82" s="100" t="str">
        <f t="shared" si="4"/>
        <v/>
      </c>
      <c r="H82" s="100" t="str">
        <f t="shared" si="5"/>
        <v/>
      </c>
      <c r="I82" s="101">
        <f t="shared" si="0"/>
        <v>0</v>
      </c>
      <c r="J82" s="100" t="str">
        <f t="shared" si="14"/>
        <v/>
      </c>
      <c r="K82" s="6" t="str">
        <f t="shared" si="6"/>
        <v/>
      </c>
      <c r="L82" s="6" t="str">
        <f t="shared" si="6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9"/>
      <c r="X82" s="8"/>
      <c r="Y82" s="3"/>
      <c r="Z82" s="3"/>
      <c r="AA82" s="3"/>
      <c r="AB82" s="3"/>
      <c r="AC82" s="3"/>
      <c r="AD82" s="3"/>
      <c r="AE82" s="8"/>
      <c r="AF82" s="8"/>
      <c r="AG82" s="3"/>
      <c r="AH82" s="3"/>
      <c r="AI82" s="3"/>
      <c r="AJ82" s="3"/>
      <c r="AK82" s="8"/>
      <c r="AL82" s="8"/>
      <c r="AM82" s="3"/>
      <c r="AN82" s="3"/>
      <c r="AO82" s="3"/>
      <c r="AP82" s="3"/>
      <c r="AQ82" s="3"/>
      <c r="AR82" s="8"/>
      <c r="AS82" s="8"/>
      <c r="AT82" s="3"/>
      <c r="AU82" s="3"/>
      <c r="AV82" s="3"/>
      <c r="AW82" s="3"/>
      <c r="AX82" s="3"/>
      <c r="AY82" s="8"/>
      <c r="AZ82" s="127"/>
      <c r="BA82" s="5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4"/>
        <v/>
      </c>
      <c r="H83" s="100" t="str">
        <f t="shared" si="5"/>
        <v/>
      </c>
      <c r="I83" s="101">
        <f t="shared" si="0"/>
        <v>0</v>
      </c>
      <c r="J83" s="100" t="str">
        <f t="shared" si="14"/>
        <v/>
      </c>
      <c r="K83" s="6" t="str">
        <f t="shared" si="6"/>
        <v/>
      </c>
      <c r="L83" s="6" t="str">
        <f t="shared" si="6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9"/>
      <c r="X83" s="8"/>
      <c r="Y83" s="3"/>
      <c r="Z83" s="3"/>
      <c r="AA83" s="3"/>
      <c r="AB83" s="3"/>
      <c r="AC83" s="3"/>
      <c r="AD83" s="3"/>
      <c r="AE83" s="8"/>
      <c r="AF83" s="8"/>
      <c r="AG83" s="3"/>
      <c r="AH83" s="3"/>
      <c r="AI83" s="3"/>
      <c r="AJ83" s="3"/>
      <c r="AK83" s="8"/>
      <c r="AL83" s="8"/>
      <c r="AM83" s="3"/>
      <c r="AN83" s="3"/>
      <c r="AO83" s="3"/>
      <c r="AP83" s="3"/>
      <c r="AQ83" s="3"/>
      <c r="AR83" s="8"/>
      <c r="AS83" s="8"/>
      <c r="AT83" s="3"/>
      <c r="AU83" s="3"/>
      <c r="AV83" s="3"/>
      <c r="AW83" s="3"/>
      <c r="AX83" s="3"/>
      <c r="AY83" s="8"/>
      <c r="AZ83" s="127"/>
      <c r="BA83" s="5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102">
        <v>73</v>
      </c>
      <c r="B84" s="103"/>
      <c r="C84" s="104"/>
      <c r="D84" s="1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9"/>
      <c r="X84" s="8"/>
      <c r="Y84" s="3"/>
      <c r="Z84" s="3"/>
      <c r="AA84" s="3"/>
      <c r="AB84" s="3"/>
      <c r="AC84" s="3"/>
      <c r="AD84" s="3"/>
      <c r="AE84" s="8"/>
      <c r="AF84" s="8"/>
      <c r="AG84" s="3"/>
      <c r="AH84" s="3"/>
      <c r="AI84" s="3"/>
      <c r="AJ84" s="3"/>
      <c r="AK84" s="8"/>
      <c r="AL84" s="8"/>
      <c r="AM84" s="3"/>
      <c r="AN84" s="3"/>
      <c r="AO84" s="3"/>
      <c r="AP84" s="3"/>
      <c r="AQ84" s="3"/>
      <c r="AR84" s="8"/>
      <c r="AS84" s="8"/>
      <c r="AT84" s="3"/>
      <c r="AU84" s="3"/>
      <c r="AV84" s="3"/>
      <c r="AW84" s="3"/>
      <c r="AX84" s="3"/>
      <c r="AY84" s="8"/>
      <c r="AZ84" s="127"/>
      <c r="BA84" s="5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9"/>
      <c r="X85" s="8"/>
      <c r="Y85" s="3"/>
      <c r="Z85" s="3"/>
      <c r="AA85" s="3"/>
      <c r="AB85" s="3"/>
      <c r="AC85" s="3"/>
      <c r="AD85" s="3"/>
      <c r="AE85" s="8"/>
      <c r="AF85" s="8"/>
      <c r="AG85" s="3"/>
      <c r="AH85" s="3"/>
      <c r="AI85" s="3"/>
      <c r="AJ85" s="3"/>
      <c r="AK85" s="8"/>
      <c r="AL85" s="8"/>
      <c r="AM85" s="3"/>
      <c r="AN85" s="3"/>
      <c r="AO85" s="3"/>
      <c r="AP85" s="3"/>
      <c r="AQ85" s="3"/>
      <c r="AR85" s="8"/>
      <c r="AS85" s="8"/>
      <c r="AT85" s="3"/>
      <c r="AU85" s="3"/>
      <c r="AV85" s="3"/>
      <c r="AW85" s="3"/>
      <c r="AX85" s="3"/>
      <c r="AY85" s="8"/>
      <c r="AZ85" s="127"/>
      <c r="BA85" s="5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9"/>
      <c r="X86" s="8"/>
      <c r="Y86" s="3"/>
      <c r="Z86" s="3"/>
      <c r="AA86" s="3"/>
      <c r="AB86" s="3"/>
      <c r="AC86" s="3"/>
      <c r="AD86" s="3"/>
      <c r="AE86" s="8"/>
      <c r="AF86" s="8"/>
      <c r="AG86" s="3"/>
      <c r="AH86" s="3"/>
      <c r="AI86" s="3"/>
      <c r="AJ86" s="3"/>
      <c r="AK86" s="8"/>
      <c r="AL86" s="8"/>
      <c r="AM86" s="3"/>
      <c r="AN86" s="3"/>
      <c r="AO86" s="3"/>
      <c r="AP86" s="3"/>
      <c r="AQ86" s="3"/>
      <c r="AR86" s="8"/>
      <c r="AS86" s="8"/>
      <c r="AT86" s="3"/>
      <c r="AU86" s="3"/>
      <c r="AV86" s="3"/>
      <c r="AW86" s="3"/>
      <c r="AX86" s="3"/>
      <c r="AY86" s="8"/>
      <c r="AZ86" s="127"/>
      <c r="BA86" s="5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GP86" s="54"/>
      <c r="GQ86" s="54"/>
    </row>
    <row r="87" spans="1:199" ht="15" hidden="1" customHeight="1" x14ac:dyDescent="0.25">
      <c r="A87" s="97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9"/>
      <c r="X87" s="8"/>
      <c r="Y87" s="3"/>
      <c r="Z87" s="3"/>
      <c r="AA87" s="3"/>
      <c r="AB87" s="3"/>
      <c r="AC87" s="3"/>
      <c r="AD87" s="3"/>
      <c r="AE87" s="8"/>
      <c r="AF87" s="8"/>
      <c r="AG87" s="3"/>
      <c r="AH87" s="3"/>
      <c r="AI87" s="3"/>
      <c r="AJ87" s="3"/>
      <c r="AK87" s="8"/>
      <c r="AL87" s="8"/>
      <c r="AM87" s="3"/>
      <c r="AN87" s="3"/>
      <c r="AO87" s="3"/>
      <c r="AP87" s="3"/>
      <c r="AQ87" s="3"/>
      <c r="AR87" s="8"/>
      <c r="AS87" s="8"/>
      <c r="AT87" s="3"/>
      <c r="AU87" s="3"/>
      <c r="AV87" s="3"/>
      <c r="AW87" s="3"/>
      <c r="AX87" s="3"/>
      <c r="AY87" s="8"/>
      <c r="AZ87" s="127"/>
      <c r="BA87" s="5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GP87" s="54"/>
      <c r="GQ87" s="54"/>
    </row>
    <row r="88" spans="1:199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9"/>
      <c r="X88" s="8"/>
      <c r="Y88" s="3"/>
      <c r="Z88" s="3"/>
      <c r="AA88" s="3"/>
      <c r="AB88" s="3"/>
      <c r="AC88" s="3"/>
      <c r="AD88" s="3"/>
      <c r="AE88" s="8"/>
      <c r="AF88" s="8"/>
      <c r="AG88" s="3"/>
      <c r="AH88" s="3"/>
      <c r="AI88" s="3"/>
      <c r="AJ88" s="3"/>
      <c r="AK88" s="8"/>
      <c r="AL88" s="8"/>
      <c r="AM88" s="3"/>
      <c r="AN88" s="3"/>
      <c r="AO88" s="3"/>
      <c r="AP88" s="3"/>
      <c r="AQ88" s="3"/>
      <c r="AR88" s="8"/>
      <c r="AS88" s="8"/>
      <c r="AT88" s="3"/>
      <c r="AU88" s="3"/>
      <c r="AV88" s="3"/>
      <c r="AW88" s="3"/>
      <c r="AX88" s="3"/>
      <c r="AY88" s="8"/>
      <c r="AZ88" s="127"/>
      <c r="BA88" s="5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9"/>
      <c r="X89" s="8"/>
      <c r="Y89" s="3"/>
      <c r="Z89" s="3"/>
      <c r="AA89" s="3"/>
      <c r="AB89" s="3"/>
      <c r="AC89" s="3"/>
      <c r="AD89" s="3"/>
      <c r="AE89" s="8"/>
      <c r="AF89" s="8"/>
      <c r="AG89" s="3"/>
      <c r="AH89" s="3"/>
      <c r="AI89" s="3"/>
      <c r="AJ89" s="3"/>
      <c r="AK89" s="8"/>
      <c r="AL89" s="8"/>
      <c r="AM89" s="3"/>
      <c r="AN89" s="3"/>
      <c r="AO89" s="3"/>
      <c r="AP89" s="3"/>
      <c r="AQ89" s="3"/>
      <c r="AR89" s="8"/>
      <c r="AS89" s="8"/>
      <c r="AT89" s="3"/>
      <c r="AU89" s="3"/>
      <c r="AV89" s="3"/>
      <c r="AW89" s="3"/>
      <c r="AX89" s="3"/>
      <c r="AY89" s="8"/>
      <c r="AZ89" s="127"/>
      <c r="BA89" s="5"/>
      <c r="BB89" s="59"/>
      <c r="BC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9"/>
      <c r="X90" s="8"/>
      <c r="Y90" s="3"/>
      <c r="Z90" s="3"/>
      <c r="AA90" s="3"/>
      <c r="AB90" s="3"/>
      <c r="AC90" s="3"/>
      <c r="AD90" s="3"/>
      <c r="AE90" s="8"/>
      <c r="AF90" s="8"/>
      <c r="AG90" s="3"/>
      <c r="AH90" s="3"/>
      <c r="AI90" s="3"/>
      <c r="AJ90" s="3"/>
      <c r="AK90" s="8"/>
      <c r="AL90" s="8"/>
      <c r="AM90" s="3"/>
      <c r="AN90" s="3"/>
      <c r="AO90" s="3"/>
      <c r="AP90" s="3"/>
      <c r="AQ90" s="3"/>
      <c r="AR90" s="8"/>
      <c r="AS90" s="8"/>
      <c r="AT90" s="3"/>
      <c r="AU90" s="3"/>
      <c r="AV90" s="3"/>
      <c r="AW90" s="3"/>
      <c r="AX90" s="3"/>
      <c r="AY90" s="8"/>
      <c r="AZ90" s="127"/>
      <c r="BA90" s="5"/>
      <c r="BB90" s="59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9"/>
      <c r="X91" s="8"/>
      <c r="Y91" s="3"/>
      <c r="Z91" s="3"/>
      <c r="AA91" s="3"/>
      <c r="AB91" s="3"/>
      <c r="AC91" s="3"/>
      <c r="AD91" s="3"/>
      <c r="AE91" s="8"/>
      <c r="AF91" s="8"/>
      <c r="AG91" s="3"/>
      <c r="AH91" s="3"/>
      <c r="AI91" s="3"/>
      <c r="AJ91" s="3"/>
      <c r="AK91" s="8"/>
      <c r="AL91" s="8"/>
      <c r="AM91" s="3"/>
      <c r="AN91" s="3"/>
      <c r="AO91" s="3"/>
      <c r="AP91" s="3"/>
      <c r="AQ91" s="3"/>
      <c r="AR91" s="8"/>
      <c r="AS91" s="8"/>
      <c r="AT91" s="3"/>
      <c r="AU91" s="3"/>
      <c r="AV91" s="3"/>
      <c r="AW91" s="3"/>
      <c r="AX91" s="3"/>
      <c r="AY91" s="8"/>
      <c r="AZ91" s="127"/>
      <c r="BA91" s="5"/>
      <c r="BB91" s="59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9"/>
      <c r="X92" s="8"/>
      <c r="Y92" s="3"/>
      <c r="Z92" s="3"/>
      <c r="AA92" s="3"/>
      <c r="AB92" s="3"/>
      <c r="AC92" s="3"/>
      <c r="AD92" s="3"/>
      <c r="AE92" s="8"/>
      <c r="AF92" s="8"/>
      <c r="AG92" s="3"/>
      <c r="AH92" s="3"/>
      <c r="AI92" s="3"/>
      <c r="AJ92" s="3"/>
      <c r="AK92" s="8"/>
      <c r="AL92" s="8"/>
      <c r="AM92" s="3"/>
      <c r="AN92" s="3"/>
      <c r="AO92" s="3"/>
      <c r="AP92" s="3"/>
      <c r="AQ92" s="3"/>
      <c r="AR92" s="8"/>
      <c r="AS92" s="8"/>
      <c r="AT92" s="3"/>
      <c r="AU92" s="3"/>
      <c r="AV92" s="3"/>
      <c r="AW92" s="3"/>
      <c r="AX92" s="3"/>
      <c r="AY92" s="8"/>
      <c r="AZ92" s="127"/>
      <c r="BA92" s="5"/>
      <c r="BB92" s="58"/>
      <c r="BC92" s="59"/>
      <c r="GP92" s="54"/>
      <c r="GQ92" s="54"/>
    </row>
    <row r="93" spans="1:199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9"/>
      <c r="X93" s="8"/>
      <c r="Y93" s="3"/>
      <c r="Z93" s="3"/>
      <c r="AA93" s="3"/>
      <c r="AB93" s="3"/>
      <c r="AC93" s="3"/>
      <c r="AD93" s="3"/>
      <c r="AE93" s="8"/>
      <c r="AF93" s="8"/>
      <c r="AG93" s="3"/>
      <c r="AH93" s="3"/>
      <c r="AI93" s="3"/>
      <c r="AJ93" s="3"/>
      <c r="AK93" s="8"/>
      <c r="AL93" s="8"/>
      <c r="AM93" s="3"/>
      <c r="AN93" s="3"/>
      <c r="AO93" s="3"/>
      <c r="AP93" s="3"/>
      <c r="AQ93" s="3"/>
      <c r="AR93" s="8"/>
      <c r="AS93" s="8"/>
      <c r="AT93" s="3"/>
      <c r="AU93" s="3"/>
      <c r="AV93" s="3"/>
      <c r="AW93" s="3"/>
      <c r="AX93" s="3"/>
      <c r="AY93" s="8"/>
      <c r="AZ93" s="127"/>
      <c r="BA93" s="5"/>
      <c r="BB93" s="58"/>
      <c r="BC93" s="59"/>
      <c r="GP93" s="54"/>
      <c r="GQ93" s="54"/>
    </row>
    <row r="94" spans="1:199" ht="15" hidden="1" customHeight="1" x14ac:dyDescent="0.25">
      <c r="A94" s="97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9"/>
      <c r="X94" s="8"/>
      <c r="Y94" s="3"/>
      <c r="Z94" s="3"/>
      <c r="AA94" s="3"/>
      <c r="AB94" s="3"/>
      <c r="AC94" s="3"/>
      <c r="AD94" s="3"/>
      <c r="AE94" s="8"/>
      <c r="AF94" s="8"/>
      <c r="AG94" s="3"/>
      <c r="AH94" s="3"/>
      <c r="AI94" s="3"/>
      <c r="AJ94" s="3"/>
      <c r="AK94" s="8"/>
      <c r="AL94" s="8"/>
      <c r="AM94" s="3"/>
      <c r="AN94" s="3"/>
      <c r="AO94" s="3"/>
      <c r="AP94" s="3"/>
      <c r="AQ94" s="3"/>
      <c r="AR94" s="8"/>
      <c r="AS94" s="8"/>
      <c r="AT94" s="3"/>
      <c r="AU94" s="3"/>
      <c r="AV94" s="3"/>
      <c r="AW94" s="3"/>
      <c r="AX94" s="3"/>
      <c r="AY94" s="8"/>
      <c r="AZ94" s="127"/>
      <c r="BA94" s="5"/>
      <c r="BB94" s="59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9"/>
      <c r="X95" s="8"/>
      <c r="Y95" s="3"/>
      <c r="Z95" s="3"/>
      <c r="AA95" s="3"/>
      <c r="AB95" s="3"/>
      <c r="AC95" s="3"/>
      <c r="AD95" s="3"/>
      <c r="AE95" s="8"/>
      <c r="AF95" s="8"/>
      <c r="AG95" s="3"/>
      <c r="AH95" s="3"/>
      <c r="AI95" s="3"/>
      <c r="AJ95" s="3"/>
      <c r="AK95" s="8"/>
      <c r="AL95" s="8"/>
      <c r="AM95" s="3"/>
      <c r="AN95" s="3"/>
      <c r="AO95" s="3"/>
      <c r="AP95" s="3"/>
      <c r="AQ95" s="3"/>
      <c r="AR95" s="8"/>
      <c r="AS95" s="8"/>
      <c r="AT95" s="3"/>
      <c r="AU95" s="3"/>
      <c r="AV95" s="3"/>
      <c r="AW95" s="3"/>
      <c r="AX95" s="3"/>
      <c r="AY95" s="8"/>
      <c r="AZ95" s="127"/>
      <c r="BA95" s="5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GP95" s="54"/>
      <c r="GQ95" s="54"/>
    </row>
    <row r="96" spans="1:199" ht="15" hidden="1" customHeight="1" x14ac:dyDescent="0.25">
      <c r="A96" s="97">
        <v>85</v>
      </c>
      <c r="B96" s="103"/>
      <c r="C96" s="104"/>
      <c r="D96" s="1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9"/>
      <c r="X96" s="8"/>
      <c r="Y96" s="3"/>
      <c r="Z96" s="3"/>
      <c r="AA96" s="3"/>
      <c r="AB96" s="3"/>
      <c r="AC96" s="3"/>
      <c r="AD96" s="3"/>
      <c r="AE96" s="8"/>
      <c r="AF96" s="8"/>
      <c r="AG96" s="3"/>
      <c r="AH96" s="3"/>
      <c r="AI96" s="3"/>
      <c r="AJ96" s="3"/>
      <c r="AK96" s="8"/>
      <c r="AL96" s="8"/>
      <c r="AM96" s="3"/>
      <c r="AN96" s="3"/>
      <c r="AO96" s="3"/>
      <c r="AP96" s="3"/>
      <c r="AQ96" s="3"/>
      <c r="AR96" s="8"/>
      <c r="AS96" s="8"/>
      <c r="AT96" s="3"/>
      <c r="AU96" s="3"/>
      <c r="AV96" s="3"/>
      <c r="AW96" s="3"/>
      <c r="AX96" s="3"/>
      <c r="AY96" s="8"/>
      <c r="AZ96" s="127"/>
      <c r="BA96" s="5"/>
      <c r="BB96" s="106"/>
      <c r="BC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9"/>
      <c r="X97" s="8"/>
      <c r="Y97" s="3"/>
      <c r="Z97" s="3"/>
      <c r="AA97" s="3"/>
      <c r="AB97" s="3"/>
      <c r="AC97" s="3"/>
      <c r="AD97" s="3"/>
      <c r="AE97" s="8"/>
      <c r="AF97" s="8"/>
      <c r="AG97" s="3"/>
      <c r="AH97" s="3"/>
      <c r="AI97" s="3"/>
      <c r="AJ97" s="3"/>
      <c r="AK97" s="8"/>
      <c r="AL97" s="8"/>
      <c r="AM97" s="3"/>
      <c r="AN97" s="3"/>
      <c r="AO97" s="3"/>
      <c r="AP97" s="3"/>
      <c r="AQ97" s="3"/>
      <c r="AR97" s="8"/>
      <c r="AS97" s="8"/>
      <c r="AT97" s="3"/>
      <c r="AU97" s="3"/>
      <c r="AV97" s="3"/>
      <c r="AW97" s="3"/>
      <c r="AX97" s="3"/>
      <c r="AY97" s="8"/>
      <c r="AZ97" s="127"/>
      <c r="BA97" s="5"/>
      <c r="BB97" s="59"/>
      <c r="BC97" s="59"/>
      <c r="GP97" s="54"/>
      <c r="GQ97" s="54"/>
    </row>
    <row r="98" spans="1:199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9"/>
      <c r="X98" s="8"/>
      <c r="Y98" s="3"/>
      <c r="Z98" s="3"/>
      <c r="AA98" s="3"/>
      <c r="AB98" s="3"/>
      <c r="AC98" s="3"/>
      <c r="AD98" s="3"/>
      <c r="AE98" s="8"/>
      <c r="AF98" s="8"/>
      <c r="AG98" s="3"/>
      <c r="AH98" s="3"/>
      <c r="AI98" s="3"/>
      <c r="AJ98" s="3"/>
      <c r="AK98" s="8"/>
      <c r="AL98" s="8"/>
      <c r="AM98" s="3"/>
      <c r="AN98" s="3"/>
      <c r="AO98" s="3"/>
      <c r="AP98" s="3"/>
      <c r="AQ98" s="3"/>
      <c r="AR98" s="8"/>
      <c r="AS98" s="8"/>
      <c r="AT98" s="3"/>
      <c r="AU98" s="3"/>
      <c r="AV98" s="3"/>
      <c r="AW98" s="3"/>
      <c r="AX98" s="3"/>
      <c r="AY98" s="8"/>
      <c r="AZ98" s="127"/>
      <c r="BA98" s="5"/>
      <c r="BB98" s="59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2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9"/>
      <c r="X99" s="8"/>
      <c r="Y99" s="3"/>
      <c r="Z99" s="3"/>
      <c r="AA99" s="3"/>
      <c r="AB99" s="3"/>
      <c r="AC99" s="3"/>
      <c r="AD99" s="3"/>
      <c r="AE99" s="8"/>
      <c r="AF99" s="8"/>
      <c r="AG99" s="3"/>
      <c r="AH99" s="3"/>
      <c r="AI99" s="3"/>
      <c r="AJ99" s="3"/>
      <c r="AK99" s="8"/>
      <c r="AL99" s="8"/>
      <c r="AM99" s="3"/>
      <c r="AN99" s="3"/>
      <c r="AO99" s="3"/>
      <c r="AP99" s="3"/>
      <c r="AQ99" s="3"/>
      <c r="AR99" s="8"/>
      <c r="AS99" s="8"/>
      <c r="AT99" s="3"/>
      <c r="AU99" s="3"/>
      <c r="AV99" s="3"/>
      <c r="AW99" s="3"/>
      <c r="AX99" s="3"/>
      <c r="AY99" s="8"/>
      <c r="AZ99" s="127"/>
      <c r="BA99" s="5"/>
      <c r="BB99" s="59"/>
      <c r="BC99" s="59"/>
      <c r="GP99" s="54"/>
      <c r="GQ99" s="54"/>
    </row>
    <row r="100" spans="1:199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9"/>
      <c r="X100" s="8"/>
      <c r="Y100" s="3"/>
      <c r="Z100" s="3"/>
      <c r="AA100" s="3"/>
      <c r="AB100" s="3"/>
      <c r="AC100" s="3"/>
      <c r="AD100" s="3"/>
      <c r="AE100" s="8"/>
      <c r="AF100" s="8"/>
      <c r="AG100" s="3"/>
      <c r="AH100" s="3"/>
      <c r="AI100" s="3"/>
      <c r="AJ100" s="3"/>
      <c r="AK100" s="8"/>
      <c r="AL100" s="8"/>
      <c r="AM100" s="3"/>
      <c r="AN100" s="3"/>
      <c r="AO100" s="3"/>
      <c r="AP100" s="3"/>
      <c r="AQ100" s="3"/>
      <c r="AR100" s="8"/>
      <c r="AS100" s="8"/>
      <c r="AT100" s="3"/>
      <c r="AU100" s="3"/>
      <c r="AV100" s="3"/>
      <c r="AW100" s="3"/>
      <c r="AX100" s="3"/>
      <c r="AY100" s="8"/>
      <c r="AZ100" s="127"/>
      <c r="BA100" s="5"/>
      <c r="BB100" s="59"/>
      <c r="BC100" s="59"/>
      <c r="GP100" s="54"/>
      <c r="GQ100" s="54"/>
    </row>
    <row r="101" spans="1:199" ht="15" hidden="1" customHeight="1" x14ac:dyDescent="0.25">
      <c r="A101" s="97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9"/>
      <c r="X101" s="8"/>
      <c r="Y101" s="3"/>
      <c r="Z101" s="3"/>
      <c r="AA101" s="3"/>
      <c r="AB101" s="3"/>
      <c r="AC101" s="3"/>
      <c r="AD101" s="3"/>
      <c r="AE101" s="8"/>
      <c r="AF101" s="8"/>
      <c r="AG101" s="3"/>
      <c r="AH101" s="3"/>
      <c r="AI101" s="3"/>
      <c r="AJ101" s="3"/>
      <c r="AK101" s="8"/>
      <c r="AL101" s="8"/>
      <c r="AM101" s="3"/>
      <c r="AN101" s="3"/>
      <c r="AO101" s="3"/>
      <c r="AP101" s="3"/>
      <c r="AQ101" s="3"/>
      <c r="AR101" s="8"/>
      <c r="AS101" s="8"/>
      <c r="AT101" s="3"/>
      <c r="AU101" s="3"/>
      <c r="AV101" s="3"/>
      <c r="AW101" s="3"/>
      <c r="AX101" s="3"/>
      <c r="AY101" s="8"/>
      <c r="AZ101" s="127"/>
      <c r="BA101" s="5"/>
      <c r="BB101" s="59"/>
      <c r="BC101" s="59"/>
      <c r="GP101" s="54"/>
      <c r="GQ101" s="54"/>
    </row>
    <row r="102" spans="1:199" ht="15" hidden="1" customHeight="1" x14ac:dyDescent="0.25">
      <c r="A102" s="102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9"/>
      <c r="X102" s="8"/>
      <c r="Y102" s="3"/>
      <c r="Z102" s="3"/>
      <c r="AA102" s="3"/>
      <c r="AB102" s="3"/>
      <c r="AC102" s="3"/>
      <c r="AD102" s="3"/>
      <c r="AE102" s="8"/>
      <c r="AF102" s="8"/>
      <c r="AG102" s="3"/>
      <c r="AH102" s="3"/>
      <c r="AI102" s="3"/>
      <c r="AJ102" s="3"/>
      <c r="AK102" s="8"/>
      <c r="AL102" s="8"/>
      <c r="AM102" s="3"/>
      <c r="AN102" s="3"/>
      <c r="AO102" s="3"/>
      <c r="AP102" s="3"/>
      <c r="AQ102" s="3"/>
      <c r="AR102" s="8"/>
      <c r="AS102" s="8"/>
      <c r="AT102" s="3"/>
      <c r="AU102" s="3"/>
      <c r="AV102" s="3"/>
      <c r="AW102" s="3"/>
      <c r="AX102" s="3"/>
      <c r="AY102" s="8"/>
      <c r="AZ102" s="127"/>
      <c r="BA102" s="5"/>
      <c r="BB102" s="59"/>
      <c r="BC102" s="59"/>
      <c r="GP102" s="54"/>
      <c r="GQ102" s="54"/>
    </row>
    <row r="103" spans="1:199" ht="15" hidden="1" customHeight="1" x14ac:dyDescent="0.25">
      <c r="A103" s="97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9"/>
      <c r="X103" s="8"/>
      <c r="Y103" s="3"/>
      <c r="Z103" s="3"/>
      <c r="AA103" s="3"/>
      <c r="AB103" s="3"/>
      <c r="AC103" s="3"/>
      <c r="AD103" s="3"/>
      <c r="AE103" s="8"/>
      <c r="AF103" s="8"/>
      <c r="AG103" s="3"/>
      <c r="AH103" s="3"/>
      <c r="AI103" s="3"/>
      <c r="AJ103" s="3"/>
      <c r="AK103" s="8"/>
      <c r="AL103" s="8"/>
      <c r="AM103" s="3"/>
      <c r="AN103" s="3"/>
      <c r="AO103" s="3"/>
      <c r="AP103" s="3"/>
      <c r="AQ103" s="3"/>
      <c r="AR103" s="8"/>
      <c r="AS103" s="8"/>
      <c r="AT103" s="3"/>
      <c r="AU103" s="3"/>
      <c r="AV103" s="3"/>
      <c r="AW103" s="3"/>
      <c r="AX103" s="3"/>
      <c r="AY103" s="8"/>
      <c r="AZ103" s="127"/>
      <c r="BA103" s="5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9"/>
      <c r="X104" s="8"/>
      <c r="Y104" s="3"/>
      <c r="Z104" s="3"/>
      <c r="AA104" s="3"/>
      <c r="AB104" s="3"/>
      <c r="AC104" s="3"/>
      <c r="AD104" s="3"/>
      <c r="AE104" s="8"/>
      <c r="AF104" s="8"/>
      <c r="AG104" s="3"/>
      <c r="AH104" s="3"/>
      <c r="AI104" s="3"/>
      <c r="AJ104" s="3"/>
      <c r="AK104" s="8"/>
      <c r="AL104" s="8"/>
      <c r="AM104" s="3"/>
      <c r="AN104" s="3"/>
      <c r="AO104" s="3"/>
      <c r="AP104" s="3"/>
      <c r="AQ104" s="3"/>
      <c r="AR104" s="8"/>
      <c r="AS104" s="8"/>
      <c r="AT104" s="3"/>
      <c r="AU104" s="3"/>
      <c r="AV104" s="3"/>
      <c r="AW104" s="3"/>
      <c r="AX104" s="3"/>
      <c r="AY104" s="8"/>
      <c r="AZ104" s="127"/>
      <c r="BA104" s="5"/>
      <c r="BB104" s="59"/>
      <c r="BC104" s="59"/>
      <c r="GP104" s="54"/>
      <c r="GQ104" s="54"/>
    </row>
    <row r="105" spans="1:199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9"/>
      <c r="X105" s="8"/>
      <c r="Y105" s="3"/>
      <c r="Z105" s="3"/>
      <c r="AA105" s="3"/>
      <c r="AB105" s="3"/>
      <c r="AC105" s="3"/>
      <c r="AD105" s="3"/>
      <c r="AE105" s="8"/>
      <c r="AF105" s="8"/>
      <c r="AG105" s="3"/>
      <c r="AH105" s="3"/>
      <c r="AI105" s="3"/>
      <c r="AJ105" s="3"/>
      <c r="AK105" s="8"/>
      <c r="AL105" s="8"/>
      <c r="AM105" s="3"/>
      <c r="AN105" s="3"/>
      <c r="AO105" s="3"/>
      <c r="AP105" s="3"/>
      <c r="AQ105" s="3"/>
      <c r="AR105" s="8"/>
      <c r="AS105" s="8"/>
      <c r="AT105" s="3"/>
      <c r="AU105" s="3"/>
      <c r="AV105" s="3"/>
      <c r="AW105" s="3"/>
      <c r="AX105" s="3"/>
      <c r="AY105" s="8"/>
      <c r="AZ105" s="127"/>
      <c r="BA105" s="5"/>
      <c r="BB105" s="59"/>
      <c r="BC105" s="59"/>
      <c r="GP105" s="54"/>
      <c r="GQ105" s="54"/>
    </row>
    <row r="106" spans="1:199" ht="15" hidden="1" customHeight="1" x14ac:dyDescent="0.25">
      <c r="A106" s="97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9"/>
      <c r="X106" s="8"/>
      <c r="Y106" s="3"/>
      <c r="Z106" s="3"/>
      <c r="AA106" s="3"/>
      <c r="AB106" s="3"/>
      <c r="AC106" s="3"/>
      <c r="AD106" s="3"/>
      <c r="AE106" s="8"/>
      <c r="AF106" s="8"/>
      <c r="AG106" s="3"/>
      <c r="AH106" s="3"/>
      <c r="AI106" s="3"/>
      <c r="AJ106" s="3"/>
      <c r="AK106" s="8"/>
      <c r="AL106" s="8"/>
      <c r="AM106" s="3"/>
      <c r="AN106" s="3"/>
      <c r="AO106" s="3"/>
      <c r="AP106" s="3"/>
      <c r="AQ106" s="3"/>
      <c r="AR106" s="8"/>
      <c r="AS106" s="8"/>
      <c r="AT106" s="3"/>
      <c r="AU106" s="3"/>
      <c r="AV106" s="3"/>
      <c r="AW106" s="3"/>
      <c r="AX106" s="3"/>
      <c r="AY106" s="8"/>
      <c r="AZ106" s="127"/>
      <c r="BA106" s="5"/>
      <c r="BB106" s="59"/>
      <c r="BC106" s="59"/>
      <c r="GP106" s="54"/>
      <c r="GQ106" s="54"/>
    </row>
    <row r="107" spans="1:199" ht="15" hidden="1" customHeight="1" x14ac:dyDescent="0.25">
      <c r="A107" s="102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9"/>
      <c r="X107" s="8"/>
      <c r="Y107" s="3"/>
      <c r="Z107" s="3"/>
      <c r="AA107" s="3"/>
      <c r="AB107" s="3"/>
      <c r="AC107" s="3"/>
      <c r="AD107" s="3"/>
      <c r="AE107" s="8"/>
      <c r="AF107" s="8"/>
      <c r="AG107" s="3"/>
      <c r="AH107" s="3"/>
      <c r="AI107" s="3"/>
      <c r="AJ107" s="3"/>
      <c r="AK107" s="8"/>
      <c r="AL107" s="8"/>
      <c r="AM107" s="3"/>
      <c r="AN107" s="3"/>
      <c r="AO107" s="3"/>
      <c r="AP107" s="3"/>
      <c r="AQ107" s="3"/>
      <c r="AR107" s="8"/>
      <c r="AS107" s="8"/>
      <c r="AT107" s="3"/>
      <c r="AU107" s="3"/>
      <c r="AV107" s="3"/>
      <c r="AW107" s="3"/>
      <c r="AX107" s="3"/>
      <c r="AY107" s="8"/>
      <c r="AZ107" s="127"/>
      <c r="BA107" s="5"/>
      <c r="BB107" s="59"/>
      <c r="BC107" s="59"/>
      <c r="GP107" s="54"/>
      <c r="GQ107" s="54"/>
    </row>
    <row r="108" spans="1:199" ht="15" hidden="1" customHeight="1" x14ac:dyDescent="0.25">
      <c r="A108" s="102">
        <v>97</v>
      </c>
      <c r="B108" s="103"/>
      <c r="C108" s="104"/>
      <c r="D108" s="2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9"/>
      <c r="X108" s="8"/>
      <c r="Y108" s="3"/>
      <c r="Z108" s="3"/>
      <c r="AA108" s="3"/>
      <c r="AB108" s="3"/>
      <c r="AC108" s="3"/>
      <c r="AD108" s="3"/>
      <c r="AE108" s="8"/>
      <c r="AF108" s="8"/>
      <c r="AG108" s="3"/>
      <c r="AH108" s="3"/>
      <c r="AI108" s="3"/>
      <c r="AJ108" s="3"/>
      <c r="AK108" s="8"/>
      <c r="AL108" s="8"/>
      <c r="AM108" s="3"/>
      <c r="AN108" s="3"/>
      <c r="AO108" s="3"/>
      <c r="AP108" s="3"/>
      <c r="AQ108" s="3"/>
      <c r="AR108" s="8"/>
      <c r="AS108" s="8"/>
      <c r="AT108" s="3"/>
      <c r="AU108" s="3"/>
      <c r="AV108" s="3"/>
      <c r="AW108" s="3"/>
      <c r="AX108" s="3"/>
      <c r="AY108" s="8"/>
      <c r="AZ108" s="127"/>
      <c r="BA108" s="5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9"/>
      <c r="X109" s="8"/>
      <c r="Y109" s="3"/>
      <c r="Z109" s="3"/>
      <c r="AA109" s="3"/>
      <c r="AB109" s="3"/>
      <c r="AC109" s="3"/>
      <c r="AD109" s="3"/>
      <c r="AE109" s="8"/>
      <c r="AF109" s="8"/>
      <c r="AG109" s="3"/>
      <c r="AH109" s="3"/>
      <c r="AI109" s="3"/>
      <c r="AJ109" s="3"/>
      <c r="AK109" s="8"/>
      <c r="AL109" s="8"/>
      <c r="AM109" s="3"/>
      <c r="AN109" s="3"/>
      <c r="AO109" s="3"/>
      <c r="AP109" s="3"/>
      <c r="AQ109" s="3"/>
      <c r="AR109" s="8"/>
      <c r="AS109" s="8"/>
      <c r="AT109" s="3"/>
      <c r="AU109" s="3"/>
      <c r="AV109" s="3"/>
      <c r="AW109" s="3"/>
      <c r="AX109" s="3"/>
      <c r="AY109" s="8"/>
      <c r="AZ109" s="127"/>
      <c r="BA109" s="5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9"/>
      <c r="X110" s="8"/>
      <c r="Y110" s="3"/>
      <c r="Z110" s="3"/>
      <c r="AA110" s="3"/>
      <c r="AB110" s="3"/>
      <c r="AC110" s="3"/>
      <c r="AD110" s="3"/>
      <c r="AE110" s="8"/>
      <c r="AF110" s="8"/>
      <c r="AG110" s="3"/>
      <c r="AH110" s="3"/>
      <c r="AI110" s="3"/>
      <c r="AJ110" s="3"/>
      <c r="AK110" s="8"/>
      <c r="AL110" s="8"/>
      <c r="AM110" s="3"/>
      <c r="AN110" s="3"/>
      <c r="AO110" s="3"/>
      <c r="AP110" s="3"/>
      <c r="AQ110" s="3"/>
      <c r="AR110" s="8"/>
      <c r="AS110" s="8"/>
      <c r="AT110" s="3"/>
      <c r="AU110" s="3"/>
      <c r="AV110" s="3"/>
      <c r="AW110" s="3"/>
      <c r="AX110" s="3"/>
      <c r="AY110" s="8"/>
      <c r="AZ110" s="127"/>
      <c r="BA110" s="5"/>
      <c r="BB110" s="59"/>
      <c r="BC110" s="59"/>
      <c r="GP110" s="54"/>
      <c r="GQ110" s="54"/>
    </row>
    <row r="111" spans="1:199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9"/>
      <c r="X111" s="8"/>
      <c r="Y111" s="3"/>
      <c r="Z111" s="3"/>
      <c r="AA111" s="3"/>
      <c r="AB111" s="3"/>
      <c r="AC111" s="3"/>
      <c r="AD111" s="3"/>
      <c r="AE111" s="8"/>
      <c r="AF111" s="8"/>
      <c r="AG111" s="3"/>
      <c r="AH111" s="3"/>
      <c r="AI111" s="3"/>
      <c r="AJ111" s="3"/>
      <c r="AK111" s="8"/>
      <c r="AL111" s="8"/>
      <c r="AM111" s="3"/>
      <c r="AN111" s="3"/>
      <c r="AO111" s="3"/>
      <c r="AP111" s="3"/>
      <c r="AQ111" s="3"/>
      <c r="AR111" s="8"/>
      <c r="AS111" s="8"/>
      <c r="AT111" s="3"/>
      <c r="AU111" s="3"/>
      <c r="AV111" s="3"/>
      <c r="AW111" s="3"/>
      <c r="AX111" s="3"/>
      <c r="AY111" s="8"/>
      <c r="AZ111" s="127"/>
      <c r="BA111" s="5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19" priority="2" operator="lessThan">
      <formula>2</formula>
    </cfRule>
  </conditionalFormatting>
  <conditionalFormatting sqref="I12:I111">
    <cfRule type="cellIs" dxfId="18" priority="1" operator="lessThan">
      <formula>10</formula>
    </cfRule>
  </conditionalFormatting>
  <conditionalFormatting sqref="J12:J111">
    <cfRule type="cellIs" dxfId="17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4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A640A98C-4CEB-4263-B3CD-D002AE478F3E}">
            <xm:f>Jahresübersicht!$B$48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P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2" width="4.88671875" style="120" customWidth="1"/>
    <col min="53" max="53" width="3" style="121" customWidth="1"/>
    <col min="54" max="54" width="33.88671875" style="54" customWidth="1"/>
    <col min="55" max="55" width="11.44140625" style="58"/>
    <col min="56" max="56" width="7.88671875" style="58" customWidth="1"/>
    <col min="57" max="57" width="6.109375" style="58" customWidth="1"/>
    <col min="58" max="58" width="4.88671875" style="58" customWidth="1"/>
    <col min="59" max="59" width="5.88671875" style="58" customWidth="1"/>
    <col min="60" max="60" width="6.109375" style="58" customWidth="1"/>
    <col min="61" max="61" width="5.88671875" style="58" customWidth="1"/>
    <col min="62" max="62" width="5.109375" style="58" customWidth="1"/>
    <col min="63" max="63" width="6.44140625" style="58" customWidth="1"/>
    <col min="64" max="64" width="5.44140625" style="58" customWidth="1"/>
    <col min="65" max="65" width="6.109375" style="58" customWidth="1"/>
    <col min="66" max="198" width="11.44140625" style="58"/>
    <col min="199" max="16384" width="11.44140625" style="54"/>
  </cols>
  <sheetData>
    <row r="1" spans="1:198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15"/>
      <c r="BB1" s="58"/>
      <c r="BD1" s="59"/>
    </row>
    <row r="2" spans="1:198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17"/>
      <c r="BB2" s="61"/>
      <c r="BC2" s="61"/>
      <c r="BD2" s="62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</row>
    <row r="3" spans="1:198" s="63" customFormat="1" ht="16.8" thickTop="1" thickBot="1" x14ac:dyDescent="0.35">
      <c r="A3" s="64" t="s">
        <v>34</v>
      </c>
      <c r="B3" s="65"/>
      <c r="C3" s="122">
        <v>46266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17"/>
      <c r="BB3" s="61"/>
      <c r="BC3" s="61"/>
      <c r="BD3" s="62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</row>
    <row r="4" spans="1:198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17"/>
      <c r="BB4" s="61"/>
      <c r="BC4" s="61"/>
      <c r="BD4" s="62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</row>
    <row r="5" spans="1:198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17"/>
      <c r="BB5" s="61"/>
      <c r="BC5" s="61"/>
      <c r="BD5" s="62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</row>
    <row r="6" spans="1:198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17"/>
      <c r="BB6" s="61"/>
      <c r="BC6" s="61"/>
      <c r="BD6" s="62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</row>
    <row r="7" spans="1:198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7"/>
      <c r="BB7" s="61"/>
      <c r="BC7" s="61"/>
      <c r="BD7" s="62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</row>
    <row r="8" spans="1:198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7"/>
      <c r="BB8" s="61"/>
      <c r="BC8" s="61"/>
      <c r="BD8" s="62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</row>
    <row r="9" spans="1:198" s="63" customFormat="1" ht="16.8" thickTop="1" thickBot="1" x14ac:dyDescent="0.35">
      <c r="A9" s="83" t="s">
        <v>78</v>
      </c>
      <c r="B9" s="84"/>
      <c r="C9" s="85" t="str">
        <f>Jahresübersicht!E17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7"/>
      <c r="BB9" s="61"/>
      <c r="BC9" s="61"/>
      <c r="BD9" s="62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</row>
    <row r="10" spans="1:198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7"/>
      <c r="BB10" s="61"/>
      <c r="BC10" s="61"/>
      <c r="BD10" s="62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</row>
    <row r="11" spans="1:198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59"/>
      <c r="BB11" s="96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GO11" s="54"/>
      <c r="GP11" s="54"/>
    </row>
    <row r="12" spans="1:198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>(IF(O12="hT",4,0))+(IF(P12="hT",4,0))+(IF(Q12="hT",4,0))+(IF(R12="hT",4,0))+(IF(S12="hT",4,0))+T12+(COUNTIF(W12:AZ12,"hT"))</f>
        <v>0</v>
      </c>
      <c r="N12" s="7">
        <f>(IF(O12="x",4,0))+(IF(P12="x",4,0))+(IF(Q12="x",4,0))+(IF(R12="x",4,0))+(IF(S12="x",4,0))+U12+(COUNTIF(W12:AZ12,"x"))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10"/>
      <c r="X12" s="10"/>
      <c r="Y12" s="10"/>
      <c r="Z12" s="10"/>
      <c r="AA12" s="11"/>
      <c r="AB12" s="11"/>
      <c r="AC12" s="10"/>
      <c r="AD12" s="10"/>
      <c r="AE12" s="10"/>
      <c r="AF12" s="10"/>
      <c r="AG12" s="10"/>
      <c r="AH12" s="11"/>
      <c r="AI12" s="11"/>
      <c r="AJ12" s="10"/>
      <c r="AK12" s="10"/>
      <c r="AL12" s="10"/>
      <c r="AM12" s="10"/>
      <c r="AN12" s="10"/>
      <c r="AO12" s="11"/>
      <c r="AP12" s="11"/>
      <c r="AQ12" s="10"/>
      <c r="AR12" s="10"/>
      <c r="AS12" s="3"/>
      <c r="AT12" s="10"/>
      <c r="AU12" s="3"/>
      <c r="AV12" s="11"/>
      <c r="AW12" s="11"/>
      <c r="AX12" s="10"/>
      <c r="AY12" s="131"/>
      <c r="AZ12" s="5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GO12" s="54"/>
      <c r="GP12" s="54"/>
    </row>
    <row r="13" spans="1:198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2">IF(ISBLANK(E13),"",E13*10)</f>
        <v/>
      </c>
      <c r="H13" s="100" t="str">
        <f t="shared" ref="H13:H111" si="3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4">IF(M13=E13,"","X")</f>
        <v/>
      </c>
      <c r="L13" s="6" t="str">
        <f t="shared" si="4"/>
        <v/>
      </c>
      <c r="M13" s="6">
        <f t="shared" ref="M13:M76" si="5">(IF(O13="hT",4,0))+(IF(P13="hT",4,0))+(IF(Q13="hT",4,0))+(IF(R13="hT",4,0))+(IF(S13="hT",4,0))+T13+(COUNTIF(W13:AZ13,"hT"))</f>
        <v>0</v>
      </c>
      <c r="N13" s="7">
        <f t="shared" ref="N13:N76" si="6">(IF(O13="x",4,0))+(IF(P13="x",4,0))+(IF(Q13="x",4,0))+(IF(R13="x",4,0))+(IF(S13="x",4,0))+U13+(COUNTIF(W13:AZ13,"x"))</f>
        <v>0</v>
      </c>
      <c r="O13" s="4"/>
      <c r="P13" s="3"/>
      <c r="Q13" s="3"/>
      <c r="R13" s="3"/>
      <c r="S13" s="3"/>
      <c r="T13" s="3"/>
      <c r="U13" s="5"/>
      <c r="V13" s="125"/>
      <c r="W13" s="3"/>
      <c r="X13" s="3"/>
      <c r="Y13" s="3"/>
      <c r="Z13" s="3"/>
      <c r="AA13" s="8"/>
      <c r="AB13" s="8"/>
      <c r="AC13" s="3"/>
      <c r="AD13" s="3"/>
      <c r="AE13" s="3"/>
      <c r="AF13" s="3"/>
      <c r="AG13" s="3"/>
      <c r="AH13" s="8"/>
      <c r="AI13" s="8"/>
      <c r="AJ13" s="3"/>
      <c r="AK13" s="3"/>
      <c r="AL13" s="3"/>
      <c r="AM13" s="3"/>
      <c r="AN13" s="3"/>
      <c r="AO13" s="8"/>
      <c r="AP13" s="8"/>
      <c r="AQ13" s="3"/>
      <c r="AR13" s="3"/>
      <c r="AS13" s="3"/>
      <c r="AT13" s="3"/>
      <c r="AU13" s="3"/>
      <c r="AV13" s="8"/>
      <c r="AW13" s="8"/>
      <c r="AX13" s="3"/>
      <c r="AY13" s="131"/>
      <c r="AZ13" s="5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GO13" s="54"/>
      <c r="GP13" s="54"/>
    </row>
    <row r="14" spans="1:198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2"/>
        <v/>
      </c>
      <c r="H14" s="100" t="str">
        <f t="shared" si="3"/>
        <v/>
      </c>
      <c r="I14" s="101">
        <f t="shared" si="0"/>
        <v>0</v>
      </c>
      <c r="J14" s="100" t="str">
        <f t="shared" si="1"/>
        <v/>
      </c>
      <c r="K14" s="6" t="str">
        <f t="shared" si="4"/>
        <v/>
      </c>
      <c r="L14" s="6" t="str">
        <f t="shared" si="4"/>
        <v/>
      </c>
      <c r="M14" s="6">
        <f t="shared" si="5"/>
        <v>0</v>
      </c>
      <c r="N14" s="7">
        <f t="shared" si="6"/>
        <v>0</v>
      </c>
      <c r="O14" s="4"/>
      <c r="P14" s="3"/>
      <c r="Q14" s="3"/>
      <c r="R14" s="3"/>
      <c r="S14" s="3"/>
      <c r="T14" s="3"/>
      <c r="U14" s="5"/>
      <c r="V14" s="125"/>
      <c r="W14" s="3"/>
      <c r="X14" s="3"/>
      <c r="Y14" s="3"/>
      <c r="Z14" s="3"/>
      <c r="AA14" s="8"/>
      <c r="AB14" s="8"/>
      <c r="AC14" s="3"/>
      <c r="AD14" s="3"/>
      <c r="AE14" s="3"/>
      <c r="AF14" s="3"/>
      <c r="AG14" s="3"/>
      <c r="AH14" s="8"/>
      <c r="AI14" s="8"/>
      <c r="AJ14" s="3"/>
      <c r="AK14" s="3"/>
      <c r="AL14" s="3"/>
      <c r="AM14" s="3"/>
      <c r="AN14" s="3"/>
      <c r="AO14" s="8"/>
      <c r="AP14" s="8"/>
      <c r="AQ14" s="3"/>
      <c r="AR14" s="3"/>
      <c r="AS14" s="3"/>
      <c r="AT14" s="3"/>
      <c r="AU14" s="3"/>
      <c r="AV14" s="8"/>
      <c r="AW14" s="8"/>
      <c r="AX14" s="3"/>
      <c r="AY14" s="131"/>
      <c r="AZ14" s="5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GO14" s="54"/>
      <c r="GP14" s="54"/>
    </row>
    <row r="15" spans="1:198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2"/>
        <v/>
      </c>
      <c r="H15" s="100" t="str">
        <f t="shared" si="3"/>
        <v/>
      </c>
      <c r="I15" s="101">
        <f t="shared" si="0"/>
        <v>0</v>
      </c>
      <c r="J15" s="100" t="str">
        <f t="shared" si="1"/>
        <v/>
      </c>
      <c r="K15" s="6" t="str">
        <f t="shared" si="4"/>
        <v/>
      </c>
      <c r="L15" s="6" t="str">
        <f t="shared" si="4"/>
        <v/>
      </c>
      <c r="M15" s="6">
        <f t="shared" si="5"/>
        <v>0</v>
      </c>
      <c r="N15" s="7">
        <f t="shared" si="6"/>
        <v>0</v>
      </c>
      <c r="O15" s="4"/>
      <c r="P15" s="3"/>
      <c r="Q15" s="3"/>
      <c r="R15" s="3"/>
      <c r="S15" s="3"/>
      <c r="T15" s="3"/>
      <c r="U15" s="5"/>
      <c r="V15" s="125"/>
      <c r="W15" s="3"/>
      <c r="X15" s="3"/>
      <c r="Y15" s="3"/>
      <c r="Z15" s="3"/>
      <c r="AA15" s="8"/>
      <c r="AB15" s="8"/>
      <c r="AC15" s="3"/>
      <c r="AD15" s="3"/>
      <c r="AE15" s="3"/>
      <c r="AF15" s="3"/>
      <c r="AG15" s="3"/>
      <c r="AH15" s="8"/>
      <c r="AI15" s="8"/>
      <c r="AJ15" s="3"/>
      <c r="AK15" s="3"/>
      <c r="AL15" s="3"/>
      <c r="AM15" s="3"/>
      <c r="AN15" s="3"/>
      <c r="AO15" s="8"/>
      <c r="AP15" s="8"/>
      <c r="AQ15" s="3"/>
      <c r="AR15" s="3"/>
      <c r="AS15" s="3"/>
      <c r="AT15" s="3"/>
      <c r="AU15" s="3"/>
      <c r="AV15" s="8"/>
      <c r="AW15" s="8"/>
      <c r="AX15" s="3"/>
      <c r="AY15" s="131"/>
      <c r="AZ15" s="5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GO15" s="54"/>
      <c r="GP15" s="54"/>
    </row>
    <row r="16" spans="1:198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2"/>
        <v/>
      </c>
      <c r="H16" s="100" t="str">
        <f t="shared" si="3"/>
        <v/>
      </c>
      <c r="I16" s="101">
        <f t="shared" si="0"/>
        <v>0</v>
      </c>
      <c r="J16" s="100" t="str">
        <f t="shared" si="1"/>
        <v/>
      </c>
      <c r="K16" s="6" t="str">
        <f t="shared" si="4"/>
        <v/>
      </c>
      <c r="L16" s="6" t="str">
        <f t="shared" si="4"/>
        <v/>
      </c>
      <c r="M16" s="6">
        <f t="shared" si="5"/>
        <v>0</v>
      </c>
      <c r="N16" s="7">
        <f t="shared" si="6"/>
        <v>0</v>
      </c>
      <c r="O16" s="4"/>
      <c r="P16" s="3"/>
      <c r="Q16" s="3"/>
      <c r="R16" s="3"/>
      <c r="S16" s="3"/>
      <c r="T16" s="3"/>
      <c r="U16" s="5"/>
      <c r="V16" s="125"/>
      <c r="W16" s="3"/>
      <c r="X16" s="3"/>
      <c r="Y16" s="3"/>
      <c r="Z16" s="3"/>
      <c r="AA16" s="8"/>
      <c r="AB16" s="8"/>
      <c r="AC16" s="3"/>
      <c r="AD16" s="3"/>
      <c r="AE16" s="3"/>
      <c r="AF16" s="3"/>
      <c r="AG16" s="3"/>
      <c r="AH16" s="8"/>
      <c r="AI16" s="8"/>
      <c r="AJ16" s="3"/>
      <c r="AK16" s="3"/>
      <c r="AL16" s="3"/>
      <c r="AM16" s="3"/>
      <c r="AN16" s="3"/>
      <c r="AO16" s="8"/>
      <c r="AP16" s="8"/>
      <c r="AQ16" s="3"/>
      <c r="AR16" s="3"/>
      <c r="AS16" s="3"/>
      <c r="AT16" s="3"/>
      <c r="AU16" s="3"/>
      <c r="AV16" s="8"/>
      <c r="AW16" s="8"/>
      <c r="AX16" s="3"/>
      <c r="AY16" s="131"/>
      <c r="AZ16" s="5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GO16" s="54"/>
      <c r="GP16" s="54"/>
    </row>
    <row r="17" spans="1:198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2"/>
        <v/>
      </c>
      <c r="H17" s="100" t="str">
        <f t="shared" si="3"/>
        <v/>
      </c>
      <c r="I17" s="101">
        <f t="shared" si="0"/>
        <v>0</v>
      </c>
      <c r="J17" s="100" t="str">
        <f t="shared" si="1"/>
        <v/>
      </c>
      <c r="K17" s="6" t="str">
        <f t="shared" si="4"/>
        <v/>
      </c>
      <c r="L17" s="6" t="str">
        <f t="shared" si="4"/>
        <v/>
      </c>
      <c r="M17" s="6">
        <f t="shared" si="5"/>
        <v>0</v>
      </c>
      <c r="N17" s="7">
        <f t="shared" si="6"/>
        <v>0</v>
      </c>
      <c r="O17" s="4"/>
      <c r="P17" s="3"/>
      <c r="Q17" s="3"/>
      <c r="R17" s="3"/>
      <c r="S17" s="3"/>
      <c r="T17" s="3"/>
      <c r="U17" s="5"/>
      <c r="V17" s="125"/>
      <c r="W17" s="3"/>
      <c r="X17" s="3"/>
      <c r="Y17" s="3"/>
      <c r="Z17" s="3"/>
      <c r="AA17" s="8"/>
      <c r="AB17" s="8"/>
      <c r="AC17" s="3"/>
      <c r="AD17" s="3"/>
      <c r="AE17" s="3"/>
      <c r="AF17" s="3"/>
      <c r="AG17" s="3"/>
      <c r="AH17" s="8"/>
      <c r="AI17" s="8"/>
      <c r="AJ17" s="3"/>
      <c r="AK17" s="3"/>
      <c r="AL17" s="3"/>
      <c r="AM17" s="3"/>
      <c r="AN17" s="3"/>
      <c r="AO17" s="8"/>
      <c r="AP17" s="8"/>
      <c r="AQ17" s="3"/>
      <c r="AR17" s="3"/>
      <c r="AS17" s="3"/>
      <c r="AT17" s="3"/>
      <c r="AU17" s="3"/>
      <c r="AV17" s="8"/>
      <c r="AW17" s="8"/>
      <c r="AX17" s="3"/>
      <c r="AY17" s="131"/>
      <c r="AZ17" s="5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GO17" s="54"/>
      <c r="GP17" s="54"/>
    </row>
    <row r="18" spans="1:198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2"/>
        <v/>
      </c>
      <c r="H18" s="100" t="str">
        <f t="shared" si="3"/>
        <v/>
      </c>
      <c r="I18" s="101">
        <f t="shared" si="0"/>
        <v>0</v>
      </c>
      <c r="J18" s="100" t="str">
        <f t="shared" si="1"/>
        <v/>
      </c>
      <c r="K18" s="6" t="str">
        <f t="shared" si="4"/>
        <v/>
      </c>
      <c r="L18" s="6" t="str">
        <f t="shared" si="4"/>
        <v/>
      </c>
      <c r="M18" s="6">
        <f t="shared" si="5"/>
        <v>0</v>
      </c>
      <c r="N18" s="7">
        <f t="shared" si="6"/>
        <v>0</v>
      </c>
      <c r="O18" s="4"/>
      <c r="P18" s="3"/>
      <c r="Q18" s="3"/>
      <c r="R18" s="3"/>
      <c r="S18" s="3"/>
      <c r="T18" s="3"/>
      <c r="U18" s="5"/>
      <c r="V18" s="125"/>
      <c r="W18" s="3"/>
      <c r="X18" s="3"/>
      <c r="Y18" s="3"/>
      <c r="Z18" s="3"/>
      <c r="AA18" s="8"/>
      <c r="AB18" s="8"/>
      <c r="AC18" s="3"/>
      <c r="AD18" s="3"/>
      <c r="AE18" s="3"/>
      <c r="AF18" s="3"/>
      <c r="AG18" s="3"/>
      <c r="AH18" s="8"/>
      <c r="AI18" s="8"/>
      <c r="AJ18" s="3"/>
      <c r="AK18" s="3"/>
      <c r="AL18" s="3"/>
      <c r="AM18" s="3"/>
      <c r="AN18" s="3"/>
      <c r="AO18" s="8"/>
      <c r="AP18" s="8"/>
      <c r="AQ18" s="3"/>
      <c r="AR18" s="3"/>
      <c r="AS18" s="3"/>
      <c r="AT18" s="3"/>
      <c r="AU18" s="3"/>
      <c r="AV18" s="8"/>
      <c r="AW18" s="8"/>
      <c r="AX18" s="3"/>
      <c r="AY18" s="131"/>
      <c r="AZ18" s="5"/>
      <c r="BA18" s="58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GO18" s="54"/>
      <c r="GP18" s="54"/>
    </row>
    <row r="19" spans="1:198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2"/>
        <v/>
      </c>
      <c r="H19" s="100" t="str">
        <f t="shared" si="3"/>
        <v/>
      </c>
      <c r="I19" s="101">
        <f t="shared" si="0"/>
        <v>0</v>
      </c>
      <c r="J19" s="100" t="str">
        <f t="shared" si="1"/>
        <v/>
      </c>
      <c r="K19" s="6" t="str">
        <f t="shared" si="4"/>
        <v/>
      </c>
      <c r="L19" s="6" t="str">
        <f t="shared" si="4"/>
        <v/>
      </c>
      <c r="M19" s="6">
        <f t="shared" si="5"/>
        <v>0</v>
      </c>
      <c r="N19" s="7">
        <f t="shared" si="6"/>
        <v>0</v>
      </c>
      <c r="O19" s="4"/>
      <c r="P19" s="3"/>
      <c r="Q19" s="3"/>
      <c r="R19" s="3"/>
      <c r="S19" s="3"/>
      <c r="T19" s="3"/>
      <c r="U19" s="5"/>
      <c r="V19" s="125"/>
      <c r="W19" s="3"/>
      <c r="X19" s="3"/>
      <c r="Y19" s="3"/>
      <c r="Z19" s="3"/>
      <c r="AA19" s="8"/>
      <c r="AB19" s="8"/>
      <c r="AC19" s="3"/>
      <c r="AD19" s="3"/>
      <c r="AE19" s="3"/>
      <c r="AF19" s="3"/>
      <c r="AG19" s="3"/>
      <c r="AH19" s="8"/>
      <c r="AI19" s="8"/>
      <c r="AJ19" s="3"/>
      <c r="AK19" s="3"/>
      <c r="AL19" s="3"/>
      <c r="AM19" s="3"/>
      <c r="AN19" s="3"/>
      <c r="AO19" s="8"/>
      <c r="AP19" s="8"/>
      <c r="AQ19" s="3"/>
      <c r="AR19" s="3"/>
      <c r="AS19" s="3"/>
      <c r="AT19" s="3"/>
      <c r="AU19" s="3"/>
      <c r="AV19" s="8"/>
      <c r="AW19" s="8"/>
      <c r="AX19" s="3"/>
      <c r="AY19" s="131"/>
      <c r="AZ19" s="5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GO19" s="54"/>
      <c r="GP19" s="54"/>
    </row>
    <row r="20" spans="1:198" ht="15" customHeight="1" x14ac:dyDescent="0.25">
      <c r="A20" s="97">
        <v>9</v>
      </c>
      <c r="B20" s="103"/>
      <c r="C20" s="104"/>
      <c r="D20" s="1"/>
      <c r="E20" s="105"/>
      <c r="F20" s="105"/>
      <c r="G20" s="100" t="str">
        <f t="shared" ref="G20:G79" si="7">IF(ISBLANK(E20),"",E20*10)</f>
        <v/>
      </c>
      <c r="H20" s="100" t="str">
        <f t="shared" ref="H20:H79" si="8">IF(ISBLANK(F20),"",F20*20)</f>
        <v/>
      </c>
      <c r="I20" s="101">
        <f t="shared" ref="I20:I79" si="9">SUM(G20,H20)</f>
        <v>0</v>
      </c>
      <c r="J20" s="100" t="str">
        <f t="shared" si="1"/>
        <v/>
      </c>
      <c r="K20" s="6" t="str">
        <f t="shared" ref="K20:K79" si="10">IF(M20=E20,"","X")</f>
        <v/>
      </c>
      <c r="L20" s="6" t="str">
        <f t="shared" ref="L20:L79" si="11">IF(N20=F20,"","X")</f>
        <v/>
      </c>
      <c r="M20" s="6">
        <f t="shared" si="5"/>
        <v>0</v>
      </c>
      <c r="N20" s="7">
        <f t="shared" si="6"/>
        <v>0</v>
      </c>
      <c r="O20" s="4"/>
      <c r="P20" s="3"/>
      <c r="Q20" s="3"/>
      <c r="R20" s="3"/>
      <c r="S20" s="3"/>
      <c r="T20" s="3"/>
      <c r="U20" s="5"/>
      <c r="V20" s="125"/>
      <c r="W20" s="3"/>
      <c r="X20" s="3"/>
      <c r="Y20" s="3"/>
      <c r="Z20" s="3"/>
      <c r="AA20" s="8"/>
      <c r="AB20" s="8"/>
      <c r="AC20" s="3"/>
      <c r="AD20" s="3"/>
      <c r="AE20" s="3"/>
      <c r="AF20" s="3"/>
      <c r="AG20" s="3"/>
      <c r="AH20" s="8"/>
      <c r="AI20" s="8"/>
      <c r="AJ20" s="3"/>
      <c r="AK20" s="3"/>
      <c r="AL20" s="3"/>
      <c r="AM20" s="3"/>
      <c r="AN20" s="3"/>
      <c r="AO20" s="8"/>
      <c r="AP20" s="8"/>
      <c r="AQ20" s="3"/>
      <c r="AR20" s="3"/>
      <c r="AS20" s="3"/>
      <c r="AT20" s="3"/>
      <c r="AU20" s="3"/>
      <c r="AV20" s="8"/>
      <c r="AW20" s="8"/>
      <c r="AX20" s="3"/>
      <c r="AY20" s="131"/>
      <c r="AZ20" s="5"/>
      <c r="BA20" s="58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GO20" s="54"/>
      <c r="GP20" s="54"/>
    </row>
    <row r="21" spans="1:198" ht="15" customHeight="1" thickBot="1" x14ac:dyDescent="0.3">
      <c r="A21" s="102">
        <v>10</v>
      </c>
      <c r="B21" s="103"/>
      <c r="C21" s="104"/>
      <c r="D21" s="1"/>
      <c r="E21" s="105"/>
      <c r="F21" s="105"/>
      <c r="G21" s="100" t="str">
        <f t="shared" si="7"/>
        <v/>
      </c>
      <c r="H21" s="100" t="str">
        <f t="shared" si="8"/>
        <v/>
      </c>
      <c r="I21" s="101">
        <f t="shared" si="9"/>
        <v>0</v>
      </c>
      <c r="J21" s="100" t="str">
        <f t="shared" si="1"/>
        <v/>
      </c>
      <c r="K21" s="6" t="str">
        <f t="shared" si="10"/>
        <v/>
      </c>
      <c r="L21" s="6" t="str">
        <f t="shared" si="11"/>
        <v/>
      </c>
      <c r="M21" s="6">
        <f t="shared" si="5"/>
        <v>0</v>
      </c>
      <c r="N21" s="7">
        <f t="shared" si="6"/>
        <v>0</v>
      </c>
      <c r="O21" s="4"/>
      <c r="P21" s="3"/>
      <c r="Q21" s="3"/>
      <c r="R21" s="3"/>
      <c r="S21" s="3"/>
      <c r="T21" s="3"/>
      <c r="U21" s="5"/>
      <c r="V21" s="125"/>
      <c r="W21" s="3"/>
      <c r="X21" s="3"/>
      <c r="Y21" s="3"/>
      <c r="Z21" s="3"/>
      <c r="AA21" s="8"/>
      <c r="AB21" s="8"/>
      <c r="AC21" s="3"/>
      <c r="AD21" s="3"/>
      <c r="AE21" s="3"/>
      <c r="AF21" s="3"/>
      <c r="AG21" s="3"/>
      <c r="AH21" s="8"/>
      <c r="AI21" s="8"/>
      <c r="AJ21" s="3"/>
      <c r="AK21" s="3"/>
      <c r="AL21" s="3"/>
      <c r="AM21" s="3"/>
      <c r="AN21" s="3"/>
      <c r="AO21" s="8"/>
      <c r="AP21" s="8"/>
      <c r="AQ21" s="3"/>
      <c r="AR21" s="3"/>
      <c r="AS21" s="3"/>
      <c r="AT21" s="3"/>
      <c r="AU21" s="3"/>
      <c r="AV21" s="8"/>
      <c r="AW21" s="8"/>
      <c r="AX21" s="3"/>
      <c r="AY21" s="131"/>
      <c r="AZ21" s="5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GO21" s="54"/>
      <c r="GP21" s="54"/>
    </row>
    <row r="22" spans="1:198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5"/>
        <v>0</v>
      </c>
      <c r="N22" s="7">
        <f t="shared" si="6"/>
        <v>0</v>
      </c>
      <c r="O22" s="4"/>
      <c r="P22" s="3"/>
      <c r="Q22" s="3"/>
      <c r="R22" s="3"/>
      <c r="S22" s="3"/>
      <c r="T22" s="3"/>
      <c r="U22" s="5"/>
      <c r="V22" s="125"/>
      <c r="W22" s="3"/>
      <c r="X22" s="3"/>
      <c r="Y22" s="3"/>
      <c r="Z22" s="3"/>
      <c r="AA22" s="8"/>
      <c r="AB22" s="8"/>
      <c r="AC22" s="3"/>
      <c r="AD22" s="3"/>
      <c r="AE22" s="3"/>
      <c r="AF22" s="3"/>
      <c r="AG22" s="3"/>
      <c r="AH22" s="8"/>
      <c r="AI22" s="8"/>
      <c r="AJ22" s="3"/>
      <c r="AK22" s="3"/>
      <c r="AL22" s="3"/>
      <c r="AM22" s="3"/>
      <c r="AN22" s="3"/>
      <c r="AO22" s="8"/>
      <c r="AP22" s="8"/>
      <c r="AQ22" s="3"/>
      <c r="AR22" s="3"/>
      <c r="AS22" s="3"/>
      <c r="AT22" s="3"/>
      <c r="AU22" s="3"/>
      <c r="AV22" s="8"/>
      <c r="AW22" s="8"/>
      <c r="AX22" s="3"/>
      <c r="AY22" s="131"/>
      <c r="AZ22" s="5"/>
      <c r="BA22" s="58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GO22" s="54"/>
      <c r="GP22" s="54"/>
    </row>
    <row r="23" spans="1:198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5"/>
        <v>0</v>
      </c>
      <c r="N23" s="7">
        <f t="shared" si="6"/>
        <v>0</v>
      </c>
      <c r="O23" s="4"/>
      <c r="P23" s="3"/>
      <c r="Q23" s="3"/>
      <c r="R23" s="3"/>
      <c r="S23" s="3"/>
      <c r="T23" s="3"/>
      <c r="U23" s="5"/>
      <c r="V23" s="125"/>
      <c r="W23" s="3"/>
      <c r="X23" s="3"/>
      <c r="Y23" s="3"/>
      <c r="Z23" s="3"/>
      <c r="AA23" s="8"/>
      <c r="AB23" s="8"/>
      <c r="AC23" s="3"/>
      <c r="AD23" s="3"/>
      <c r="AE23" s="3"/>
      <c r="AF23" s="3"/>
      <c r="AG23" s="3"/>
      <c r="AH23" s="8"/>
      <c r="AI23" s="8"/>
      <c r="AJ23" s="3"/>
      <c r="AK23" s="3"/>
      <c r="AL23" s="3"/>
      <c r="AM23" s="3"/>
      <c r="AN23" s="3"/>
      <c r="AO23" s="8"/>
      <c r="AP23" s="8"/>
      <c r="AQ23" s="3"/>
      <c r="AR23" s="3"/>
      <c r="AS23" s="3"/>
      <c r="AT23" s="3"/>
      <c r="AU23" s="3"/>
      <c r="AV23" s="8"/>
      <c r="AW23" s="8"/>
      <c r="AX23" s="3"/>
      <c r="AY23" s="131"/>
      <c r="AZ23" s="5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GO23" s="54"/>
      <c r="GP23" s="54"/>
    </row>
    <row r="24" spans="1:198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5"/>
        <v>0</v>
      </c>
      <c r="N24" s="7">
        <f t="shared" si="6"/>
        <v>0</v>
      </c>
      <c r="O24" s="4"/>
      <c r="P24" s="3"/>
      <c r="Q24" s="3"/>
      <c r="R24" s="3"/>
      <c r="S24" s="3"/>
      <c r="T24" s="3"/>
      <c r="U24" s="5"/>
      <c r="V24" s="125"/>
      <c r="W24" s="3"/>
      <c r="X24" s="3"/>
      <c r="Y24" s="3"/>
      <c r="Z24" s="3"/>
      <c r="AA24" s="8"/>
      <c r="AB24" s="8"/>
      <c r="AC24" s="3"/>
      <c r="AD24" s="3"/>
      <c r="AE24" s="3"/>
      <c r="AF24" s="3"/>
      <c r="AG24" s="3"/>
      <c r="AH24" s="8"/>
      <c r="AI24" s="8"/>
      <c r="AJ24" s="3"/>
      <c r="AK24" s="3"/>
      <c r="AL24" s="3"/>
      <c r="AM24" s="3"/>
      <c r="AN24" s="3"/>
      <c r="AO24" s="8"/>
      <c r="AP24" s="8"/>
      <c r="AQ24" s="3"/>
      <c r="AR24" s="3"/>
      <c r="AS24" s="3"/>
      <c r="AT24" s="3"/>
      <c r="AU24" s="3"/>
      <c r="AV24" s="8"/>
      <c r="AW24" s="8"/>
      <c r="AX24" s="3"/>
      <c r="AY24" s="131"/>
      <c r="AZ24" s="5"/>
      <c r="BA24" s="58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GO24" s="54"/>
      <c r="GP24" s="54"/>
    </row>
    <row r="25" spans="1:198" ht="15" hidden="1" customHeight="1" x14ac:dyDescent="0.25">
      <c r="A25" s="97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5"/>
        <v>0</v>
      </c>
      <c r="N25" s="7">
        <f t="shared" si="6"/>
        <v>0</v>
      </c>
      <c r="O25" s="4"/>
      <c r="P25" s="3"/>
      <c r="Q25" s="3"/>
      <c r="R25" s="3"/>
      <c r="S25" s="3"/>
      <c r="T25" s="3"/>
      <c r="U25" s="5"/>
      <c r="V25" s="125"/>
      <c r="W25" s="3"/>
      <c r="X25" s="3"/>
      <c r="Y25" s="3"/>
      <c r="Z25" s="3"/>
      <c r="AA25" s="8"/>
      <c r="AB25" s="8"/>
      <c r="AC25" s="3"/>
      <c r="AD25" s="3"/>
      <c r="AE25" s="3"/>
      <c r="AF25" s="3"/>
      <c r="AG25" s="3"/>
      <c r="AH25" s="8"/>
      <c r="AI25" s="8"/>
      <c r="AJ25" s="3"/>
      <c r="AK25" s="3"/>
      <c r="AL25" s="3"/>
      <c r="AM25" s="3"/>
      <c r="AN25" s="3"/>
      <c r="AO25" s="8"/>
      <c r="AP25" s="8"/>
      <c r="AQ25" s="3"/>
      <c r="AR25" s="3"/>
      <c r="AS25" s="3"/>
      <c r="AT25" s="3"/>
      <c r="AU25" s="3"/>
      <c r="AV25" s="8"/>
      <c r="AW25" s="8"/>
      <c r="AX25" s="3"/>
      <c r="AY25" s="131"/>
      <c r="AZ25" s="5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GO25" s="54"/>
      <c r="GP25" s="54"/>
    </row>
    <row r="26" spans="1:198" ht="15" hidden="1" customHeight="1" x14ac:dyDescent="0.25">
      <c r="A26" s="102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5"/>
        <v>0</v>
      </c>
      <c r="N26" s="7">
        <f t="shared" si="6"/>
        <v>0</v>
      </c>
      <c r="O26" s="4"/>
      <c r="P26" s="3"/>
      <c r="Q26" s="3"/>
      <c r="R26" s="3"/>
      <c r="S26" s="3"/>
      <c r="T26" s="3"/>
      <c r="U26" s="5"/>
      <c r="V26" s="125"/>
      <c r="W26" s="3"/>
      <c r="X26" s="3"/>
      <c r="Y26" s="3"/>
      <c r="Z26" s="3"/>
      <c r="AA26" s="8"/>
      <c r="AB26" s="8"/>
      <c r="AC26" s="3"/>
      <c r="AD26" s="3"/>
      <c r="AE26" s="3"/>
      <c r="AF26" s="3"/>
      <c r="AG26" s="3"/>
      <c r="AH26" s="8"/>
      <c r="AI26" s="8"/>
      <c r="AJ26" s="3"/>
      <c r="AK26" s="3"/>
      <c r="AL26" s="3"/>
      <c r="AM26" s="3"/>
      <c r="AN26" s="3"/>
      <c r="AO26" s="8"/>
      <c r="AP26" s="8"/>
      <c r="AQ26" s="3"/>
      <c r="AR26" s="3"/>
      <c r="AS26" s="3"/>
      <c r="AT26" s="3"/>
      <c r="AU26" s="3"/>
      <c r="AV26" s="8"/>
      <c r="AW26" s="8"/>
      <c r="AX26" s="3"/>
      <c r="AY26" s="131"/>
      <c r="AZ26" s="5"/>
      <c r="BA26" s="58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GO26" s="54"/>
      <c r="GP26" s="54"/>
    </row>
    <row r="27" spans="1:198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5"/>
        <v>0</v>
      </c>
      <c r="N27" s="7">
        <f t="shared" si="6"/>
        <v>0</v>
      </c>
      <c r="O27" s="4"/>
      <c r="P27" s="3"/>
      <c r="Q27" s="3"/>
      <c r="R27" s="3"/>
      <c r="S27" s="3"/>
      <c r="T27" s="3"/>
      <c r="U27" s="5"/>
      <c r="V27" s="125"/>
      <c r="W27" s="3"/>
      <c r="X27" s="3"/>
      <c r="Y27" s="3"/>
      <c r="Z27" s="3"/>
      <c r="AA27" s="8"/>
      <c r="AB27" s="8"/>
      <c r="AC27" s="3"/>
      <c r="AD27" s="3"/>
      <c r="AE27" s="3"/>
      <c r="AF27" s="3"/>
      <c r="AG27" s="3"/>
      <c r="AH27" s="8"/>
      <c r="AI27" s="8"/>
      <c r="AJ27" s="3"/>
      <c r="AK27" s="3"/>
      <c r="AL27" s="3"/>
      <c r="AM27" s="3"/>
      <c r="AN27" s="3"/>
      <c r="AO27" s="8"/>
      <c r="AP27" s="8"/>
      <c r="AQ27" s="3"/>
      <c r="AR27" s="3"/>
      <c r="AS27" s="3"/>
      <c r="AT27" s="3"/>
      <c r="AU27" s="3"/>
      <c r="AV27" s="8"/>
      <c r="AW27" s="8"/>
      <c r="AX27" s="3"/>
      <c r="AY27" s="131"/>
      <c r="AZ27" s="5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GO27" s="54"/>
      <c r="GP27" s="54"/>
    </row>
    <row r="28" spans="1:198" ht="15" hidden="1" customHeight="1" x14ac:dyDescent="0.25">
      <c r="A28" s="97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5"/>
        <v>0</v>
      </c>
      <c r="N28" s="7">
        <f t="shared" si="6"/>
        <v>0</v>
      </c>
      <c r="O28" s="4"/>
      <c r="P28" s="3"/>
      <c r="Q28" s="3"/>
      <c r="R28" s="3"/>
      <c r="S28" s="3"/>
      <c r="T28" s="3"/>
      <c r="U28" s="5"/>
      <c r="V28" s="125"/>
      <c r="W28" s="3"/>
      <c r="X28" s="3"/>
      <c r="Y28" s="3"/>
      <c r="Z28" s="3"/>
      <c r="AA28" s="8"/>
      <c r="AB28" s="8"/>
      <c r="AC28" s="3"/>
      <c r="AD28" s="3"/>
      <c r="AE28" s="3"/>
      <c r="AF28" s="3"/>
      <c r="AG28" s="3"/>
      <c r="AH28" s="8"/>
      <c r="AI28" s="8"/>
      <c r="AJ28" s="3"/>
      <c r="AK28" s="3"/>
      <c r="AL28" s="3"/>
      <c r="AM28" s="3"/>
      <c r="AN28" s="3"/>
      <c r="AO28" s="8"/>
      <c r="AP28" s="8"/>
      <c r="AQ28" s="3"/>
      <c r="AR28" s="3"/>
      <c r="AS28" s="3"/>
      <c r="AT28" s="3"/>
      <c r="AU28" s="3"/>
      <c r="AV28" s="8"/>
      <c r="AW28" s="8"/>
      <c r="AX28" s="3"/>
      <c r="AY28" s="131"/>
      <c r="AZ28" s="5"/>
      <c r="BA28" s="58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GO28" s="54"/>
      <c r="GP28" s="54"/>
    </row>
    <row r="29" spans="1:198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5"/>
        <v>0</v>
      </c>
      <c r="N29" s="7">
        <f t="shared" si="6"/>
        <v>0</v>
      </c>
      <c r="O29" s="4"/>
      <c r="P29" s="3"/>
      <c r="Q29" s="3"/>
      <c r="R29" s="3"/>
      <c r="S29" s="3"/>
      <c r="T29" s="3"/>
      <c r="U29" s="5"/>
      <c r="V29" s="125"/>
      <c r="W29" s="3"/>
      <c r="X29" s="3"/>
      <c r="Y29" s="3"/>
      <c r="Z29" s="3"/>
      <c r="AA29" s="8"/>
      <c r="AB29" s="8"/>
      <c r="AC29" s="3"/>
      <c r="AD29" s="3"/>
      <c r="AE29" s="3"/>
      <c r="AF29" s="3"/>
      <c r="AG29" s="3"/>
      <c r="AH29" s="8"/>
      <c r="AI29" s="8"/>
      <c r="AJ29" s="3"/>
      <c r="AK29" s="3"/>
      <c r="AL29" s="3"/>
      <c r="AM29" s="3"/>
      <c r="AN29" s="3"/>
      <c r="AO29" s="8"/>
      <c r="AP29" s="8"/>
      <c r="AQ29" s="3"/>
      <c r="AR29" s="3"/>
      <c r="AS29" s="3"/>
      <c r="AT29" s="3"/>
      <c r="AU29" s="3"/>
      <c r="AV29" s="8"/>
      <c r="AW29" s="8"/>
      <c r="AX29" s="3"/>
      <c r="AY29" s="131"/>
      <c r="AZ29" s="5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GO29" s="54"/>
      <c r="GP29" s="54"/>
    </row>
    <row r="30" spans="1:198" ht="15" hidden="1" customHeight="1" x14ac:dyDescent="0.25">
      <c r="A30" s="102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5"/>
        <v>0</v>
      </c>
      <c r="N30" s="7">
        <f t="shared" si="6"/>
        <v>0</v>
      </c>
      <c r="O30" s="4"/>
      <c r="P30" s="3"/>
      <c r="Q30" s="3"/>
      <c r="R30" s="3"/>
      <c r="S30" s="3"/>
      <c r="T30" s="3"/>
      <c r="U30" s="5"/>
      <c r="V30" s="125"/>
      <c r="W30" s="3"/>
      <c r="X30" s="3"/>
      <c r="Y30" s="3"/>
      <c r="Z30" s="3"/>
      <c r="AA30" s="8"/>
      <c r="AB30" s="8"/>
      <c r="AC30" s="3"/>
      <c r="AD30" s="3"/>
      <c r="AE30" s="3"/>
      <c r="AF30" s="3"/>
      <c r="AG30" s="3"/>
      <c r="AH30" s="8"/>
      <c r="AI30" s="8"/>
      <c r="AJ30" s="3"/>
      <c r="AK30" s="3"/>
      <c r="AL30" s="3"/>
      <c r="AM30" s="3"/>
      <c r="AN30" s="3"/>
      <c r="AO30" s="8"/>
      <c r="AP30" s="8"/>
      <c r="AQ30" s="3"/>
      <c r="AR30" s="3"/>
      <c r="AS30" s="3"/>
      <c r="AT30" s="3"/>
      <c r="AU30" s="3"/>
      <c r="AV30" s="8"/>
      <c r="AW30" s="8"/>
      <c r="AX30" s="3"/>
      <c r="AY30" s="131"/>
      <c r="AZ30" s="5"/>
      <c r="BA30" s="58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GO30" s="54"/>
      <c r="GP30" s="54"/>
    </row>
    <row r="31" spans="1:198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5"/>
        <v>0</v>
      </c>
      <c r="N31" s="7">
        <f t="shared" si="6"/>
        <v>0</v>
      </c>
      <c r="O31" s="4"/>
      <c r="P31" s="3"/>
      <c r="Q31" s="3"/>
      <c r="R31" s="3"/>
      <c r="S31" s="3"/>
      <c r="T31" s="3"/>
      <c r="U31" s="5"/>
      <c r="V31" s="125"/>
      <c r="W31" s="3"/>
      <c r="X31" s="3"/>
      <c r="Y31" s="3"/>
      <c r="Z31" s="3"/>
      <c r="AA31" s="8"/>
      <c r="AB31" s="8"/>
      <c r="AC31" s="3"/>
      <c r="AD31" s="3"/>
      <c r="AE31" s="3"/>
      <c r="AF31" s="3"/>
      <c r="AG31" s="3"/>
      <c r="AH31" s="8"/>
      <c r="AI31" s="8"/>
      <c r="AJ31" s="3"/>
      <c r="AK31" s="3"/>
      <c r="AL31" s="3"/>
      <c r="AM31" s="3"/>
      <c r="AN31" s="3"/>
      <c r="AO31" s="8"/>
      <c r="AP31" s="8"/>
      <c r="AQ31" s="3"/>
      <c r="AR31" s="3"/>
      <c r="AS31" s="3"/>
      <c r="AT31" s="3"/>
      <c r="AU31" s="3"/>
      <c r="AV31" s="8"/>
      <c r="AW31" s="8"/>
      <c r="AX31" s="3"/>
      <c r="AY31" s="131"/>
      <c r="AZ31" s="5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GO31" s="54"/>
      <c r="GP31" s="54"/>
    </row>
    <row r="32" spans="1:198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5"/>
        <v>0</v>
      </c>
      <c r="N32" s="7">
        <f t="shared" si="6"/>
        <v>0</v>
      </c>
      <c r="O32" s="4"/>
      <c r="P32" s="3"/>
      <c r="Q32" s="3"/>
      <c r="R32" s="3"/>
      <c r="S32" s="3"/>
      <c r="T32" s="3"/>
      <c r="U32" s="5"/>
      <c r="V32" s="125"/>
      <c r="W32" s="3"/>
      <c r="X32" s="3"/>
      <c r="Y32" s="3"/>
      <c r="Z32" s="3"/>
      <c r="AA32" s="8"/>
      <c r="AB32" s="8"/>
      <c r="AC32" s="3"/>
      <c r="AD32" s="3"/>
      <c r="AE32" s="3"/>
      <c r="AF32" s="3"/>
      <c r="AG32" s="3"/>
      <c r="AH32" s="8"/>
      <c r="AI32" s="8"/>
      <c r="AJ32" s="3"/>
      <c r="AK32" s="3"/>
      <c r="AL32" s="3"/>
      <c r="AM32" s="3"/>
      <c r="AN32" s="3"/>
      <c r="AO32" s="8"/>
      <c r="AP32" s="8"/>
      <c r="AQ32" s="3"/>
      <c r="AR32" s="3"/>
      <c r="AS32" s="3"/>
      <c r="AT32" s="3"/>
      <c r="AU32" s="3"/>
      <c r="AV32" s="8"/>
      <c r="AW32" s="8"/>
      <c r="AX32" s="3"/>
      <c r="AY32" s="131"/>
      <c r="AZ32" s="5"/>
      <c r="BA32" s="58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GO32" s="54"/>
      <c r="GP32" s="54"/>
    </row>
    <row r="33" spans="1:198" ht="15" hidden="1" customHeight="1" x14ac:dyDescent="0.25">
      <c r="A33" s="97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5"/>
        <v>0</v>
      </c>
      <c r="N33" s="7">
        <f t="shared" si="6"/>
        <v>0</v>
      </c>
      <c r="O33" s="4"/>
      <c r="P33" s="3"/>
      <c r="Q33" s="3"/>
      <c r="R33" s="3"/>
      <c r="S33" s="3"/>
      <c r="T33" s="3"/>
      <c r="U33" s="5"/>
      <c r="V33" s="125"/>
      <c r="W33" s="3"/>
      <c r="X33" s="3"/>
      <c r="Y33" s="3"/>
      <c r="Z33" s="3"/>
      <c r="AA33" s="8"/>
      <c r="AB33" s="8"/>
      <c r="AC33" s="3"/>
      <c r="AD33" s="3"/>
      <c r="AE33" s="3"/>
      <c r="AF33" s="3"/>
      <c r="AG33" s="3"/>
      <c r="AH33" s="8"/>
      <c r="AI33" s="8"/>
      <c r="AJ33" s="3"/>
      <c r="AK33" s="3"/>
      <c r="AL33" s="3"/>
      <c r="AM33" s="3"/>
      <c r="AN33" s="3"/>
      <c r="AO33" s="8"/>
      <c r="AP33" s="8"/>
      <c r="AQ33" s="3"/>
      <c r="AR33" s="3"/>
      <c r="AS33" s="3"/>
      <c r="AT33" s="3"/>
      <c r="AU33" s="3"/>
      <c r="AV33" s="8"/>
      <c r="AW33" s="8"/>
      <c r="AX33" s="3"/>
      <c r="AY33" s="131"/>
      <c r="AZ33" s="5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GO33" s="54"/>
      <c r="GP33" s="54"/>
    </row>
    <row r="34" spans="1:198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5"/>
        <v>0</v>
      </c>
      <c r="N34" s="7">
        <f t="shared" si="6"/>
        <v>0</v>
      </c>
      <c r="O34" s="4"/>
      <c r="P34" s="3"/>
      <c r="Q34" s="3"/>
      <c r="R34" s="3"/>
      <c r="S34" s="3"/>
      <c r="T34" s="3"/>
      <c r="U34" s="5"/>
      <c r="V34" s="125"/>
      <c r="W34" s="3"/>
      <c r="X34" s="3"/>
      <c r="Y34" s="3"/>
      <c r="Z34" s="3"/>
      <c r="AA34" s="8"/>
      <c r="AB34" s="8"/>
      <c r="AC34" s="3"/>
      <c r="AD34" s="3"/>
      <c r="AE34" s="3"/>
      <c r="AF34" s="3"/>
      <c r="AG34" s="3"/>
      <c r="AH34" s="8"/>
      <c r="AI34" s="8"/>
      <c r="AJ34" s="3"/>
      <c r="AK34" s="3"/>
      <c r="AL34" s="3"/>
      <c r="AM34" s="3"/>
      <c r="AN34" s="3"/>
      <c r="AO34" s="8"/>
      <c r="AP34" s="8"/>
      <c r="AQ34" s="3"/>
      <c r="AR34" s="3"/>
      <c r="AS34" s="3"/>
      <c r="AT34" s="3"/>
      <c r="AU34" s="3"/>
      <c r="AV34" s="8"/>
      <c r="AW34" s="8"/>
      <c r="AX34" s="3"/>
      <c r="AY34" s="131"/>
      <c r="AZ34" s="5"/>
      <c r="BA34" s="58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GO34" s="54"/>
      <c r="GP34" s="54"/>
    </row>
    <row r="35" spans="1:198" ht="15" hidden="1" customHeight="1" x14ac:dyDescent="0.25">
      <c r="A35" s="102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5"/>
        <v>0</v>
      </c>
      <c r="N35" s="7">
        <f t="shared" si="6"/>
        <v>0</v>
      </c>
      <c r="O35" s="4"/>
      <c r="P35" s="3"/>
      <c r="Q35" s="3"/>
      <c r="R35" s="3"/>
      <c r="S35" s="3"/>
      <c r="T35" s="3"/>
      <c r="U35" s="5"/>
      <c r="V35" s="125"/>
      <c r="W35" s="3"/>
      <c r="X35" s="3"/>
      <c r="Y35" s="3"/>
      <c r="Z35" s="3"/>
      <c r="AA35" s="8"/>
      <c r="AB35" s="8"/>
      <c r="AC35" s="3"/>
      <c r="AD35" s="3"/>
      <c r="AE35" s="3"/>
      <c r="AF35" s="3"/>
      <c r="AG35" s="3"/>
      <c r="AH35" s="8"/>
      <c r="AI35" s="8"/>
      <c r="AJ35" s="3"/>
      <c r="AK35" s="3"/>
      <c r="AL35" s="3"/>
      <c r="AM35" s="3"/>
      <c r="AN35" s="3"/>
      <c r="AO35" s="8"/>
      <c r="AP35" s="8"/>
      <c r="AQ35" s="3"/>
      <c r="AR35" s="3"/>
      <c r="AS35" s="3"/>
      <c r="AT35" s="3"/>
      <c r="AU35" s="3"/>
      <c r="AV35" s="8"/>
      <c r="AW35" s="8"/>
      <c r="AX35" s="3"/>
      <c r="AY35" s="131"/>
      <c r="AZ35" s="5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GO35" s="54"/>
      <c r="GP35" s="54"/>
    </row>
    <row r="36" spans="1:198" ht="15" hidden="1" customHeight="1" x14ac:dyDescent="0.25">
      <c r="A36" s="97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5"/>
        <v>0</v>
      </c>
      <c r="N36" s="7">
        <f t="shared" si="6"/>
        <v>0</v>
      </c>
      <c r="O36" s="4"/>
      <c r="P36" s="3"/>
      <c r="Q36" s="3"/>
      <c r="R36" s="3"/>
      <c r="S36" s="3"/>
      <c r="T36" s="3"/>
      <c r="U36" s="5"/>
      <c r="V36" s="125"/>
      <c r="W36" s="3"/>
      <c r="X36" s="3"/>
      <c r="Y36" s="3"/>
      <c r="Z36" s="3"/>
      <c r="AA36" s="8"/>
      <c r="AB36" s="8"/>
      <c r="AC36" s="3"/>
      <c r="AD36" s="3"/>
      <c r="AE36" s="3"/>
      <c r="AF36" s="3"/>
      <c r="AG36" s="3"/>
      <c r="AH36" s="8"/>
      <c r="AI36" s="8"/>
      <c r="AJ36" s="3"/>
      <c r="AK36" s="3"/>
      <c r="AL36" s="3"/>
      <c r="AM36" s="3"/>
      <c r="AN36" s="3"/>
      <c r="AO36" s="8"/>
      <c r="AP36" s="8"/>
      <c r="AQ36" s="3"/>
      <c r="AR36" s="3"/>
      <c r="AS36" s="3"/>
      <c r="AT36" s="3"/>
      <c r="AU36" s="3"/>
      <c r="AV36" s="8"/>
      <c r="AW36" s="8"/>
      <c r="AX36" s="3"/>
      <c r="AY36" s="131"/>
      <c r="AZ36" s="5"/>
      <c r="BA36" s="58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GO36" s="54"/>
      <c r="GP36" s="54"/>
    </row>
    <row r="37" spans="1:198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5"/>
        <v>0</v>
      </c>
      <c r="N37" s="7">
        <f t="shared" si="6"/>
        <v>0</v>
      </c>
      <c r="O37" s="4"/>
      <c r="P37" s="3"/>
      <c r="Q37" s="3"/>
      <c r="R37" s="3"/>
      <c r="S37" s="3"/>
      <c r="T37" s="3"/>
      <c r="U37" s="5"/>
      <c r="V37" s="125"/>
      <c r="W37" s="3"/>
      <c r="X37" s="3"/>
      <c r="Y37" s="3"/>
      <c r="Z37" s="3"/>
      <c r="AA37" s="8"/>
      <c r="AB37" s="8"/>
      <c r="AC37" s="3"/>
      <c r="AD37" s="3"/>
      <c r="AE37" s="3"/>
      <c r="AF37" s="3"/>
      <c r="AG37" s="3"/>
      <c r="AH37" s="8"/>
      <c r="AI37" s="8"/>
      <c r="AJ37" s="3"/>
      <c r="AK37" s="3"/>
      <c r="AL37" s="3"/>
      <c r="AM37" s="3"/>
      <c r="AN37" s="3"/>
      <c r="AO37" s="8"/>
      <c r="AP37" s="8"/>
      <c r="AQ37" s="3"/>
      <c r="AR37" s="3"/>
      <c r="AS37" s="3"/>
      <c r="AT37" s="3"/>
      <c r="AU37" s="3"/>
      <c r="AV37" s="8"/>
      <c r="AW37" s="8"/>
      <c r="AX37" s="3"/>
      <c r="AY37" s="131"/>
      <c r="AZ37" s="5"/>
      <c r="BA37" s="58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GO37" s="54"/>
      <c r="GP37" s="54"/>
    </row>
    <row r="38" spans="1:198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5"/>
        <v>0</v>
      </c>
      <c r="N38" s="7">
        <f t="shared" si="6"/>
        <v>0</v>
      </c>
      <c r="O38" s="4"/>
      <c r="P38" s="3"/>
      <c r="Q38" s="3"/>
      <c r="R38" s="3"/>
      <c r="S38" s="3"/>
      <c r="T38" s="3"/>
      <c r="U38" s="5"/>
      <c r="V38" s="125"/>
      <c r="W38" s="3"/>
      <c r="X38" s="3"/>
      <c r="Y38" s="3"/>
      <c r="Z38" s="3"/>
      <c r="AA38" s="8"/>
      <c r="AB38" s="8"/>
      <c r="AC38" s="3"/>
      <c r="AD38" s="3"/>
      <c r="AE38" s="3"/>
      <c r="AF38" s="3"/>
      <c r="AG38" s="3"/>
      <c r="AH38" s="8"/>
      <c r="AI38" s="8"/>
      <c r="AJ38" s="3"/>
      <c r="AK38" s="3"/>
      <c r="AL38" s="3"/>
      <c r="AM38" s="3"/>
      <c r="AN38" s="3"/>
      <c r="AO38" s="8"/>
      <c r="AP38" s="8"/>
      <c r="AQ38" s="3"/>
      <c r="AR38" s="3"/>
      <c r="AS38" s="3"/>
      <c r="AT38" s="3"/>
      <c r="AU38" s="3"/>
      <c r="AV38" s="8"/>
      <c r="AW38" s="8"/>
      <c r="AX38" s="3"/>
      <c r="AY38" s="131"/>
      <c r="AZ38" s="5"/>
      <c r="BA38" s="58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GO38" s="54"/>
      <c r="GP38" s="54"/>
    </row>
    <row r="39" spans="1:198" ht="15" hidden="1" customHeight="1" x14ac:dyDescent="0.25">
      <c r="A39" s="102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5"/>
        <v>0</v>
      </c>
      <c r="N39" s="7">
        <f t="shared" si="6"/>
        <v>0</v>
      </c>
      <c r="O39" s="4"/>
      <c r="P39" s="3"/>
      <c r="Q39" s="3"/>
      <c r="R39" s="3"/>
      <c r="S39" s="3"/>
      <c r="T39" s="3"/>
      <c r="U39" s="5"/>
      <c r="V39" s="125"/>
      <c r="W39" s="3"/>
      <c r="X39" s="3"/>
      <c r="Y39" s="3"/>
      <c r="Z39" s="3"/>
      <c r="AA39" s="8"/>
      <c r="AB39" s="8"/>
      <c r="AC39" s="3"/>
      <c r="AD39" s="3"/>
      <c r="AE39" s="3"/>
      <c r="AF39" s="3"/>
      <c r="AG39" s="3"/>
      <c r="AH39" s="8"/>
      <c r="AI39" s="8"/>
      <c r="AJ39" s="3"/>
      <c r="AK39" s="3"/>
      <c r="AL39" s="3"/>
      <c r="AM39" s="3"/>
      <c r="AN39" s="3"/>
      <c r="AO39" s="8"/>
      <c r="AP39" s="8"/>
      <c r="AQ39" s="3"/>
      <c r="AR39" s="3"/>
      <c r="AS39" s="3"/>
      <c r="AT39" s="3"/>
      <c r="AU39" s="3"/>
      <c r="AV39" s="8"/>
      <c r="AW39" s="8"/>
      <c r="AX39" s="3"/>
      <c r="AY39" s="131"/>
      <c r="AZ39" s="5"/>
      <c r="BA39" s="58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GO39" s="54"/>
      <c r="GP39" s="54"/>
    </row>
    <row r="40" spans="1:198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5"/>
        <v>0</v>
      </c>
      <c r="N40" s="7">
        <f t="shared" si="6"/>
        <v>0</v>
      </c>
      <c r="O40" s="4"/>
      <c r="P40" s="3"/>
      <c r="Q40" s="3"/>
      <c r="R40" s="3"/>
      <c r="S40" s="3"/>
      <c r="T40" s="3"/>
      <c r="U40" s="5"/>
      <c r="V40" s="125"/>
      <c r="W40" s="3"/>
      <c r="X40" s="3"/>
      <c r="Y40" s="3"/>
      <c r="Z40" s="3"/>
      <c r="AA40" s="8"/>
      <c r="AB40" s="8"/>
      <c r="AC40" s="3"/>
      <c r="AD40" s="3"/>
      <c r="AE40" s="3"/>
      <c r="AF40" s="3"/>
      <c r="AG40" s="3"/>
      <c r="AH40" s="8"/>
      <c r="AI40" s="8"/>
      <c r="AJ40" s="3"/>
      <c r="AK40" s="3"/>
      <c r="AL40" s="3"/>
      <c r="AM40" s="3"/>
      <c r="AN40" s="3"/>
      <c r="AO40" s="8"/>
      <c r="AP40" s="8"/>
      <c r="AQ40" s="3"/>
      <c r="AR40" s="3"/>
      <c r="AS40" s="3"/>
      <c r="AT40" s="3"/>
      <c r="AU40" s="3"/>
      <c r="AV40" s="8"/>
      <c r="AW40" s="8"/>
      <c r="AX40" s="3"/>
      <c r="AY40" s="131"/>
      <c r="AZ40" s="5"/>
      <c r="BA40" s="58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GO40" s="54"/>
      <c r="GP40" s="54"/>
    </row>
    <row r="41" spans="1:198" ht="15" hidden="1" customHeight="1" x14ac:dyDescent="0.25">
      <c r="A41" s="97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5"/>
        <v>0</v>
      </c>
      <c r="N41" s="7">
        <f t="shared" si="6"/>
        <v>0</v>
      </c>
      <c r="O41" s="4"/>
      <c r="P41" s="3"/>
      <c r="Q41" s="3"/>
      <c r="R41" s="3"/>
      <c r="S41" s="3"/>
      <c r="T41" s="3"/>
      <c r="U41" s="5"/>
      <c r="V41" s="125"/>
      <c r="W41" s="3"/>
      <c r="X41" s="3"/>
      <c r="Y41" s="3"/>
      <c r="Z41" s="3"/>
      <c r="AA41" s="8"/>
      <c r="AB41" s="8"/>
      <c r="AC41" s="3"/>
      <c r="AD41" s="3"/>
      <c r="AE41" s="3"/>
      <c r="AF41" s="3"/>
      <c r="AG41" s="3"/>
      <c r="AH41" s="8"/>
      <c r="AI41" s="8"/>
      <c r="AJ41" s="3"/>
      <c r="AK41" s="3"/>
      <c r="AL41" s="3"/>
      <c r="AM41" s="3"/>
      <c r="AN41" s="3"/>
      <c r="AO41" s="8"/>
      <c r="AP41" s="8"/>
      <c r="AQ41" s="3"/>
      <c r="AR41" s="3"/>
      <c r="AS41" s="3"/>
      <c r="AT41" s="3"/>
      <c r="AU41" s="3"/>
      <c r="AV41" s="8"/>
      <c r="AW41" s="8"/>
      <c r="AX41" s="3"/>
      <c r="AY41" s="131"/>
      <c r="AZ41" s="5"/>
      <c r="BA41" s="58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GO41" s="54"/>
      <c r="GP41" s="54"/>
    </row>
    <row r="42" spans="1:198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5"/>
        <v>0</v>
      </c>
      <c r="N42" s="7">
        <f t="shared" si="6"/>
        <v>0</v>
      </c>
      <c r="O42" s="4"/>
      <c r="P42" s="3"/>
      <c r="Q42" s="3"/>
      <c r="R42" s="3"/>
      <c r="S42" s="3"/>
      <c r="T42" s="3"/>
      <c r="U42" s="5"/>
      <c r="V42" s="125"/>
      <c r="W42" s="3"/>
      <c r="X42" s="3"/>
      <c r="Y42" s="3"/>
      <c r="Z42" s="3"/>
      <c r="AA42" s="8"/>
      <c r="AB42" s="8"/>
      <c r="AC42" s="3"/>
      <c r="AD42" s="3"/>
      <c r="AE42" s="3"/>
      <c r="AF42" s="3"/>
      <c r="AG42" s="3"/>
      <c r="AH42" s="8"/>
      <c r="AI42" s="8"/>
      <c r="AJ42" s="3"/>
      <c r="AK42" s="3"/>
      <c r="AL42" s="3"/>
      <c r="AM42" s="3"/>
      <c r="AN42" s="3"/>
      <c r="AO42" s="8"/>
      <c r="AP42" s="8"/>
      <c r="AQ42" s="3"/>
      <c r="AR42" s="3"/>
      <c r="AS42" s="3"/>
      <c r="AT42" s="3"/>
      <c r="AU42" s="3"/>
      <c r="AV42" s="8"/>
      <c r="AW42" s="8"/>
      <c r="AX42" s="3"/>
      <c r="AY42" s="131"/>
      <c r="AZ42" s="5"/>
      <c r="BA42" s="58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GO42" s="54"/>
      <c r="GP42" s="54"/>
    </row>
    <row r="43" spans="1:198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5"/>
        <v>0</v>
      </c>
      <c r="N43" s="7">
        <f t="shared" si="6"/>
        <v>0</v>
      </c>
      <c r="O43" s="4"/>
      <c r="P43" s="3"/>
      <c r="Q43" s="3"/>
      <c r="R43" s="3"/>
      <c r="S43" s="3"/>
      <c r="T43" s="3"/>
      <c r="U43" s="5"/>
      <c r="V43" s="125"/>
      <c r="W43" s="3"/>
      <c r="X43" s="3"/>
      <c r="Y43" s="3"/>
      <c r="Z43" s="3"/>
      <c r="AA43" s="8"/>
      <c r="AB43" s="8"/>
      <c r="AC43" s="3"/>
      <c r="AD43" s="3"/>
      <c r="AE43" s="3"/>
      <c r="AF43" s="3"/>
      <c r="AG43" s="3"/>
      <c r="AH43" s="8"/>
      <c r="AI43" s="8"/>
      <c r="AJ43" s="3"/>
      <c r="AK43" s="3"/>
      <c r="AL43" s="3"/>
      <c r="AM43" s="3"/>
      <c r="AN43" s="3"/>
      <c r="AO43" s="8"/>
      <c r="AP43" s="8"/>
      <c r="AQ43" s="3"/>
      <c r="AR43" s="3"/>
      <c r="AS43" s="3"/>
      <c r="AT43" s="3"/>
      <c r="AU43" s="3"/>
      <c r="AV43" s="8"/>
      <c r="AW43" s="8"/>
      <c r="AX43" s="3"/>
      <c r="AY43" s="131"/>
      <c r="AZ43" s="5"/>
      <c r="BA43" s="58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GO43" s="54"/>
      <c r="GP43" s="54"/>
    </row>
    <row r="44" spans="1:198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si="5"/>
        <v>0</v>
      </c>
      <c r="N44" s="7">
        <f t="shared" si="6"/>
        <v>0</v>
      </c>
      <c r="O44" s="4"/>
      <c r="P44" s="3"/>
      <c r="Q44" s="3"/>
      <c r="R44" s="3"/>
      <c r="S44" s="3"/>
      <c r="T44" s="3"/>
      <c r="U44" s="5"/>
      <c r="V44" s="125"/>
      <c r="W44" s="3"/>
      <c r="X44" s="3"/>
      <c r="Y44" s="3"/>
      <c r="Z44" s="3"/>
      <c r="AA44" s="8"/>
      <c r="AB44" s="8"/>
      <c r="AC44" s="3"/>
      <c r="AD44" s="3"/>
      <c r="AE44" s="3"/>
      <c r="AF44" s="3"/>
      <c r="AG44" s="3"/>
      <c r="AH44" s="8"/>
      <c r="AI44" s="8"/>
      <c r="AJ44" s="3"/>
      <c r="AK44" s="3"/>
      <c r="AL44" s="3"/>
      <c r="AM44" s="3"/>
      <c r="AN44" s="3"/>
      <c r="AO44" s="8"/>
      <c r="AP44" s="8"/>
      <c r="AQ44" s="3"/>
      <c r="AR44" s="3"/>
      <c r="AS44" s="3"/>
      <c r="AT44" s="3"/>
      <c r="AU44" s="3"/>
      <c r="AV44" s="8"/>
      <c r="AW44" s="8"/>
      <c r="AX44" s="3"/>
      <c r="AY44" s="131"/>
      <c r="AZ44" s="5"/>
      <c r="BA44" s="58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GO44" s="54"/>
      <c r="GP44" s="54"/>
    </row>
    <row r="45" spans="1:198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5"/>
        <v>0</v>
      </c>
      <c r="N45" s="7">
        <f t="shared" si="6"/>
        <v>0</v>
      </c>
      <c r="O45" s="4"/>
      <c r="P45" s="3"/>
      <c r="Q45" s="3"/>
      <c r="R45" s="3"/>
      <c r="S45" s="3"/>
      <c r="T45" s="3"/>
      <c r="U45" s="5"/>
      <c r="V45" s="125"/>
      <c r="W45" s="3"/>
      <c r="X45" s="3"/>
      <c r="Y45" s="3"/>
      <c r="Z45" s="3"/>
      <c r="AA45" s="8"/>
      <c r="AB45" s="8"/>
      <c r="AC45" s="3"/>
      <c r="AD45" s="3"/>
      <c r="AE45" s="3"/>
      <c r="AF45" s="3"/>
      <c r="AG45" s="3"/>
      <c r="AH45" s="8"/>
      <c r="AI45" s="8"/>
      <c r="AJ45" s="3"/>
      <c r="AK45" s="3"/>
      <c r="AL45" s="3"/>
      <c r="AM45" s="3"/>
      <c r="AN45" s="3"/>
      <c r="AO45" s="8"/>
      <c r="AP45" s="8"/>
      <c r="AQ45" s="3"/>
      <c r="AR45" s="3"/>
      <c r="AS45" s="3"/>
      <c r="AT45" s="3"/>
      <c r="AU45" s="3"/>
      <c r="AV45" s="8"/>
      <c r="AW45" s="8"/>
      <c r="AX45" s="3"/>
      <c r="AY45" s="131"/>
      <c r="AZ45" s="5"/>
      <c r="BA45" s="58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GO45" s="54"/>
      <c r="GP45" s="54"/>
    </row>
    <row r="46" spans="1:198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5"/>
        <v>0</v>
      </c>
      <c r="N46" s="7">
        <f t="shared" si="6"/>
        <v>0</v>
      </c>
      <c r="O46" s="4"/>
      <c r="P46" s="3"/>
      <c r="Q46" s="3"/>
      <c r="R46" s="3"/>
      <c r="S46" s="3"/>
      <c r="T46" s="3"/>
      <c r="U46" s="5"/>
      <c r="V46" s="125"/>
      <c r="W46" s="3"/>
      <c r="X46" s="3"/>
      <c r="Y46" s="3"/>
      <c r="Z46" s="3"/>
      <c r="AA46" s="8"/>
      <c r="AB46" s="8"/>
      <c r="AC46" s="3"/>
      <c r="AD46" s="3"/>
      <c r="AE46" s="3"/>
      <c r="AF46" s="3"/>
      <c r="AG46" s="3"/>
      <c r="AH46" s="8"/>
      <c r="AI46" s="8"/>
      <c r="AJ46" s="3"/>
      <c r="AK46" s="3"/>
      <c r="AL46" s="3"/>
      <c r="AM46" s="3"/>
      <c r="AN46" s="3"/>
      <c r="AO46" s="8"/>
      <c r="AP46" s="8"/>
      <c r="AQ46" s="3"/>
      <c r="AR46" s="3"/>
      <c r="AS46" s="3"/>
      <c r="AT46" s="3"/>
      <c r="AU46" s="3"/>
      <c r="AV46" s="8"/>
      <c r="AW46" s="8"/>
      <c r="AX46" s="3"/>
      <c r="AY46" s="131"/>
      <c r="AZ46" s="5"/>
      <c r="BA46" s="58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GO46" s="54"/>
      <c r="GP46" s="54"/>
    </row>
    <row r="47" spans="1:198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5"/>
        <v>0</v>
      </c>
      <c r="N47" s="7">
        <f t="shared" si="6"/>
        <v>0</v>
      </c>
      <c r="O47" s="4"/>
      <c r="P47" s="3"/>
      <c r="Q47" s="3"/>
      <c r="R47" s="3"/>
      <c r="S47" s="3"/>
      <c r="T47" s="3"/>
      <c r="U47" s="5"/>
      <c r="V47" s="125"/>
      <c r="W47" s="3"/>
      <c r="X47" s="3"/>
      <c r="Y47" s="3"/>
      <c r="Z47" s="3"/>
      <c r="AA47" s="8"/>
      <c r="AB47" s="8"/>
      <c r="AC47" s="3"/>
      <c r="AD47" s="3"/>
      <c r="AE47" s="3"/>
      <c r="AF47" s="3"/>
      <c r="AG47" s="3"/>
      <c r="AH47" s="8"/>
      <c r="AI47" s="8"/>
      <c r="AJ47" s="3"/>
      <c r="AK47" s="3"/>
      <c r="AL47" s="3"/>
      <c r="AM47" s="3"/>
      <c r="AN47" s="3"/>
      <c r="AO47" s="8"/>
      <c r="AP47" s="8"/>
      <c r="AQ47" s="3"/>
      <c r="AR47" s="3"/>
      <c r="AS47" s="3"/>
      <c r="AT47" s="3"/>
      <c r="AU47" s="3"/>
      <c r="AV47" s="8"/>
      <c r="AW47" s="8"/>
      <c r="AX47" s="3"/>
      <c r="AY47" s="131"/>
      <c r="AZ47" s="5"/>
      <c r="BA47" s="58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GO47" s="54"/>
      <c r="GP47" s="54"/>
    </row>
    <row r="48" spans="1:198" ht="15" hidden="1" customHeight="1" x14ac:dyDescent="0.25">
      <c r="A48" s="102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5"/>
        <v>0</v>
      </c>
      <c r="N48" s="7">
        <f t="shared" si="6"/>
        <v>0</v>
      </c>
      <c r="O48" s="4"/>
      <c r="P48" s="3"/>
      <c r="Q48" s="3"/>
      <c r="R48" s="3"/>
      <c r="S48" s="3"/>
      <c r="T48" s="3"/>
      <c r="U48" s="5"/>
      <c r="V48" s="125"/>
      <c r="W48" s="3"/>
      <c r="X48" s="3"/>
      <c r="Y48" s="3"/>
      <c r="Z48" s="3"/>
      <c r="AA48" s="8"/>
      <c r="AB48" s="8"/>
      <c r="AC48" s="3"/>
      <c r="AD48" s="3"/>
      <c r="AE48" s="3"/>
      <c r="AF48" s="3"/>
      <c r="AG48" s="3"/>
      <c r="AH48" s="8"/>
      <c r="AI48" s="8"/>
      <c r="AJ48" s="3"/>
      <c r="AK48" s="3"/>
      <c r="AL48" s="3"/>
      <c r="AM48" s="3"/>
      <c r="AN48" s="3"/>
      <c r="AO48" s="8"/>
      <c r="AP48" s="8"/>
      <c r="AQ48" s="3"/>
      <c r="AR48" s="3"/>
      <c r="AS48" s="3"/>
      <c r="AT48" s="3"/>
      <c r="AU48" s="3"/>
      <c r="AV48" s="8"/>
      <c r="AW48" s="8"/>
      <c r="AX48" s="3"/>
      <c r="AY48" s="131"/>
      <c r="AZ48" s="5"/>
      <c r="BA48" s="58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GO48" s="54"/>
      <c r="GP48" s="54"/>
    </row>
    <row r="49" spans="1:198" ht="15" hidden="1" customHeight="1" x14ac:dyDescent="0.25">
      <c r="A49" s="97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5"/>
        <v>0</v>
      </c>
      <c r="N49" s="7">
        <f t="shared" si="6"/>
        <v>0</v>
      </c>
      <c r="O49" s="4"/>
      <c r="P49" s="3"/>
      <c r="Q49" s="3"/>
      <c r="R49" s="3"/>
      <c r="S49" s="3"/>
      <c r="T49" s="3"/>
      <c r="U49" s="5"/>
      <c r="V49" s="125"/>
      <c r="W49" s="3"/>
      <c r="X49" s="3"/>
      <c r="Y49" s="3"/>
      <c r="Z49" s="3"/>
      <c r="AA49" s="8"/>
      <c r="AB49" s="8"/>
      <c r="AC49" s="3"/>
      <c r="AD49" s="3"/>
      <c r="AE49" s="3"/>
      <c r="AF49" s="3"/>
      <c r="AG49" s="3"/>
      <c r="AH49" s="8"/>
      <c r="AI49" s="8"/>
      <c r="AJ49" s="3"/>
      <c r="AK49" s="3"/>
      <c r="AL49" s="3"/>
      <c r="AM49" s="3"/>
      <c r="AN49" s="3"/>
      <c r="AO49" s="8"/>
      <c r="AP49" s="8"/>
      <c r="AQ49" s="3"/>
      <c r="AR49" s="3"/>
      <c r="AS49" s="3"/>
      <c r="AT49" s="3"/>
      <c r="AU49" s="3"/>
      <c r="AV49" s="8"/>
      <c r="AW49" s="8"/>
      <c r="AX49" s="3"/>
      <c r="AY49" s="131"/>
      <c r="AZ49" s="5"/>
      <c r="BA49" s="58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GO49" s="54"/>
      <c r="GP49" s="54"/>
    </row>
    <row r="50" spans="1:198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5"/>
        <v>0</v>
      </c>
      <c r="N50" s="7">
        <f t="shared" si="6"/>
        <v>0</v>
      </c>
      <c r="O50" s="4"/>
      <c r="P50" s="3"/>
      <c r="Q50" s="3"/>
      <c r="R50" s="3"/>
      <c r="S50" s="3"/>
      <c r="T50" s="3"/>
      <c r="U50" s="5"/>
      <c r="V50" s="125"/>
      <c r="W50" s="3"/>
      <c r="X50" s="3"/>
      <c r="Y50" s="3"/>
      <c r="Z50" s="3"/>
      <c r="AA50" s="8"/>
      <c r="AB50" s="8"/>
      <c r="AC50" s="3"/>
      <c r="AD50" s="3"/>
      <c r="AE50" s="3"/>
      <c r="AF50" s="3"/>
      <c r="AG50" s="3"/>
      <c r="AH50" s="8"/>
      <c r="AI50" s="8"/>
      <c r="AJ50" s="3"/>
      <c r="AK50" s="3"/>
      <c r="AL50" s="3"/>
      <c r="AM50" s="3"/>
      <c r="AN50" s="3"/>
      <c r="AO50" s="8"/>
      <c r="AP50" s="8"/>
      <c r="AQ50" s="3"/>
      <c r="AR50" s="3"/>
      <c r="AS50" s="3"/>
      <c r="AT50" s="3"/>
      <c r="AU50" s="3"/>
      <c r="AV50" s="8"/>
      <c r="AW50" s="8"/>
      <c r="AX50" s="3"/>
      <c r="AY50" s="131"/>
      <c r="AZ50" s="5"/>
      <c r="BA50" s="58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GO50" s="54"/>
      <c r="GP50" s="54"/>
    </row>
    <row r="51" spans="1:198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5"/>
        <v>0</v>
      </c>
      <c r="N51" s="7">
        <f t="shared" si="6"/>
        <v>0</v>
      </c>
      <c r="O51" s="4"/>
      <c r="P51" s="3"/>
      <c r="Q51" s="3"/>
      <c r="R51" s="3"/>
      <c r="S51" s="3"/>
      <c r="T51" s="3"/>
      <c r="U51" s="5"/>
      <c r="V51" s="125"/>
      <c r="W51" s="3"/>
      <c r="X51" s="3"/>
      <c r="Y51" s="3"/>
      <c r="Z51" s="3"/>
      <c r="AA51" s="8"/>
      <c r="AB51" s="8"/>
      <c r="AC51" s="3"/>
      <c r="AD51" s="3"/>
      <c r="AE51" s="3"/>
      <c r="AF51" s="3"/>
      <c r="AG51" s="3"/>
      <c r="AH51" s="8"/>
      <c r="AI51" s="8"/>
      <c r="AJ51" s="3"/>
      <c r="AK51" s="3"/>
      <c r="AL51" s="3"/>
      <c r="AM51" s="3"/>
      <c r="AN51" s="3"/>
      <c r="AO51" s="8"/>
      <c r="AP51" s="8"/>
      <c r="AQ51" s="3"/>
      <c r="AR51" s="3"/>
      <c r="AS51" s="3"/>
      <c r="AT51" s="3"/>
      <c r="AU51" s="3"/>
      <c r="AV51" s="8"/>
      <c r="AW51" s="8"/>
      <c r="AX51" s="3"/>
      <c r="AY51" s="131"/>
      <c r="AZ51" s="5"/>
      <c r="BA51" s="58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GO51" s="54"/>
      <c r="GP51" s="54"/>
    </row>
    <row r="52" spans="1:198" ht="15" hidden="1" customHeight="1" x14ac:dyDescent="0.25">
      <c r="A52" s="97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5"/>
        <v>0</v>
      </c>
      <c r="N52" s="7">
        <f t="shared" si="6"/>
        <v>0</v>
      </c>
      <c r="O52" s="4"/>
      <c r="P52" s="3"/>
      <c r="Q52" s="3"/>
      <c r="R52" s="3"/>
      <c r="S52" s="3"/>
      <c r="T52" s="3"/>
      <c r="U52" s="5"/>
      <c r="V52" s="125"/>
      <c r="W52" s="3"/>
      <c r="X52" s="3"/>
      <c r="Y52" s="3"/>
      <c r="Z52" s="3"/>
      <c r="AA52" s="8"/>
      <c r="AB52" s="8"/>
      <c r="AC52" s="3"/>
      <c r="AD52" s="3"/>
      <c r="AE52" s="3"/>
      <c r="AF52" s="3"/>
      <c r="AG52" s="3"/>
      <c r="AH52" s="8"/>
      <c r="AI52" s="8"/>
      <c r="AJ52" s="3"/>
      <c r="AK52" s="3"/>
      <c r="AL52" s="3"/>
      <c r="AM52" s="3"/>
      <c r="AN52" s="3"/>
      <c r="AO52" s="8"/>
      <c r="AP52" s="8"/>
      <c r="AQ52" s="3"/>
      <c r="AR52" s="3"/>
      <c r="AS52" s="3"/>
      <c r="AT52" s="3"/>
      <c r="AU52" s="3"/>
      <c r="AV52" s="8"/>
      <c r="AW52" s="8"/>
      <c r="AX52" s="3"/>
      <c r="AY52" s="131"/>
      <c r="AZ52" s="5"/>
      <c r="BA52" s="58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GO52" s="54"/>
      <c r="GP52" s="54"/>
    </row>
    <row r="53" spans="1:198" ht="15" hidden="1" customHeight="1" x14ac:dyDescent="0.25">
      <c r="A53" s="102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5"/>
        <v>0</v>
      </c>
      <c r="N53" s="7">
        <f t="shared" si="6"/>
        <v>0</v>
      </c>
      <c r="O53" s="4"/>
      <c r="P53" s="3"/>
      <c r="Q53" s="3"/>
      <c r="R53" s="3"/>
      <c r="S53" s="3"/>
      <c r="T53" s="3"/>
      <c r="U53" s="5"/>
      <c r="V53" s="125"/>
      <c r="W53" s="3"/>
      <c r="X53" s="3"/>
      <c r="Y53" s="3"/>
      <c r="Z53" s="3"/>
      <c r="AA53" s="8"/>
      <c r="AB53" s="8"/>
      <c r="AC53" s="3"/>
      <c r="AD53" s="3"/>
      <c r="AE53" s="3"/>
      <c r="AF53" s="3"/>
      <c r="AG53" s="3"/>
      <c r="AH53" s="8"/>
      <c r="AI53" s="8"/>
      <c r="AJ53" s="3"/>
      <c r="AK53" s="3"/>
      <c r="AL53" s="3"/>
      <c r="AM53" s="3"/>
      <c r="AN53" s="3"/>
      <c r="AO53" s="8"/>
      <c r="AP53" s="8"/>
      <c r="AQ53" s="3"/>
      <c r="AR53" s="3"/>
      <c r="AS53" s="3"/>
      <c r="AT53" s="3"/>
      <c r="AU53" s="3"/>
      <c r="AV53" s="8"/>
      <c r="AW53" s="8"/>
      <c r="AX53" s="3"/>
      <c r="AY53" s="131"/>
      <c r="AZ53" s="5"/>
      <c r="BA53" s="58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GO53" s="54"/>
      <c r="GP53" s="54"/>
    </row>
    <row r="54" spans="1:198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5"/>
        <v>0</v>
      </c>
      <c r="N54" s="7">
        <f t="shared" si="6"/>
        <v>0</v>
      </c>
      <c r="O54" s="4"/>
      <c r="P54" s="3"/>
      <c r="Q54" s="3"/>
      <c r="R54" s="3"/>
      <c r="S54" s="3"/>
      <c r="T54" s="3"/>
      <c r="U54" s="5"/>
      <c r="V54" s="125"/>
      <c r="W54" s="3"/>
      <c r="X54" s="3"/>
      <c r="Y54" s="3"/>
      <c r="Z54" s="3"/>
      <c r="AA54" s="8"/>
      <c r="AB54" s="8"/>
      <c r="AC54" s="3"/>
      <c r="AD54" s="3"/>
      <c r="AE54" s="3"/>
      <c r="AF54" s="3"/>
      <c r="AG54" s="3"/>
      <c r="AH54" s="8"/>
      <c r="AI54" s="8"/>
      <c r="AJ54" s="3"/>
      <c r="AK54" s="3"/>
      <c r="AL54" s="3"/>
      <c r="AM54" s="3"/>
      <c r="AN54" s="3"/>
      <c r="AO54" s="8"/>
      <c r="AP54" s="8"/>
      <c r="AQ54" s="3"/>
      <c r="AR54" s="3"/>
      <c r="AS54" s="3"/>
      <c r="AT54" s="3"/>
      <c r="AU54" s="3"/>
      <c r="AV54" s="8"/>
      <c r="AW54" s="8"/>
      <c r="AX54" s="3"/>
      <c r="AY54" s="131"/>
      <c r="AZ54" s="5"/>
      <c r="BA54" s="58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GO54" s="54"/>
      <c r="GP54" s="54"/>
    </row>
    <row r="55" spans="1:198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5"/>
        <v>0</v>
      </c>
      <c r="N55" s="7">
        <f t="shared" si="6"/>
        <v>0</v>
      </c>
      <c r="O55" s="4"/>
      <c r="P55" s="3"/>
      <c r="Q55" s="3"/>
      <c r="R55" s="3"/>
      <c r="S55" s="3"/>
      <c r="T55" s="3"/>
      <c r="U55" s="5"/>
      <c r="V55" s="125"/>
      <c r="W55" s="3"/>
      <c r="X55" s="3"/>
      <c r="Y55" s="3"/>
      <c r="Z55" s="3"/>
      <c r="AA55" s="8"/>
      <c r="AB55" s="8"/>
      <c r="AC55" s="3"/>
      <c r="AD55" s="3"/>
      <c r="AE55" s="3"/>
      <c r="AF55" s="3"/>
      <c r="AG55" s="3"/>
      <c r="AH55" s="8"/>
      <c r="AI55" s="8"/>
      <c r="AJ55" s="3"/>
      <c r="AK55" s="3"/>
      <c r="AL55" s="3"/>
      <c r="AM55" s="3"/>
      <c r="AN55" s="3"/>
      <c r="AO55" s="8"/>
      <c r="AP55" s="8"/>
      <c r="AQ55" s="3"/>
      <c r="AR55" s="3"/>
      <c r="AS55" s="3"/>
      <c r="AT55" s="3"/>
      <c r="AU55" s="3"/>
      <c r="AV55" s="8"/>
      <c r="AW55" s="8"/>
      <c r="AX55" s="3"/>
      <c r="AY55" s="131"/>
      <c r="AZ55" s="5"/>
      <c r="BA55" s="58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GO55" s="54"/>
      <c r="GP55" s="54"/>
    </row>
    <row r="56" spans="1:198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5"/>
        <v>0</v>
      </c>
      <c r="N56" s="7">
        <f t="shared" si="6"/>
        <v>0</v>
      </c>
      <c r="O56" s="4"/>
      <c r="P56" s="3"/>
      <c r="Q56" s="3"/>
      <c r="R56" s="3"/>
      <c r="S56" s="3"/>
      <c r="T56" s="3"/>
      <c r="U56" s="5"/>
      <c r="V56" s="125"/>
      <c r="W56" s="3"/>
      <c r="X56" s="3"/>
      <c r="Y56" s="3"/>
      <c r="Z56" s="3"/>
      <c r="AA56" s="8"/>
      <c r="AB56" s="8"/>
      <c r="AC56" s="3"/>
      <c r="AD56" s="3"/>
      <c r="AE56" s="3"/>
      <c r="AF56" s="3"/>
      <c r="AG56" s="3"/>
      <c r="AH56" s="8"/>
      <c r="AI56" s="8"/>
      <c r="AJ56" s="3"/>
      <c r="AK56" s="3"/>
      <c r="AL56" s="3"/>
      <c r="AM56" s="3"/>
      <c r="AN56" s="3"/>
      <c r="AO56" s="8"/>
      <c r="AP56" s="8"/>
      <c r="AQ56" s="3"/>
      <c r="AR56" s="3"/>
      <c r="AS56" s="3"/>
      <c r="AT56" s="3"/>
      <c r="AU56" s="3"/>
      <c r="AV56" s="8"/>
      <c r="AW56" s="8"/>
      <c r="AX56" s="3"/>
      <c r="AY56" s="131"/>
      <c r="AZ56" s="5"/>
      <c r="BA56" s="58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GO56" s="54"/>
      <c r="GP56" s="54"/>
    </row>
    <row r="57" spans="1:198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5"/>
        <v>0</v>
      </c>
      <c r="N57" s="7">
        <f t="shared" si="6"/>
        <v>0</v>
      </c>
      <c r="O57" s="4"/>
      <c r="P57" s="3"/>
      <c r="Q57" s="3"/>
      <c r="R57" s="3"/>
      <c r="S57" s="3"/>
      <c r="T57" s="3"/>
      <c r="U57" s="5"/>
      <c r="V57" s="125"/>
      <c r="W57" s="3"/>
      <c r="X57" s="3"/>
      <c r="Y57" s="3"/>
      <c r="Z57" s="3"/>
      <c r="AA57" s="8"/>
      <c r="AB57" s="8"/>
      <c r="AC57" s="3"/>
      <c r="AD57" s="3"/>
      <c r="AE57" s="3"/>
      <c r="AF57" s="3"/>
      <c r="AG57" s="3"/>
      <c r="AH57" s="8"/>
      <c r="AI57" s="8"/>
      <c r="AJ57" s="3"/>
      <c r="AK57" s="3"/>
      <c r="AL57" s="3"/>
      <c r="AM57" s="3"/>
      <c r="AN57" s="3"/>
      <c r="AO57" s="8"/>
      <c r="AP57" s="8"/>
      <c r="AQ57" s="3"/>
      <c r="AR57" s="3"/>
      <c r="AS57" s="3"/>
      <c r="AT57" s="3"/>
      <c r="AU57" s="3"/>
      <c r="AV57" s="8"/>
      <c r="AW57" s="8"/>
      <c r="AX57" s="3"/>
      <c r="AY57" s="131"/>
      <c r="AZ57" s="5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GO57" s="54"/>
      <c r="GP57" s="54"/>
    </row>
    <row r="58" spans="1:198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5"/>
        <v>0</v>
      </c>
      <c r="N58" s="7">
        <f t="shared" si="6"/>
        <v>0</v>
      </c>
      <c r="O58" s="4"/>
      <c r="P58" s="3"/>
      <c r="Q58" s="3"/>
      <c r="R58" s="3"/>
      <c r="S58" s="3"/>
      <c r="T58" s="3"/>
      <c r="U58" s="5"/>
      <c r="V58" s="125"/>
      <c r="W58" s="3"/>
      <c r="X58" s="3"/>
      <c r="Y58" s="3"/>
      <c r="Z58" s="3"/>
      <c r="AA58" s="8"/>
      <c r="AB58" s="8"/>
      <c r="AC58" s="3"/>
      <c r="AD58" s="3"/>
      <c r="AE58" s="3"/>
      <c r="AF58" s="3"/>
      <c r="AG58" s="3"/>
      <c r="AH58" s="8"/>
      <c r="AI58" s="8"/>
      <c r="AJ58" s="3"/>
      <c r="AK58" s="3"/>
      <c r="AL58" s="3"/>
      <c r="AM58" s="3"/>
      <c r="AN58" s="3"/>
      <c r="AO58" s="8"/>
      <c r="AP58" s="8"/>
      <c r="AQ58" s="3"/>
      <c r="AR58" s="3"/>
      <c r="AS58" s="3"/>
      <c r="AT58" s="3"/>
      <c r="AU58" s="3"/>
      <c r="AV58" s="8"/>
      <c r="AW58" s="8"/>
      <c r="AX58" s="3"/>
      <c r="AY58" s="131"/>
      <c r="AZ58" s="5"/>
      <c r="BA58" s="58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GO58" s="54"/>
      <c r="GP58" s="54"/>
    </row>
    <row r="59" spans="1:198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5"/>
        <v>0</v>
      </c>
      <c r="N59" s="7">
        <f t="shared" si="6"/>
        <v>0</v>
      </c>
      <c r="O59" s="4"/>
      <c r="P59" s="3"/>
      <c r="Q59" s="3"/>
      <c r="R59" s="3"/>
      <c r="S59" s="3"/>
      <c r="T59" s="3"/>
      <c r="U59" s="5"/>
      <c r="V59" s="125"/>
      <c r="W59" s="3"/>
      <c r="X59" s="3"/>
      <c r="Y59" s="3"/>
      <c r="Z59" s="3"/>
      <c r="AA59" s="8"/>
      <c r="AB59" s="8"/>
      <c r="AC59" s="3"/>
      <c r="AD59" s="3"/>
      <c r="AE59" s="3"/>
      <c r="AF59" s="3"/>
      <c r="AG59" s="3"/>
      <c r="AH59" s="8"/>
      <c r="AI59" s="8"/>
      <c r="AJ59" s="3"/>
      <c r="AK59" s="3"/>
      <c r="AL59" s="3"/>
      <c r="AM59" s="3"/>
      <c r="AN59" s="3"/>
      <c r="AO59" s="8"/>
      <c r="AP59" s="8"/>
      <c r="AQ59" s="3"/>
      <c r="AR59" s="3"/>
      <c r="AS59" s="3"/>
      <c r="AT59" s="3"/>
      <c r="AU59" s="3"/>
      <c r="AV59" s="8"/>
      <c r="AW59" s="8"/>
      <c r="AX59" s="3"/>
      <c r="AY59" s="131"/>
      <c r="AZ59" s="5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GO59" s="54"/>
      <c r="GP59" s="54"/>
    </row>
    <row r="60" spans="1:198" ht="15" hidden="1" customHeight="1" x14ac:dyDescent="0.25">
      <c r="A60" s="97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5"/>
        <v>0</v>
      </c>
      <c r="N60" s="7">
        <f t="shared" si="6"/>
        <v>0</v>
      </c>
      <c r="O60" s="4"/>
      <c r="P60" s="3"/>
      <c r="Q60" s="3"/>
      <c r="R60" s="3"/>
      <c r="S60" s="3"/>
      <c r="T60" s="3"/>
      <c r="U60" s="5"/>
      <c r="V60" s="125"/>
      <c r="W60" s="3"/>
      <c r="X60" s="3"/>
      <c r="Y60" s="3"/>
      <c r="Z60" s="3"/>
      <c r="AA60" s="8"/>
      <c r="AB60" s="8"/>
      <c r="AC60" s="3"/>
      <c r="AD60" s="3"/>
      <c r="AE60" s="3"/>
      <c r="AF60" s="3"/>
      <c r="AG60" s="3"/>
      <c r="AH60" s="8"/>
      <c r="AI60" s="8"/>
      <c r="AJ60" s="3"/>
      <c r="AK60" s="3"/>
      <c r="AL60" s="3"/>
      <c r="AM60" s="3"/>
      <c r="AN60" s="3"/>
      <c r="AO60" s="8"/>
      <c r="AP60" s="8"/>
      <c r="AQ60" s="3"/>
      <c r="AR60" s="3"/>
      <c r="AS60" s="3"/>
      <c r="AT60" s="3"/>
      <c r="AU60" s="3"/>
      <c r="AV60" s="8"/>
      <c r="AW60" s="8"/>
      <c r="AX60" s="3"/>
      <c r="AY60" s="131"/>
      <c r="AZ60" s="5"/>
      <c r="BA60" s="58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GO60" s="54"/>
      <c r="GP60" s="54"/>
    </row>
    <row r="61" spans="1:198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5"/>
        <v>0</v>
      </c>
      <c r="N61" s="7">
        <f t="shared" si="6"/>
        <v>0</v>
      </c>
      <c r="O61" s="4"/>
      <c r="P61" s="3"/>
      <c r="Q61" s="3"/>
      <c r="R61" s="3"/>
      <c r="S61" s="3"/>
      <c r="T61" s="3"/>
      <c r="U61" s="5"/>
      <c r="V61" s="125"/>
      <c r="W61" s="3"/>
      <c r="X61" s="3"/>
      <c r="Y61" s="3"/>
      <c r="Z61" s="3"/>
      <c r="AA61" s="8"/>
      <c r="AB61" s="8"/>
      <c r="AC61" s="3"/>
      <c r="AD61" s="3"/>
      <c r="AE61" s="3"/>
      <c r="AF61" s="3"/>
      <c r="AG61" s="3"/>
      <c r="AH61" s="8"/>
      <c r="AI61" s="8"/>
      <c r="AJ61" s="3"/>
      <c r="AK61" s="3"/>
      <c r="AL61" s="3"/>
      <c r="AM61" s="3"/>
      <c r="AN61" s="3"/>
      <c r="AO61" s="8"/>
      <c r="AP61" s="8"/>
      <c r="AQ61" s="3"/>
      <c r="AR61" s="3"/>
      <c r="AS61" s="3"/>
      <c r="AT61" s="3"/>
      <c r="AU61" s="3"/>
      <c r="AV61" s="8"/>
      <c r="AW61" s="8"/>
      <c r="AX61" s="3"/>
      <c r="AY61" s="131"/>
      <c r="AZ61" s="5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GO61" s="54"/>
      <c r="GP61" s="54"/>
    </row>
    <row r="62" spans="1:198" ht="15" hidden="1" customHeight="1" x14ac:dyDescent="0.25">
      <c r="A62" s="102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5"/>
        <v>0</v>
      </c>
      <c r="N62" s="7">
        <f t="shared" si="6"/>
        <v>0</v>
      </c>
      <c r="O62" s="4"/>
      <c r="P62" s="3"/>
      <c r="Q62" s="3"/>
      <c r="R62" s="3"/>
      <c r="S62" s="3"/>
      <c r="T62" s="3"/>
      <c r="U62" s="5"/>
      <c r="V62" s="125"/>
      <c r="W62" s="3"/>
      <c r="X62" s="3"/>
      <c r="Y62" s="3"/>
      <c r="Z62" s="3"/>
      <c r="AA62" s="8"/>
      <c r="AB62" s="8"/>
      <c r="AC62" s="3"/>
      <c r="AD62" s="3"/>
      <c r="AE62" s="3"/>
      <c r="AF62" s="3"/>
      <c r="AG62" s="3"/>
      <c r="AH62" s="8"/>
      <c r="AI62" s="8"/>
      <c r="AJ62" s="3"/>
      <c r="AK62" s="3"/>
      <c r="AL62" s="3"/>
      <c r="AM62" s="3"/>
      <c r="AN62" s="3"/>
      <c r="AO62" s="8"/>
      <c r="AP62" s="8"/>
      <c r="AQ62" s="3"/>
      <c r="AR62" s="3"/>
      <c r="AS62" s="3"/>
      <c r="AT62" s="3"/>
      <c r="AU62" s="3"/>
      <c r="AV62" s="8"/>
      <c r="AW62" s="8"/>
      <c r="AX62" s="3"/>
      <c r="AY62" s="131"/>
      <c r="AZ62" s="5"/>
      <c r="BA62" s="58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GO62" s="54"/>
      <c r="GP62" s="54"/>
    </row>
    <row r="63" spans="1:198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5"/>
        <v>0</v>
      </c>
      <c r="N63" s="7">
        <f t="shared" si="6"/>
        <v>0</v>
      </c>
      <c r="O63" s="4"/>
      <c r="P63" s="3"/>
      <c r="Q63" s="3"/>
      <c r="R63" s="3"/>
      <c r="S63" s="3"/>
      <c r="T63" s="3"/>
      <c r="U63" s="5"/>
      <c r="V63" s="125"/>
      <c r="W63" s="3"/>
      <c r="X63" s="3"/>
      <c r="Y63" s="3"/>
      <c r="Z63" s="3"/>
      <c r="AA63" s="8"/>
      <c r="AB63" s="8"/>
      <c r="AC63" s="3"/>
      <c r="AD63" s="3"/>
      <c r="AE63" s="3"/>
      <c r="AF63" s="3"/>
      <c r="AG63" s="3"/>
      <c r="AH63" s="8"/>
      <c r="AI63" s="8"/>
      <c r="AJ63" s="3"/>
      <c r="AK63" s="3"/>
      <c r="AL63" s="3"/>
      <c r="AM63" s="3"/>
      <c r="AN63" s="3"/>
      <c r="AO63" s="8"/>
      <c r="AP63" s="8"/>
      <c r="AQ63" s="3"/>
      <c r="AR63" s="3"/>
      <c r="AS63" s="3"/>
      <c r="AT63" s="3"/>
      <c r="AU63" s="3"/>
      <c r="AV63" s="8"/>
      <c r="AW63" s="8"/>
      <c r="AX63" s="3"/>
      <c r="AY63" s="131"/>
      <c r="AZ63" s="5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GO63" s="54"/>
      <c r="GP63" s="54"/>
    </row>
    <row r="64" spans="1:198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5"/>
        <v>0</v>
      </c>
      <c r="N64" s="7">
        <f t="shared" si="6"/>
        <v>0</v>
      </c>
      <c r="O64" s="4"/>
      <c r="P64" s="3"/>
      <c r="Q64" s="3"/>
      <c r="R64" s="3"/>
      <c r="S64" s="3"/>
      <c r="T64" s="3"/>
      <c r="U64" s="5"/>
      <c r="V64" s="125"/>
      <c r="W64" s="3"/>
      <c r="X64" s="3"/>
      <c r="Y64" s="3"/>
      <c r="Z64" s="3"/>
      <c r="AA64" s="8"/>
      <c r="AB64" s="8"/>
      <c r="AC64" s="3"/>
      <c r="AD64" s="3"/>
      <c r="AE64" s="3"/>
      <c r="AF64" s="3"/>
      <c r="AG64" s="3"/>
      <c r="AH64" s="8"/>
      <c r="AI64" s="8"/>
      <c r="AJ64" s="3"/>
      <c r="AK64" s="3"/>
      <c r="AL64" s="3"/>
      <c r="AM64" s="3"/>
      <c r="AN64" s="3"/>
      <c r="AO64" s="8"/>
      <c r="AP64" s="8"/>
      <c r="AQ64" s="3"/>
      <c r="AR64" s="3"/>
      <c r="AS64" s="3"/>
      <c r="AT64" s="3"/>
      <c r="AU64" s="3"/>
      <c r="AV64" s="8"/>
      <c r="AW64" s="8"/>
      <c r="AX64" s="3"/>
      <c r="AY64" s="131"/>
      <c r="AZ64" s="5"/>
      <c r="BA64" s="58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GO64" s="54"/>
      <c r="GP64" s="54"/>
    </row>
    <row r="65" spans="1:198" ht="15" hidden="1" customHeight="1" x14ac:dyDescent="0.25">
      <c r="A65" s="97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5"/>
        <v>0</v>
      </c>
      <c r="N65" s="7">
        <f t="shared" si="6"/>
        <v>0</v>
      </c>
      <c r="O65" s="4"/>
      <c r="P65" s="3"/>
      <c r="Q65" s="3"/>
      <c r="R65" s="3"/>
      <c r="S65" s="3"/>
      <c r="T65" s="3"/>
      <c r="U65" s="5"/>
      <c r="V65" s="125"/>
      <c r="W65" s="3"/>
      <c r="X65" s="3"/>
      <c r="Y65" s="3"/>
      <c r="Z65" s="3"/>
      <c r="AA65" s="8"/>
      <c r="AB65" s="8"/>
      <c r="AC65" s="3"/>
      <c r="AD65" s="3"/>
      <c r="AE65" s="3"/>
      <c r="AF65" s="3"/>
      <c r="AG65" s="3"/>
      <c r="AH65" s="8"/>
      <c r="AI65" s="8"/>
      <c r="AJ65" s="3"/>
      <c r="AK65" s="3"/>
      <c r="AL65" s="3"/>
      <c r="AM65" s="3"/>
      <c r="AN65" s="3"/>
      <c r="AO65" s="8"/>
      <c r="AP65" s="8"/>
      <c r="AQ65" s="3"/>
      <c r="AR65" s="3"/>
      <c r="AS65" s="3"/>
      <c r="AT65" s="3"/>
      <c r="AU65" s="3"/>
      <c r="AV65" s="8"/>
      <c r="AW65" s="8"/>
      <c r="AX65" s="3"/>
      <c r="AY65" s="131"/>
      <c r="AZ65" s="5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GO65" s="54"/>
      <c r="GP65" s="54"/>
    </row>
    <row r="66" spans="1:198" ht="15" hidden="1" customHeight="1" x14ac:dyDescent="0.25">
      <c r="A66" s="102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5"/>
        <v>0</v>
      </c>
      <c r="N66" s="7">
        <f t="shared" si="6"/>
        <v>0</v>
      </c>
      <c r="O66" s="4"/>
      <c r="P66" s="3"/>
      <c r="Q66" s="3"/>
      <c r="R66" s="3"/>
      <c r="S66" s="3"/>
      <c r="T66" s="3"/>
      <c r="U66" s="5"/>
      <c r="V66" s="125"/>
      <c r="W66" s="3"/>
      <c r="X66" s="3"/>
      <c r="Y66" s="3"/>
      <c r="Z66" s="3"/>
      <c r="AA66" s="8"/>
      <c r="AB66" s="8"/>
      <c r="AC66" s="3"/>
      <c r="AD66" s="3"/>
      <c r="AE66" s="3"/>
      <c r="AF66" s="3"/>
      <c r="AG66" s="3"/>
      <c r="AH66" s="8"/>
      <c r="AI66" s="8"/>
      <c r="AJ66" s="3"/>
      <c r="AK66" s="3"/>
      <c r="AL66" s="3"/>
      <c r="AM66" s="3"/>
      <c r="AN66" s="3"/>
      <c r="AO66" s="8"/>
      <c r="AP66" s="8"/>
      <c r="AQ66" s="3"/>
      <c r="AR66" s="3"/>
      <c r="AS66" s="3"/>
      <c r="AT66" s="3"/>
      <c r="AU66" s="3"/>
      <c r="AV66" s="8"/>
      <c r="AW66" s="8"/>
      <c r="AX66" s="3"/>
      <c r="AY66" s="131"/>
      <c r="AZ66" s="5"/>
      <c r="BA66" s="58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GO66" s="54"/>
      <c r="GP66" s="54"/>
    </row>
    <row r="67" spans="1:198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5"/>
        <v>0</v>
      </c>
      <c r="N67" s="7">
        <f t="shared" si="6"/>
        <v>0</v>
      </c>
      <c r="O67" s="4"/>
      <c r="P67" s="3"/>
      <c r="Q67" s="3"/>
      <c r="R67" s="3"/>
      <c r="S67" s="3"/>
      <c r="T67" s="3"/>
      <c r="U67" s="5"/>
      <c r="V67" s="125"/>
      <c r="W67" s="3"/>
      <c r="X67" s="3"/>
      <c r="Y67" s="3"/>
      <c r="Z67" s="3"/>
      <c r="AA67" s="8"/>
      <c r="AB67" s="8"/>
      <c r="AC67" s="3"/>
      <c r="AD67" s="3"/>
      <c r="AE67" s="3"/>
      <c r="AF67" s="3"/>
      <c r="AG67" s="3"/>
      <c r="AH67" s="8"/>
      <c r="AI67" s="8"/>
      <c r="AJ67" s="3"/>
      <c r="AK67" s="3"/>
      <c r="AL67" s="3"/>
      <c r="AM67" s="3"/>
      <c r="AN67" s="3"/>
      <c r="AO67" s="8"/>
      <c r="AP67" s="8"/>
      <c r="AQ67" s="3"/>
      <c r="AR67" s="3"/>
      <c r="AS67" s="3"/>
      <c r="AT67" s="3"/>
      <c r="AU67" s="3"/>
      <c r="AV67" s="8"/>
      <c r="AW67" s="8"/>
      <c r="AX67" s="3"/>
      <c r="AY67" s="131"/>
      <c r="AZ67" s="5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GO67" s="54"/>
      <c r="GP67" s="54"/>
    </row>
    <row r="68" spans="1:198" ht="15" hidden="1" customHeight="1" x14ac:dyDescent="0.25">
      <c r="A68" s="97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5"/>
        <v>0</v>
      </c>
      <c r="N68" s="7">
        <f t="shared" si="6"/>
        <v>0</v>
      </c>
      <c r="O68" s="4"/>
      <c r="P68" s="3"/>
      <c r="Q68" s="3"/>
      <c r="R68" s="3"/>
      <c r="S68" s="3"/>
      <c r="T68" s="3"/>
      <c r="U68" s="5"/>
      <c r="V68" s="125"/>
      <c r="W68" s="3"/>
      <c r="X68" s="3"/>
      <c r="Y68" s="3"/>
      <c r="Z68" s="3"/>
      <c r="AA68" s="8"/>
      <c r="AB68" s="8"/>
      <c r="AC68" s="3"/>
      <c r="AD68" s="3"/>
      <c r="AE68" s="3"/>
      <c r="AF68" s="3"/>
      <c r="AG68" s="3"/>
      <c r="AH68" s="8"/>
      <c r="AI68" s="8"/>
      <c r="AJ68" s="3"/>
      <c r="AK68" s="3"/>
      <c r="AL68" s="3"/>
      <c r="AM68" s="3"/>
      <c r="AN68" s="3"/>
      <c r="AO68" s="8"/>
      <c r="AP68" s="8"/>
      <c r="AQ68" s="3"/>
      <c r="AR68" s="3"/>
      <c r="AS68" s="3"/>
      <c r="AT68" s="3"/>
      <c r="AU68" s="3"/>
      <c r="AV68" s="8"/>
      <c r="AW68" s="8"/>
      <c r="AX68" s="3"/>
      <c r="AY68" s="131"/>
      <c r="AZ68" s="5"/>
      <c r="BA68" s="58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GO68" s="54"/>
      <c r="GP68" s="54"/>
    </row>
    <row r="69" spans="1:198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5"/>
        <v>0</v>
      </c>
      <c r="N69" s="7">
        <f t="shared" si="6"/>
        <v>0</v>
      </c>
      <c r="O69" s="4"/>
      <c r="P69" s="3"/>
      <c r="Q69" s="3"/>
      <c r="R69" s="3"/>
      <c r="S69" s="3"/>
      <c r="T69" s="3"/>
      <c r="U69" s="5"/>
      <c r="V69" s="125"/>
      <c r="W69" s="3"/>
      <c r="X69" s="3"/>
      <c r="Y69" s="3"/>
      <c r="Z69" s="3"/>
      <c r="AA69" s="8"/>
      <c r="AB69" s="8"/>
      <c r="AC69" s="3"/>
      <c r="AD69" s="3"/>
      <c r="AE69" s="3"/>
      <c r="AF69" s="3"/>
      <c r="AG69" s="3"/>
      <c r="AH69" s="8"/>
      <c r="AI69" s="8"/>
      <c r="AJ69" s="3"/>
      <c r="AK69" s="3"/>
      <c r="AL69" s="3"/>
      <c r="AM69" s="3"/>
      <c r="AN69" s="3"/>
      <c r="AO69" s="8"/>
      <c r="AP69" s="8"/>
      <c r="AQ69" s="3"/>
      <c r="AR69" s="3"/>
      <c r="AS69" s="3"/>
      <c r="AT69" s="3"/>
      <c r="AU69" s="3"/>
      <c r="AV69" s="8"/>
      <c r="AW69" s="8"/>
      <c r="AX69" s="3"/>
      <c r="AY69" s="131"/>
      <c r="AZ69" s="5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GO69" s="54"/>
      <c r="GP69" s="54"/>
    </row>
    <row r="70" spans="1:198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5"/>
        <v>0</v>
      </c>
      <c r="N70" s="7">
        <f t="shared" si="6"/>
        <v>0</v>
      </c>
      <c r="O70" s="4"/>
      <c r="P70" s="3"/>
      <c r="Q70" s="3"/>
      <c r="R70" s="3"/>
      <c r="S70" s="3"/>
      <c r="T70" s="3"/>
      <c r="U70" s="5"/>
      <c r="V70" s="125"/>
      <c r="W70" s="3"/>
      <c r="X70" s="3"/>
      <c r="Y70" s="3"/>
      <c r="Z70" s="3"/>
      <c r="AA70" s="8"/>
      <c r="AB70" s="8"/>
      <c r="AC70" s="3"/>
      <c r="AD70" s="3"/>
      <c r="AE70" s="3"/>
      <c r="AF70" s="3"/>
      <c r="AG70" s="3"/>
      <c r="AH70" s="8"/>
      <c r="AI70" s="8"/>
      <c r="AJ70" s="3"/>
      <c r="AK70" s="3"/>
      <c r="AL70" s="3"/>
      <c r="AM70" s="3"/>
      <c r="AN70" s="3"/>
      <c r="AO70" s="8"/>
      <c r="AP70" s="8"/>
      <c r="AQ70" s="3"/>
      <c r="AR70" s="3"/>
      <c r="AS70" s="3"/>
      <c r="AT70" s="3"/>
      <c r="AU70" s="3"/>
      <c r="AV70" s="8"/>
      <c r="AW70" s="8"/>
      <c r="AX70" s="3"/>
      <c r="AY70" s="131"/>
      <c r="AZ70" s="5"/>
      <c r="BA70" s="58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GO70" s="54"/>
      <c r="GP70" s="54"/>
    </row>
    <row r="71" spans="1:198" ht="15" hidden="1" customHeight="1" x14ac:dyDescent="0.25">
      <c r="A71" s="102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5"/>
        <v>0</v>
      </c>
      <c r="N71" s="7">
        <f t="shared" si="6"/>
        <v>0</v>
      </c>
      <c r="O71" s="4"/>
      <c r="P71" s="3"/>
      <c r="Q71" s="3"/>
      <c r="R71" s="3"/>
      <c r="S71" s="3"/>
      <c r="T71" s="3"/>
      <c r="U71" s="5"/>
      <c r="V71" s="125"/>
      <c r="W71" s="3"/>
      <c r="X71" s="3"/>
      <c r="Y71" s="3"/>
      <c r="Z71" s="3"/>
      <c r="AA71" s="8"/>
      <c r="AB71" s="8"/>
      <c r="AC71" s="3"/>
      <c r="AD71" s="3"/>
      <c r="AE71" s="3"/>
      <c r="AF71" s="3"/>
      <c r="AG71" s="3"/>
      <c r="AH71" s="8"/>
      <c r="AI71" s="8"/>
      <c r="AJ71" s="3"/>
      <c r="AK71" s="3"/>
      <c r="AL71" s="3"/>
      <c r="AM71" s="3"/>
      <c r="AN71" s="3"/>
      <c r="AO71" s="8"/>
      <c r="AP71" s="8"/>
      <c r="AQ71" s="3"/>
      <c r="AR71" s="3"/>
      <c r="AS71" s="3"/>
      <c r="AT71" s="3"/>
      <c r="AU71" s="3"/>
      <c r="AV71" s="8"/>
      <c r="AW71" s="8"/>
      <c r="AX71" s="3"/>
      <c r="AY71" s="131"/>
      <c r="AZ71" s="5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GO71" s="54"/>
      <c r="GP71" s="54"/>
    </row>
    <row r="72" spans="1:198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5"/>
        <v>0</v>
      </c>
      <c r="N72" s="7">
        <f t="shared" si="6"/>
        <v>0</v>
      </c>
      <c r="O72" s="4"/>
      <c r="P72" s="3"/>
      <c r="Q72" s="3"/>
      <c r="R72" s="3"/>
      <c r="S72" s="3"/>
      <c r="T72" s="3"/>
      <c r="U72" s="5"/>
      <c r="V72" s="125"/>
      <c r="W72" s="3"/>
      <c r="X72" s="3"/>
      <c r="Y72" s="3"/>
      <c r="Z72" s="3"/>
      <c r="AA72" s="8"/>
      <c r="AB72" s="8"/>
      <c r="AC72" s="3"/>
      <c r="AD72" s="3"/>
      <c r="AE72" s="3"/>
      <c r="AF72" s="3"/>
      <c r="AG72" s="3"/>
      <c r="AH72" s="8"/>
      <c r="AI72" s="8"/>
      <c r="AJ72" s="3"/>
      <c r="AK72" s="3"/>
      <c r="AL72" s="3"/>
      <c r="AM72" s="3"/>
      <c r="AN72" s="3"/>
      <c r="AO72" s="8"/>
      <c r="AP72" s="8"/>
      <c r="AQ72" s="3"/>
      <c r="AR72" s="3"/>
      <c r="AS72" s="3"/>
      <c r="AT72" s="3"/>
      <c r="AU72" s="3"/>
      <c r="AV72" s="8"/>
      <c r="AW72" s="8"/>
      <c r="AX72" s="3"/>
      <c r="AY72" s="131"/>
      <c r="AZ72" s="5"/>
      <c r="BA72" s="58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GO72" s="54"/>
      <c r="GP72" s="54"/>
    </row>
    <row r="73" spans="1:198" ht="15" hidden="1" customHeight="1" x14ac:dyDescent="0.25">
      <c r="A73" s="97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5"/>
        <v>0</v>
      </c>
      <c r="N73" s="7">
        <f t="shared" si="6"/>
        <v>0</v>
      </c>
      <c r="O73" s="4"/>
      <c r="P73" s="3"/>
      <c r="Q73" s="3"/>
      <c r="R73" s="3"/>
      <c r="S73" s="3"/>
      <c r="T73" s="3"/>
      <c r="U73" s="5"/>
      <c r="V73" s="125"/>
      <c r="W73" s="3"/>
      <c r="X73" s="3"/>
      <c r="Y73" s="3"/>
      <c r="Z73" s="3"/>
      <c r="AA73" s="8"/>
      <c r="AB73" s="8"/>
      <c r="AC73" s="3"/>
      <c r="AD73" s="3"/>
      <c r="AE73" s="3"/>
      <c r="AF73" s="3"/>
      <c r="AG73" s="3"/>
      <c r="AH73" s="8"/>
      <c r="AI73" s="8"/>
      <c r="AJ73" s="3"/>
      <c r="AK73" s="3"/>
      <c r="AL73" s="3"/>
      <c r="AM73" s="3"/>
      <c r="AN73" s="3"/>
      <c r="AO73" s="8"/>
      <c r="AP73" s="8"/>
      <c r="AQ73" s="3"/>
      <c r="AR73" s="3"/>
      <c r="AS73" s="3"/>
      <c r="AT73" s="3"/>
      <c r="AU73" s="3"/>
      <c r="AV73" s="8"/>
      <c r="AW73" s="8"/>
      <c r="AX73" s="3"/>
      <c r="AY73" s="131"/>
      <c r="AZ73" s="5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GO73" s="54"/>
      <c r="GP73" s="54"/>
    </row>
    <row r="74" spans="1:198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5"/>
        <v>0</v>
      </c>
      <c r="N74" s="7">
        <f t="shared" si="6"/>
        <v>0</v>
      </c>
      <c r="O74" s="4"/>
      <c r="P74" s="3"/>
      <c r="Q74" s="3"/>
      <c r="R74" s="3"/>
      <c r="S74" s="3"/>
      <c r="T74" s="3"/>
      <c r="U74" s="5"/>
      <c r="V74" s="125"/>
      <c r="W74" s="3"/>
      <c r="X74" s="3"/>
      <c r="Y74" s="3"/>
      <c r="Z74" s="3"/>
      <c r="AA74" s="8"/>
      <c r="AB74" s="8"/>
      <c r="AC74" s="3"/>
      <c r="AD74" s="3"/>
      <c r="AE74" s="3"/>
      <c r="AF74" s="3"/>
      <c r="AG74" s="3"/>
      <c r="AH74" s="8"/>
      <c r="AI74" s="8"/>
      <c r="AJ74" s="3"/>
      <c r="AK74" s="3"/>
      <c r="AL74" s="3"/>
      <c r="AM74" s="3"/>
      <c r="AN74" s="3"/>
      <c r="AO74" s="8"/>
      <c r="AP74" s="8"/>
      <c r="AQ74" s="3"/>
      <c r="AR74" s="3"/>
      <c r="AS74" s="3"/>
      <c r="AT74" s="3"/>
      <c r="AU74" s="3"/>
      <c r="AV74" s="8"/>
      <c r="AW74" s="8"/>
      <c r="AX74" s="3"/>
      <c r="AY74" s="131"/>
      <c r="AZ74" s="5"/>
      <c r="BA74" s="58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GO74" s="54"/>
      <c r="GP74" s="54"/>
    </row>
    <row r="75" spans="1:198" ht="15" hidden="1" customHeight="1" x14ac:dyDescent="0.25">
      <c r="A75" s="102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5"/>
        <v>0</v>
      </c>
      <c r="N75" s="7">
        <f t="shared" si="6"/>
        <v>0</v>
      </c>
      <c r="O75" s="4"/>
      <c r="P75" s="3"/>
      <c r="Q75" s="3"/>
      <c r="R75" s="3"/>
      <c r="S75" s="3"/>
      <c r="T75" s="3"/>
      <c r="U75" s="5"/>
      <c r="V75" s="125"/>
      <c r="W75" s="3"/>
      <c r="X75" s="3"/>
      <c r="Y75" s="3"/>
      <c r="Z75" s="3"/>
      <c r="AA75" s="8"/>
      <c r="AB75" s="8"/>
      <c r="AC75" s="3"/>
      <c r="AD75" s="3"/>
      <c r="AE75" s="3"/>
      <c r="AF75" s="3"/>
      <c r="AG75" s="3"/>
      <c r="AH75" s="8"/>
      <c r="AI75" s="8"/>
      <c r="AJ75" s="3"/>
      <c r="AK75" s="3"/>
      <c r="AL75" s="3"/>
      <c r="AM75" s="3"/>
      <c r="AN75" s="3"/>
      <c r="AO75" s="8"/>
      <c r="AP75" s="8"/>
      <c r="AQ75" s="3"/>
      <c r="AR75" s="3"/>
      <c r="AS75" s="3"/>
      <c r="AT75" s="3"/>
      <c r="AU75" s="3"/>
      <c r="AV75" s="8"/>
      <c r="AW75" s="8"/>
      <c r="AX75" s="3"/>
      <c r="AY75" s="131"/>
      <c r="AZ75" s="5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GO75" s="54"/>
      <c r="GP75" s="54"/>
    </row>
    <row r="76" spans="1:198" ht="15" hidden="1" customHeight="1" thickBot="1" x14ac:dyDescent="0.3">
      <c r="A76" s="97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2">IF(I76&gt;0,12,"")</f>
        <v/>
      </c>
      <c r="K76" s="6" t="str">
        <f t="shared" si="10"/>
        <v/>
      </c>
      <c r="L76" s="6" t="str">
        <f t="shared" si="11"/>
        <v/>
      </c>
      <c r="M76" s="6">
        <f t="shared" si="5"/>
        <v>0</v>
      </c>
      <c r="N76" s="7">
        <f t="shared" si="6"/>
        <v>0</v>
      </c>
      <c r="O76" s="4"/>
      <c r="P76" s="3"/>
      <c r="Q76" s="3"/>
      <c r="R76" s="3"/>
      <c r="S76" s="3"/>
      <c r="T76" s="3"/>
      <c r="U76" s="5"/>
      <c r="V76" s="125"/>
      <c r="W76" s="3"/>
      <c r="X76" s="3"/>
      <c r="Y76" s="3"/>
      <c r="Z76" s="3"/>
      <c r="AA76" s="8"/>
      <c r="AB76" s="8"/>
      <c r="AC76" s="3"/>
      <c r="AD76" s="3"/>
      <c r="AE76" s="3"/>
      <c r="AF76" s="3"/>
      <c r="AG76" s="3"/>
      <c r="AH76" s="8"/>
      <c r="AI76" s="8"/>
      <c r="AJ76" s="3"/>
      <c r="AK76" s="3"/>
      <c r="AL76" s="3"/>
      <c r="AM76" s="3"/>
      <c r="AN76" s="3"/>
      <c r="AO76" s="8"/>
      <c r="AP76" s="8"/>
      <c r="AQ76" s="3"/>
      <c r="AR76" s="3"/>
      <c r="AS76" s="3"/>
      <c r="AT76" s="3"/>
      <c r="AU76" s="3"/>
      <c r="AV76" s="8"/>
      <c r="AW76" s="8"/>
      <c r="AX76" s="3"/>
      <c r="AY76" s="131"/>
      <c r="AZ76" s="5"/>
      <c r="BA76" s="58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GO76" s="54"/>
      <c r="GP76" s="54"/>
    </row>
    <row r="77" spans="1:198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2"/>
        <v/>
      </c>
      <c r="K77" s="6" t="str">
        <f t="shared" si="10"/>
        <v/>
      </c>
      <c r="L77" s="6" t="str">
        <f t="shared" si="11"/>
        <v/>
      </c>
      <c r="M77" s="6">
        <f t="shared" ref="M77:M111" si="13">(IF(O77="hT",4,0))+(IF(P77="hT",4,0))+(IF(Q77="hT",4,0))+(IF(R77="hT",4,0))+(IF(S77="hT",4,0))+T77+(COUNTIF(W77:AZ77,"hT"))</f>
        <v>0</v>
      </c>
      <c r="N77" s="7">
        <f t="shared" ref="N77:N111" si="14">(IF(O77="x",4,0))+(IF(P77="x",4,0))+(IF(Q77="x",4,0))+(IF(R77="x",4,0))+(IF(S77="x",4,0))+U77+(COUNTIF(W77:AZ77,"x"))</f>
        <v>0</v>
      </c>
      <c r="O77" s="4"/>
      <c r="P77" s="3"/>
      <c r="Q77" s="3"/>
      <c r="R77" s="3"/>
      <c r="S77" s="3"/>
      <c r="T77" s="3"/>
      <c r="U77" s="5"/>
      <c r="V77" s="125"/>
      <c r="W77" s="3"/>
      <c r="X77" s="3"/>
      <c r="Y77" s="3"/>
      <c r="Z77" s="3"/>
      <c r="AA77" s="8"/>
      <c r="AB77" s="8"/>
      <c r="AC77" s="3"/>
      <c r="AD77" s="3"/>
      <c r="AE77" s="3"/>
      <c r="AF77" s="3"/>
      <c r="AG77" s="3"/>
      <c r="AH77" s="8"/>
      <c r="AI77" s="8"/>
      <c r="AJ77" s="3"/>
      <c r="AK77" s="3"/>
      <c r="AL77" s="3"/>
      <c r="AM77" s="3"/>
      <c r="AN77" s="3"/>
      <c r="AO77" s="8"/>
      <c r="AP77" s="8"/>
      <c r="AQ77" s="3"/>
      <c r="AR77" s="3"/>
      <c r="AS77" s="3"/>
      <c r="AT77" s="3"/>
      <c r="AU77" s="3"/>
      <c r="AV77" s="8"/>
      <c r="AW77" s="8"/>
      <c r="AX77" s="3"/>
      <c r="AY77" s="131"/>
      <c r="AZ77" s="5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GO77" s="54"/>
      <c r="GP77" s="54"/>
    </row>
    <row r="78" spans="1:198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2"/>
        <v/>
      </c>
      <c r="K78" s="6" t="str">
        <f t="shared" si="10"/>
        <v/>
      </c>
      <c r="L78" s="6" t="str">
        <f t="shared" si="11"/>
        <v/>
      </c>
      <c r="M78" s="6">
        <f t="shared" si="13"/>
        <v>0</v>
      </c>
      <c r="N78" s="7">
        <f t="shared" si="14"/>
        <v>0</v>
      </c>
      <c r="O78" s="4"/>
      <c r="P78" s="3"/>
      <c r="Q78" s="3"/>
      <c r="R78" s="3"/>
      <c r="S78" s="3"/>
      <c r="T78" s="3"/>
      <c r="U78" s="5"/>
      <c r="V78" s="125"/>
      <c r="W78" s="3"/>
      <c r="X78" s="3"/>
      <c r="Y78" s="3"/>
      <c r="Z78" s="3"/>
      <c r="AA78" s="8"/>
      <c r="AB78" s="8"/>
      <c r="AC78" s="3"/>
      <c r="AD78" s="3"/>
      <c r="AE78" s="3"/>
      <c r="AF78" s="3"/>
      <c r="AG78" s="3"/>
      <c r="AH78" s="8"/>
      <c r="AI78" s="8"/>
      <c r="AJ78" s="3"/>
      <c r="AK78" s="3"/>
      <c r="AL78" s="3"/>
      <c r="AM78" s="3"/>
      <c r="AN78" s="3"/>
      <c r="AO78" s="8"/>
      <c r="AP78" s="8"/>
      <c r="AQ78" s="3"/>
      <c r="AR78" s="3"/>
      <c r="AS78" s="3"/>
      <c r="AT78" s="3"/>
      <c r="AU78" s="3"/>
      <c r="AV78" s="8"/>
      <c r="AW78" s="8"/>
      <c r="AX78" s="3"/>
      <c r="AY78" s="131"/>
      <c r="AZ78" s="5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GO78" s="54"/>
      <c r="GP78" s="54"/>
    </row>
    <row r="79" spans="1:198" ht="15" hidden="1" customHeight="1" x14ac:dyDescent="0.25">
      <c r="A79" s="102">
        <v>68</v>
      </c>
      <c r="B79" s="103"/>
      <c r="C79" s="104"/>
      <c r="D79" s="2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2"/>
        <v/>
      </c>
      <c r="K79" s="6" t="str">
        <f t="shared" si="10"/>
        <v/>
      </c>
      <c r="L79" s="6" t="str">
        <f t="shared" si="11"/>
        <v/>
      </c>
      <c r="M79" s="6">
        <f t="shared" si="13"/>
        <v>0</v>
      </c>
      <c r="N79" s="7">
        <f t="shared" si="14"/>
        <v>0</v>
      </c>
      <c r="O79" s="4"/>
      <c r="P79" s="3"/>
      <c r="Q79" s="3"/>
      <c r="R79" s="3"/>
      <c r="S79" s="3"/>
      <c r="T79" s="3"/>
      <c r="U79" s="5"/>
      <c r="V79" s="125"/>
      <c r="W79" s="3"/>
      <c r="X79" s="3"/>
      <c r="Y79" s="3"/>
      <c r="Z79" s="3"/>
      <c r="AA79" s="8"/>
      <c r="AB79" s="8"/>
      <c r="AC79" s="3"/>
      <c r="AD79" s="3"/>
      <c r="AE79" s="3"/>
      <c r="AF79" s="3"/>
      <c r="AG79" s="3"/>
      <c r="AH79" s="8"/>
      <c r="AI79" s="8"/>
      <c r="AJ79" s="3"/>
      <c r="AK79" s="3"/>
      <c r="AL79" s="3"/>
      <c r="AM79" s="3"/>
      <c r="AN79" s="3"/>
      <c r="AO79" s="8"/>
      <c r="AP79" s="8"/>
      <c r="AQ79" s="3"/>
      <c r="AR79" s="3"/>
      <c r="AS79" s="3"/>
      <c r="AT79" s="3"/>
      <c r="AU79" s="3"/>
      <c r="AV79" s="8"/>
      <c r="AW79" s="8"/>
      <c r="AX79" s="3"/>
      <c r="AY79" s="131"/>
      <c r="AZ79" s="5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GO79" s="54"/>
      <c r="GP79" s="54"/>
    </row>
    <row r="80" spans="1:198" ht="15" hidden="1" customHeight="1" x14ac:dyDescent="0.25">
      <c r="A80" s="102">
        <v>69</v>
      </c>
      <c r="B80" s="103"/>
      <c r="C80" s="104"/>
      <c r="D80" s="1"/>
      <c r="E80" s="105"/>
      <c r="F80" s="105"/>
      <c r="G80" s="100" t="str">
        <f t="shared" si="2"/>
        <v/>
      </c>
      <c r="H80" s="100" t="str">
        <f t="shared" si="3"/>
        <v/>
      </c>
      <c r="I80" s="101">
        <f t="shared" si="0"/>
        <v>0</v>
      </c>
      <c r="J80" s="100" t="str">
        <f t="shared" si="12"/>
        <v/>
      </c>
      <c r="K80" s="6" t="str">
        <f t="shared" si="4"/>
        <v/>
      </c>
      <c r="L80" s="6" t="str">
        <f t="shared" si="4"/>
        <v/>
      </c>
      <c r="M80" s="6">
        <f t="shared" si="13"/>
        <v>0</v>
      </c>
      <c r="N80" s="7">
        <f t="shared" si="14"/>
        <v>0</v>
      </c>
      <c r="O80" s="4"/>
      <c r="P80" s="3"/>
      <c r="Q80" s="3"/>
      <c r="R80" s="3"/>
      <c r="S80" s="3"/>
      <c r="T80" s="3"/>
      <c r="U80" s="5"/>
      <c r="V80" s="125"/>
      <c r="W80" s="3"/>
      <c r="X80" s="3"/>
      <c r="Y80" s="3"/>
      <c r="Z80" s="3"/>
      <c r="AA80" s="8"/>
      <c r="AB80" s="8"/>
      <c r="AC80" s="3"/>
      <c r="AD80" s="3"/>
      <c r="AE80" s="3"/>
      <c r="AF80" s="3"/>
      <c r="AG80" s="3"/>
      <c r="AH80" s="8"/>
      <c r="AI80" s="8"/>
      <c r="AJ80" s="3"/>
      <c r="AK80" s="3"/>
      <c r="AL80" s="3"/>
      <c r="AM80" s="3"/>
      <c r="AN80" s="3"/>
      <c r="AO80" s="8"/>
      <c r="AP80" s="8"/>
      <c r="AQ80" s="3"/>
      <c r="AR80" s="3"/>
      <c r="AS80" s="3"/>
      <c r="AT80" s="3"/>
      <c r="AU80" s="3"/>
      <c r="AV80" s="8"/>
      <c r="AW80" s="8"/>
      <c r="AX80" s="3"/>
      <c r="AY80" s="131"/>
      <c r="AZ80" s="5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GO80" s="54"/>
      <c r="GP80" s="54"/>
    </row>
    <row r="81" spans="1:198" ht="15" hidden="1" customHeight="1" x14ac:dyDescent="0.25">
      <c r="A81" s="97">
        <v>70</v>
      </c>
      <c r="B81" s="103"/>
      <c r="C81" s="104"/>
      <c r="D81" s="1"/>
      <c r="E81" s="105"/>
      <c r="F81" s="105"/>
      <c r="G81" s="100" t="str">
        <f t="shared" si="2"/>
        <v/>
      </c>
      <c r="H81" s="100" t="str">
        <f t="shared" si="3"/>
        <v/>
      </c>
      <c r="I81" s="101">
        <f t="shared" si="0"/>
        <v>0</v>
      </c>
      <c r="J81" s="100" t="str">
        <f t="shared" si="12"/>
        <v/>
      </c>
      <c r="K81" s="6" t="str">
        <f t="shared" si="4"/>
        <v/>
      </c>
      <c r="L81" s="6" t="str">
        <f t="shared" si="4"/>
        <v/>
      </c>
      <c r="M81" s="6">
        <f t="shared" si="13"/>
        <v>0</v>
      </c>
      <c r="N81" s="7">
        <f t="shared" si="14"/>
        <v>0</v>
      </c>
      <c r="O81" s="4"/>
      <c r="P81" s="3"/>
      <c r="Q81" s="3"/>
      <c r="R81" s="3"/>
      <c r="S81" s="3"/>
      <c r="T81" s="3"/>
      <c r="U81" s="5"/>
      <c r="V81" s="125"/>
      <c r="W81" s="3"/>
      <c r="X81" s="3"/>
      <c r="Y81" s="3"/>
      <c r="Z81" s="3"/>
      <c r="AA81" s="8"/>
      <c r="AB81" s="8"/>
      <c r="AC81" s="3"/>
      <c r="AD81" s="3"/>
      <c r="AE81" s="3"/>
      <c r="AF81" s="3"/>
      <c r="AG81" s="3"/>
      <c r="AH81" s="8"/>
      <c r="AI81" s="8"/>
      <c r="AJ81" s="3"/>
      <c r="AK81" s="3"/>
      <c r="AL81" s="3"/>
      <c r="AM81" s="3"/>
      <c r="AN81" s="3"/>
      <c r="AO81" s="8"/>
      <c r="AP81" s="8"/>
      <c r="AQ81" s="3"/>
      <c r="AR81" s="3"/>
      <c r="AS81" s="3"/>
      <c r="AT81" s="3"/>
      <c r="AU81" s="3"/>
      <c r="AV81" s="8"/>
      <c r="AW81" s="8"/>
      <c r="AX81" s="3"/>
      <c r="AY81" s="131"/>
      <c r="AZ81" s="5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GO81" s="54"/>
      <c r="GP81" s="54"/>
    </row>
    <row r="82" spans="1:198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2"/>
        <v/>
      </c>
      <c r="H82" s="100" t="str">
        <f t="shared" si="3"/>
        <v/>
      </c>
      <c r="I82" s="101">
        <f t="shared" si="0"/>
        <v>0</v>
      </c>
      <c r="J82" s="100" t="str">
        <f t="shared" si="12"/>
        <v/>
      </c>
      <c r="K82" s="6" t="str">
        <f t="shared" si="4"/>
        <v/>
      </c>
      <c r="L82" s="6" t="str">
        <f t="shared" si="4"/>
        <v/>
      </c>
      <c r="M82" s="6">
        <f t="shared" si="13"/>
        <v>0</v>
      </c>
      <c r="N82" s="7">
        <f t="shared" si="14"/>
        <v>0</v>
      </c>
      <c r="O82" s="4"/>
      <c r="P82" s="3"/>
      <c r="Q82" s="3"/>
      <c r="R82" s="3"/>
      <c r="S82" s="3"/>
      <c r="T82" s="3"/>
      <c r="U82" s="5"/>
      <c r="V82" s="125"/>
      <c r="W82" s="3"/>
      <c r="X82" s="3"/>
      <c r="Y82" s="3"/>
      <c r="Z82" s="3"/>
      <c r="AA82" s="8"/>
      <c r="AB82" s="8"/>
      <c r="AC82" s="3"/>
      <c r="AD82" s="3"/>
      <c r="AE82" s="3"/>
      <c r="AF82" s="3"/>
      <c r="AG82" s="3"/>
      <c r="AH82" s="8"/>
      <c r="AI82" s="8"/>
      <c r="AJ82" s="3"/>
      <c r="AK82" s="3"/>
      <c r="AL82" s="3"/>
      <c r="AM82" s="3"/>
      <c r="AN82" s="3"/>
      <c r="AO82" s="8"/>
      <c r="AP82" s="8"/>
      <c r="AQ82" s="3"/>
      <c r="AR82" s="3"/>
      <c r="AS82" s="3"/>
      <c r="AT82" s="3"/>
      <c r="AU82" s="3"/>
      <c r="AV82" s="8"/>
      <c r="AW82" s="8"/>
      <c r="AX82" s="3"/>
      <c r="AY82" s="131"/>
      <c r="AZ82" s="5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GO82" s="54"/>
      <c r="GP82" s="54"/>
    </row>
    <row r="83" spans="1:198" ht="15" hidden="1" customHeight="1" x14ac:dyDescent="0.25">
      <c r="A83" s="102">
        <v>72</v>
      </c>
      <c r="B83" s="103"/>
      <c r="C83" s="104"/>
      <c r="D83" s="2"/>
      <c r="E83" s="105"/>
      <c r="F83" s="105"/>
      <c r="G83" s="100" t="str">
        <f t="shared" si="2"/>
        <v/>
      </c>
      <c r="H83" s="100" t="str">
        <f t="shared" si="3"/>
        <v/>
      </c>
      <c r="I83" s="101">
        <f t="shared" si="0"/>
        <v>0</v>
      </c>
      <c r="J83" s="100" t="str">
        <f t="shared" si="12"/>
        <v/>
      </c>
      <c r="K83" s="6" t="str">
        <f t="shared" si="4"/>
        <v/>
      </c>
      <c r="L83" s="6" t="str">
        <f t="shared" si="4"/>
        <v/>
      </c>
      <c r="M83" s="6">
        <f t="shared" si="13"/>
        <v>0</v>
      </c>
      <c r="N83" s="7">
        <f t="shared" si="14"/>
        <v>0</v>
      </c>
      <c r="O83" s="4"/>
      <c r="P83" s="3"/>
      <c r="Q83" s="3"/>
      <c r="R83" s="3"/>
      <c r="S83" s="3"/>
      <c r="T83" s="3"/>
      <c r="U83" s="5"/>
      <c r="V83" s="125"/>
      <c r="W83" s="3"/>
      <c r="X83" s="3"/>
      <c r="Y83" s="3"/>
      <c r="Z83" s="3"/>
      <c r="AA83" s="8"/>
      <c r="AB83" s="8"/>
      <c r="AC83" s="3"/>
      <c r="AD83" s="3"/>
      <c r="AE83" s="3"/>
      <c r="AF83" s="3"/>
      <c r="AG83" s="3"/>
      <c r="AH83" s="8"/>
      <c r="AI83" s="8"/>
      <c r="AJ83" s="3"/>
      <c r="AK83" s="3"/>
      <c r="AL83" s="3"/>
      <c r="AM83" s="3"/>
      <c r="AN83" s="3"/>
      <c r="AO83" s="8"/>
      <c r="AP83" s="8"/>
      <c r="AQ83" s="3"/>
      <c r="AR83" s="3"/>
      <c r="AS83" s="3"/>
      <c r="AT83" s="3"/>
      <c r="AU83" s="3"/>
      <c r="AV83" s="8"/>
      <c r="AW83" s="8"/>
      <c r="AX83" s="3"/>
      <c r="AY83" s="131"/>
      <c r="AZ83" s="5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GO83" s="54"/>
      <c r="GP83" s="54"/>
    </row>
    <row r="84" spans="1:198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2"/>
        <v/>
      </c>
      <c r="H84" s="100" t="str">
        <f t="shared" si="3"/>
        <v/>
      </c>
      <c r="I84" s="101">
        <f t="shared" si="0"/>
        <v>0</v>
      </c>
      <c r="J84" s="100" t="str">
        <f t="shared" si="12"/>
        <v/>
      </c>
      <c r="K84" s="6" t="str">
        <f t="shared" si="4"/>
        <v/>
      </c>
      <c r="L84" s="6" t="str">
        <f t="shared" si="4"/>
        <v/>
      </c>
      <c r="M84" s="6">
        <f t="shared" si="13"/>
        <v>0</v>
      </c>
      <c r="N84" s="7">
        <f t="shared" si="14"/>
        <v>0</v>
      </c>
      <c r="O84" s="4"/>
      <c r="P84" s="3"/>
      <c r="Q84" s="3"/>
      <c r="R84" s="3"/>
      <c r="S84" s="3"/>
      <c r="T84" s="3"/>
      <c r="U84" s="5"/>
      <c r="V84" s="125"/>
      <c r="W84" s="3"/>
      <c r="X84" s="3"/>
      <c r="Y84" s="3"/>
      <c r="Z84" s="3"/>
      <c r="AA84" s="8"/>
      <c r="AB84" s="8"/>
      <c r="AC84" s="3"/>
      <c r="AD84" s="3"/>
      <c r="AE84" s="3"/>
      <c r="AF84" s="3"/>
      <c r="AG84" s="3"/>
      <c r="AH84" s="8"/>
      <c r="AI84" s="8"/>
      <c r="AJ84" s="3"/>
      <c r="AK84" s="3"/>
      <c r="AL84" s="3"/>
      <c r="AM84" s="3"/>
      <c r="AN84" s="3"/>
      <c r="AO84" s="8"/>
      <c r="AP84" s="8"/>
      <c r="AQ84" s="3"/>
      <c r="AR84" s="3"/>
      <c r="AS84" s="3"/>
      <c r="AT84" s="3"/>
      <c r="AU84" s="3"/>
      <c r="AV84" s="8"/>
      <c r="AW84" s="8"/>
      <c r="AX84" s="3"/>
      <c r="AY84" s="131"/>
      <c r="AZ84" s="5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GO84" s="54"/>
      <c r="GP84" s="54"/>
    </row>
    <row r="85" spans="1:198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2"/>
        <v/>
      </c>
      <c r="H85" s="100" t="str">
        <f t="shared" si="3"/>
        <v/>
      </c>
      <c r="I85" s="101">
        <f t="shared" si="0"/>
        <v>0</v>
      </c>
      <c r="J85" s="100" t="str">
        <f t="shared" si="12"/>
        <v/>
      </c>
      <c r="K85" s="6" t="str">
        <f t="shared" si="4"/>
        <v/>
      </c>
      <c r="L85" s="6" t="str">
        <f t="shared" si="4"/>
        <v/>
      </c>
      <c r="M85" s="6">
        <f t="shared" si="13"/>
        <v>0</v>
      </c>
      <c r="N85" s="7">
        <f t="shared" si="14"/>
        <v>0</v>
      </c>
      <c r="O85" s="4"/>
      <c r="P85" s="3"/>
      <c r="Q85" s="3"/>
      <c r="R85" s="3"/>
      <c r="S85" s="3"/>
      <c r="T85" s="3"/>
      <c r="U85" s="5"/>
      <c r="V85" s="125"/>
      <c r="W85" s="3"/>
      <c r="X85" s="3"/>
      <c r="Y85" s="3"/>
      <c r="Z85" s="3"/>
      <c r="AA85" s="8"/>
      <c r="AB85" s="8"/>
      <c r="AC85" s="3"/>
      <c r="AD85" s="3"/>
      <c r="AE85" s="3"/>
      <c r="AF85" s="3"/>
      <c r="AG85" s="3"/>
      <c r="AH85" s="8"/>
      <c r="AI85" s="8"/>
      <c r="AJ85" s="3"/>
      <c r="AK85" s="3"/>
      <c r="AL85" s="3"/>
      <c r="AM85" s="3"/>
      <c r="AN85" s="3"/>
      <c r="AO85" s="8"/>
      <c r="AP85" s="8"/>
      <c r="AQ85" s="3"/>
      <c r="AR85" s="3"/>
      <c r="AS85" s="3"/>
      <c r="AT85" s="3"/>
      <c r="AU85" s="3"/>
      <c r="AV85" s="8"/>
      <c r="AW85" s="8"/>
      <c r="AX85" s="3"/>
      <c r="AY85" s="131"/>
      <c r="AZ85" s="5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GO85" s="54"/>
      <c r="GP85" s="54"/>
    </row>
    <row r="86" spans="1:198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2"/>
        <v/>
      </c>
      <c r="H86" s="100" t="str">
        <f t="shared" si="3"/>
        <v/>
      </c>
      <c r="I86" s="101">
        <f t="shared" si="0"/>
        <v>0</v>
      </c>
      <c r="J86" s="100" t="str">
        <f t="shared" si="12"/>
        <v/>
      </c>
      <c r="K86" s="6" t="str">
        <f t="shared" si="4"/>
        <v/>
      </c>
      <c r="L86" s="6" t="str">
        <f t="shared" si="4"/>
        <v/>
      </c>
      <c r="M86" s="6">
        <f t="shared" si="13"/>
        <v>0</v>
      </c>
      <c r="N86" s="7">
        <f t="shared" si="14"/>
        <v>0</v>
      </c>
      <c r="O86" s="4"/>
      <c r="P86" s="3"/>
      <c r="Q86" s="3"/>
      <c r="R86" s="3"/>
      <c r="S86" s="3"/>
      <c r="T86" s="3"/>
      <c r="U86" s="5"/>
      <c r="V86" s="125"/>
      <c r="W86" s="3"/>
      <c r="X86" s="3"/>
      <c r="Y86" s="3"/>
      <c r="Z86" s="3"/>
      <c r="AA86" s="8"/>
      <c r="AB86" s="8"/>
      <c r="AC86" s="3"/>
      <c r="AD86" s="3"/>
      <c r="AE86" s="3"/>
      <c r="AF86" s="3"/>
      <c r="AG86" s="3"/>
      <c r="AH86" s="8"/>
      <c r="AI86" s="8"/>
      <c r="AJ86" s="3"/>
      <c r="AK86" s="3"/>
      <c r="AL86" s="3"/>
      <c r="AM86" s="3"/>
      <c r="AN86" s="3"/>
      <c r="AO86" s="8"/>
      <c r="AP86" s="8"/>
      <c r="AQ86" s="3"/>
      <c r="AR86" s="3"/>
      <c r="AS86" s="3"/>
      <c r="AT86" s="3"/>
      <c r="AU86" s="3"/>
      <c r="AV86" s="8"/>
      <c r="AW86" s="8"/>
      <c r="AX86" s="3"/>
      <c r="AY86" s="131"/>
      <c r="AZ86" s="5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GO86" s="54"/>
      <c r="GP86" s="54"/>
    </row>
    <row r="87" spans="1:198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2"/>
        <v/>
      </c>
      <c r="H87" s="100" t="str">
        <f t="shared" si="3"/>
        <v/>
      </c>
      <c r="I87" s="101">
        <f t="shared" si="0"/>
        <v>0</v>
      </c>
      <c r="J87" s="100" t="str">
        <f t="shared" si="12"/>
        <v/>
      </c>
      <c r="K87" s="6" t="str">
        <f t="shared" si="4"/>
        <v/>
      </c>
      <c r="L87" s="6" t="str">
        <f t="shared" si="4"/>
        <v/>
      </c>
      <c r="M87" s="6">
        <f t="shared" si="13"/>
        <v>0</v>
      </c>
      <c r="N87" s="7">
        <f t="shared" si="14"/>
        <v>0</v>
      </c>
      <c r="O87" s="4"/>
      <c r="P87" s="3"/>
      <c r="Q87" s="3"/>
      <c r="R87" s="3"/>
      <c r="S87" s="3"/>
      <c r="T87" s="3"/>
      <c r="U87" s="5"/>
      <c r="V87" s="125"/>
      <c r="W87" s="3"/>
      <c r="X87" s="3"/>
      <c r="Y87" s="3"/>
      <c r="Z87" s="3"/>
      <c r="AA87" s="8"/>
      <c r="AB87" s="8"/>
      <c r="AC87" s="3"/>
      <c r="AD87" s="3"/>
      <c r="AE87" s="3"/>
      <c r="AF87" s="3"/>
      <c r="AG87" s="3"/>
      <c r="AH87" s="8"/>
      <c r="AI87" s="8"/>
      <c r="AJ87" s="3"/>
      <c r="AK87" s="3"/>
      <c r="AL87" s="3"/>
      <c r="AM87" s="3"/>
      <c r="AN87" s="3"/>
      <c r="AO87" s="8"/>
      <c r="AP87" s="8"/>
      <c r="AQ87" s="3"/>
      <c r="AR87" s="3"/>
      <c r="AS87" s="3"/>
      <c r="AT87" s="3"/>
      <c r="AU87" s="3"/>
      <c r="AV87" s="8"/>
      <c r="AW87" s="8"/>
      <c r="AX87" s="3"/>
      <c r="AY87" s="131"/>
      <c r="AZ87" s="5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GO87" s="54"/>
      <c r="GP87" s="54"/>
    </row>
    <row r="88" spans="1:198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2"/>
        <v/>
      </c>
      <c r="H88" s="100" t="str">
        <f t="shared" si="3"/>
        <v/>
      </c>
      <c r="I88" s="101">
        <f t="shared" si="0"/>
        <v>0</v>
      </c>
      <c r="J88" s="100" t="str">
        <f t="shared" si="12"/>
        <v/>
      </c>
      <c r="K88" s="6" t="str">
        <f t="shared" si="4"/>
        <v/>
      </c>
      <c r="L88" s="6" t="str">
        <f t="shared" si="4"/>
        <v/>
      </c>
      <c r="M88" s="6">
        <f t="shared" si="13"/>
        <v>0</v>
      </c>
      <c r="N88" s="7">
        <f t="shared" si="14"/>
        <v>0</v>
      </c>
      <c r="O88" s="4"/>
      <c r="P88" s="3"/>
      <c r="Q88" s="3"/>
      <c r="R88" s="3"/>
      <c r="S88" s="3"/>
      <c r="T88" s="3"/>
      <c r="U88" s="5"/>
      <c r="V88" s="125"/>
      <c r="W88" s="3"/>
      <c r="X88" s="3"/>
      <c r="Y88" s="3"/>
      <c r="Z88" s="3"/>
      <c r="AA88" s="8"/>
      <c r="AB88" s="8"/>
      <c r="AC88" s="3"/>
      <c r="AD88" s="3"/>
      <c r="AE88" s="3"/>
      <c r="AF88" s="3"/>
      <c r="AG88" s="3"/>
      <c r="AH88" s="8"/>
      <c r="AI88" s="8"/>
      <c r="AJ88" s="3"/>
      <c r="AK88" s="3"/>
      <c r="AL88" s="3"/>
      <c r="AM88" s="3"/>
      <c r="AN88" s="3"/>
      <c r="AO88" s="8"/>
      <c r="AP88" s="8"/>
      <c r="AQ88" s="3"/>
      <c r="AR88" s="3"/>
      <c r="AS88" s="3"/>
      <c r="AT88" s="3"/>
      <c r="AU88" s="3"/>
      <c r="AV88" s="8"/>
      <c r="AW88" s="8"/>
      <c r="AX88" s="3"/>
      <c r="AY88" s="131"/>
      <c r="AZ88" s="5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GO88" s="54"/>
      <c r="GP88" s="54"/>
    </row>
    <row r="89" spans="1:198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2"/>
        <v/>
      </c>
      <c r="H89" s="100" t="str">
        <f t="shared" si="3"/>
        <v/>
      </c>
      <c r="I89" s="101">
        <f t="shared" si="0"/>
        <v>0</v>
      </c>
      <c r="J89" s="100" t="str">
        <f t="shared" si="12"/>
        <v/>
      </c>
      <c r="K89" s="6" t="str">
        <f t="shared" si="4"/>
        <v/>
      </c>
      <c r="L89" s="6" t="str">
        <f t="shared" si="4"/>
        <v/>
      </c>
      <c r="M89" s="6">
        <f t="shared" si="13"/>
        <v>0</v>
      </c>
      <c r="N89" s="7">
        <f t="shared" si="14"/>
        <v>0</v>
      </c>
      <c r="O89" s="4"/>
      <c r="P89" s="3"/>
      <c r="Q89" s="3"/>
      <c r="R89" s="3"/>
      <c r="S89" s="3"/>
      <c r="T89" s="3"/>
      <c r="U89" s="5"/>
      <c r="V89" s="125"/>
      <c r="W89" s="3"/>
      <c r="X89" s="3"/>
      <c r="Y89" s="3"/>
      <c r="Z89" s="3"/>
      <c r="AA89" s="8"/>
      <c r="AB89" s="8"/>
      <c r="AC89" s="3"/>
      <c r="AD89" s="3"/>
      <c r="AE89" s="3"/>
      <c r="AF89" s="3"/>
      <c r="AG89" s="3"/>
      <c r="AH89" s="8"/>
      <c r="AI89" s="8"/>
      <c r="AJ89" s="3"/>
      <c r="AK89" s="3"/>
      <c r="AL89" s="3"/>
      <c r="AM89" s="3"/>
      <c r="AN89" s="3"/>
      <c r="AO89" s="8"/>
      <c r="AP89" s="8"/>
      <c r="AQ89" s="3"/>
      <c r="AR89" s="3"/>
      <c r="AS89" s="3"/>
      <c r="AT89" s="3"/>
      <c r="AU89" s="3"/>
      <c r="AV89" s="8"/>
      <c r="AW89" s="8"/>
      <c r="AX89" s="3"/>
      <c r="AY89" s="131"/>
      <c r="AZ89" s="5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GO89" s="54"/>
      <c r="GP89" s="54"/>
    </row>
    <row r="90" spans="1:198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2"/>
        <v/>
      </c>
      <c r="H90" s="100" t="str">
        <f t="shared" si="3"/>
        <v/>
      </c>
      <c r="I90" s="101">
        <f t="shared" si="0"/>
        <v>0</v>
      </c>
      <c r="J90" s="100" t="str">
        <f t="shared" si="12"/>
        <v/>
      </c>
      <c r="K90" s="6" t="str">
        <f t="shared" si="4"/>
        <v/>
      </c>
      <c r="L90" s="6" t="str">
        <f t="shared" si="4"/>
        <v/>
      </c>
      <c r="M90" s="6">
        <f t="shared" si="13"/>
        <v>0</v>
      </c>
      <c r="N90" s="7">
        <f t="shared" si="14"/>
        <v>0</v>
      </c>
      <c r="O90" s="4"/>
      <c r="P90" s="3"/>
      <c r="Q90" s="3"/>
      <c r="R90" s="3"/>
      <c r="S90" s="3"/>
      <c r="T90" s="3"/>
      <c r="U90" s="5"/>
      <c r="V90" s="125"/>
      <c r="W90" s="3"/>
      <c r="X90" s="3"/>
      <c r="Y90" s="3"/>
      <c r="Z90" s="3"/>
      <c r="AA90" s="8"/>
      <c r="AB90" s="8"/>
      <c r="AC90" s="3"/>
      <c r="AD90" s="3"/>
      <c r="AE90" s="3"/>
      <c r="AF90" s="3"/>
      <c r="AG90" s="3"/>
      <c r="AH90" s="8"/>
      <c r="AI90" s="8"/>
      <c r="AJ90" s="3"/>
      <c r="AK90" s="3"/>
      <c r="AL90" s="3"/>
      <c r="AM90" s="3"/>
      <c r="AN90" s="3"/>
      <c r="AO90" s="8"/>
      <c r="AP90" s="8"/>
      <c r="AQ90" s="3"/>
      <c r="AR90" s="3"/>
      <c r="AS90" s="3"/>
      <c r="AT90" s="3"/>
      <c r="AU90" s="3"/>
      <c r="AV90" s="8"/>
      <c r="AW90" s="8"/>
      <c r="AX90" s="3"/>
      <c r="AY90" s="131"/>
      <c r="AZ90" s="5"/>
      <c r="BA90" s="59"/>
      <c r="BB90" s="59"/>
      <c r="GO90" s="54"/>
      <c r="GP90" s="54"/>
    </row>
    <row r="91" spans="1:198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2"/>
        <v/>
      </c>
      <c r="H91" s="100" t="str">
        <f t="shared" si="3"/>
        <v/>
      </c>
      <c r="I91" s="101">
        <f t="shared" si="0"/>
        <v>0</v>
      </c>
      <c r="J91" s="100" t="str">
        <f t="shared" si="12"/>
        <v/>
      </c>
      <c r="K91" s="6" t="str">
        <f t="shared" si="4"/>
        <v/>
      </c>
      <c r="L91" s="6" t="str">
        <f t="shared" si="4"/>
        <v/>
      </c>
      <c r="M91" s="6">
        <f t="shared" si="13"/>
        <v>0</v>
      </c>
      <c r="N91" s="7">
        <f t="shared" si="14"/>
        <v>0</v>
      </c>
      <c r="O91" s="4"/>
      <c r="P91" s="3"/>
      <c r="Q91" s="3"/>
      <c r="R91" s="3"/>
      <c r="S91" s="3"/>
      <c r="T91" s="3"/>
      <c r="U91" s="5"/>
      <c r="V91" s="125"/>
      <c r="W91" s="3"/>
      <c r="X91" s="3"/>
      <c r="Y91" s="3"/>
      <c r="Z91" s="3"/>
      <c r="AA91" s="8"/>
      <c r="AB91" s="8"/>
      <c r="AC91" s="3"/>
      <c r="AD91" s="3"/>
      <c r="AE91" s="3"/>
      <c r="AF91" s="3"/>
      <c r="AG91" s="3"/>
      <c r="AH91" s="8"/>
      <c r="AI91" s="8"/>
      <c r="AJ91" s="3"/>
      <c r="AK91" s="3"/>
      <c r="AL91" s="3"/>
      <c r="AM91" s="3"/>
      <c r="AN91" s="3"/>
      <c r="AO91" s="8"/>
      <c r="AP91" s="8"/>
      <c r="AQ91" s="3"/>
      <c r="AR91" s="3"/>
      <c r="AS91" s="3"/>
      <c r="AT91" s="3"/>
      <c r="AU91" s="3"/>
      <c r="AV91" s="8"/>
      <c r="AW91" s="8"/>
      <c r="AX91" s="3"/>
      <c r="AY91" s="131"/>
      <c r="AZ91" s="5"/>
      <c r="BA91" s="59"/>
      <c r="BB91" s="59"/>
      <c r="GO91" s="54"/>
      <c r="GP91" s="54"/>
    </row>
    <row r="92" spans="1:198" ht="15" hidden="1" customHeight="1" x14ac:dyDescent="0.25">
      <c r="A92" s="97">
        <v>81</v>
      </c>
      <c r="B92" s="103"/>
      <c r="C92" s="104"/>
      <c r="D92" s="1"/>
      <c r="E92" s="105"/>
      <c r="F92" s="105"/>
      <c r="G92" s="100" t="str">
        <f t="shared" si="2"/>
        <v/>
      </c>
      <c r="H92" s="100" t="str">
        <f t="shared" si="3"/>
        <v/>
      </c>
      <c r="I92" s="101">
        <f t="shared" si="0"/>
        <v>0</v>
      </c>
      <c r="J92" s="100" t="str">
        <f t="shared" si="12"/>
        <v/>
      </c>
      <c r="K92" s="6" t="str">
        <f t="shared" si="4"/>
        <v/>
      </c>
      <c r="L92" s="6" t="str">
        <f t="shared" si="4"/>
        <v/>
      </c>
      <c r="M92" s="6">
        <f t="shared" si="13"/>
        <v>0</v>
      </c>
      <c r="N92" s="7">
        <f t="shared" si="14"/>
        <v>0</v>
      </c>
      <c r="O92" s="4"/>
      <c r="P92" s="3"/>
      <c r="Q92" s="3"/>
      <c r="R92" s="3"/>
      <c r="S92" s="3"/>
      <c r="T92" s="3"/>
      <c r="U92" s="5"/>
      <c r="V92" s="125"/>
      <c r="W92" s="3"/>
      <c r="X92" s="3"/>
      <c r="Y92" s="3"/>
      <c r="Z92" s="3"/>
      <c r="AA92" s="8"/>
      <c r="AB92" s="8"/>
      <c r="AC92" s="3"/>
      <c r="AD92" s="3"/>
      <c r="AE92" s="3"/>
      <c r="AF92" s="3"/>
      <c r="AG92" s="3"/>
      <c r="AH92" s="8"/>
      <c r="AI92" s="8"/>
      <c r="AJ92" s="3"/>
      <c r="AK92" s="3"/>
      <c r="AL92" s="3"/>
      <c r="AM92" s="3"/>
      <c r="AN92" s="3"/>
      <c r="AO92" s="8"/>
      <c r="AP92" s="8"/>
      <c r="AQ92" s="3"/>
      <c r="AR92" s="3"/>
      <c r="AS92" s="3"/>
      <c r="AT92" s="3"/>
      <c r="AU92" s="3"/>
      <c r="AV92" s="8"/>
      <c r="AW92" s="8"/>
      <c r="AX92" s="3"/>
      <c r="AY92" s="131"/>
      <c r="AZ92" s="5"/>
      <c r="BA92" s="59"/>
      <c r="BB92" s="59"/>
      <c r="GO92" s="54"/>
      <c r="GP92" s="54"/>
    </row>
    <row r="93" spans="1:198" ht="15" hidden="1" customHeight="1" x14ac:dyDescent="0.25">
      <c r="A93" s="102">
        <v>82</v>
      </c>
      <c r="B93" s="103"/>
      <c r="C93" s="104"/>
      <c r="D93" s="1"/>
      <c r="E93" s="105"/>
      <c r="F93" s="105"/>
      <c r="G93" s="100" t="str">
        <f t="shared" si="2"/>
        <v/>
      </c>
      <c r="H93" s="100" t="str">
        <f t="shared" si="3"/>
        <v/>
      </c>
      <c r="I93" s="101">
        <f t="shared" si="0"/>
        <v>0</v>
      </c>
      <c r="J93" s="100" t="str">
        <f t="shared" si="12"/>
        <v/>
      </c>
      <c r="K93" s="6" t="str">
        <f t="shared" si="4"/>
        <v/>
      </c>
      <c r="L93" s="6" t="str">
        <f t="shared" si="4"/>
        <v/>
      </c>
      <c r="M93" s="6">
        <f t="shared" si="13"/>
        <v>0</v>
      </c>
      <c r="N93" s="7">
        <f t="shared" si="14"/>
        <v>0</v>
      </c>
      <c r="O93" s="4"/>
      <c r="P93" s="3"/>
      <c r="Q93" s="3"/>
      <c r="R93" s="3"/>
      <c r="S93" s="3"/>
      <c r="T93" s="3"/>
      <c r="U93" s="5"/>
      <c r="V93" s="125"/>
      <c r="W93" s="3"/>
      <c r="X93" s="3"/>
      <c r="Y93" s="3"/>
      <c r="Z93" s="3"/>
      <c r="AA93" s="8"/>
      <c r="AB93" s="8"/>
      <c r="AC93" s="3"/>
      <c r="AD93" s="3"/>
      <c r="AE93" s="3"/>
      <c r="AF93" s="3"/>
      <c r="AG93" s="3"/>
      <c r="AH93" s="8"/>
      <c r="AI93" s="8"/>
      <c r="AJ93" s="3"/>
      <c r="AK93" s="3"/>
      <c r="AL93" s="3"/>
      <c r="AM93" s="3"/>
      <c r="AN93" s="3"/>
      <c r="AO93" s="8"/>
      <c r="AP93" s="8"/>
      <c r="AQ93" s="3"/>
      <c r="AR93" s="3"/>
      <c r="AS93" s="3"/>
      <c r="AT93" s="3"/>
      <c r="AU93" s="3"/>
      <c r="AV93" s="8"/>
      <c r="AW93" s="8"/>
      <c r="AX93" s="3"/>
      <c r="AY93" s="131"/>
      <c r="AZ93" s="5"/>
      <c r="BA93" s="58"/>
      <c r="BB93" s="59"/>
      <c r="GO93" s="54"/>
      <c r="GP93" s="54"/>
    </row>
    <row r="94" spans="1:198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2"/>
        <v/>
      </c>
      <c r="H94" s="100" t="str">
        <f t="shared" si="3"/>
        <v/>
      </c>
      <c r="I94" s="101">
        <f t="shared" si="0"/>
        <v>0</v>
      </c>
      <c r="J94" s="100" t="str">
        <f t="shared" si="12"/>
        <v/>
      </c>
      <c r="K94" s="6" t="str">
        <f t="shared" si="4"/>
        <v/>
      </c>
      <c r="L94" s="6" t="str">
        <f t="shared" si="4"/>
        <v/>
      </c>
      <c r="M94" s="6">
        <f t="shared" si="13"/>
        <v>0</v>
      </c>
      <c r="N94" s="7">
        <f t="shared" si="14"/>
        <v>0</v>
      </c>
      <c r="O94" s="4"/>
      <c r="P94" s="3"/>
      <c r="Q94" s="3"/>
      <c r="R94" s="3"/>
      <c r="S94" s="3"/>
      <c r="T94" s="3"/>
      <c r="U94" s="5"/>
      <c r="V94" s="125"/>
      <c r="W94" s="3"/>
      <c r="X94" s="3"/>
      <c r="Y94" s="3"/>
      <c r="Z94" s="3"/>
      <c r="AA94" s="8"/>
      <c r="AB94" s="8"/>
      <c r="AC94" s="3"/>
      <c r="AD94" s="3"/>
      <c r="AE94" s="3"/>
      <c r="AF94" s="3"/>
      <c r="AG94" s="3"/>
      <c r="AH94" s="8"/>
      <c r="AI94" s="8"/>
      <c r="AJ94" s="3"/>
      <c r="AK94" s="3"/>
      <c r="AL94" s="3"/>
      <c r="AM94" s="3"/>
      <c r="AN94" s="3"/>
      <c r="AO94" s="8"/>
      <c r="AP94" s="8"/>
      <c r="AQ94" s="3"/>
      <c r="AR94" s="3"/>
      <c r="AS94" s="3"/>
      <c r="AT94" s="3"/>
      <c r="AU94" s="3"/>
      <c r="AV94" s="8"/>
      <c r="AW94" s="8"/>
      <c r="AX94" s="3"/>
      <c r="AY94" s="131"/>
      <c r="AZ94" s="5"/>
      <c r="BA94" s="58"/>
      <c r="BB94" s="59"/>
      <c r="GO94" s="54"/>
      <c r="GP94" s="54"/>
    </row>
    <row r="95" spans="1:198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2"/>
        <v/>
      </c>
      <c r="H95" s="100" t="str">
        <f t="shared" si="3"/>
        <v/>
      </c>
      <c r="I95" s="101">
        <f t="shared" si="0"/>
        <v>0</v>
      </c>
      <c r="J95" s="100" t="str">
        <f t="shared" si="12"/>
        <v/>
      </c>
      <c r="K95" s="6" t="str">
        <f t="shared" si="4"/>
        <v/>
      </c>
      <c r="L95" s="6" t="str">
        <f t="shared" si="4"/>
        <v/>
      </c>
      <c r="M95" s="6">
        <f t="shared" si="13"/>
        <v>0</v>
      </c>
      <c r="N95" s="7">
        <f t="shared" si="14"/>
        <v>0</v>
      </c>
      <c r="O95" s="4"/>
      <c r="P95" s="3"/>
      <c r="Q95" s="3"/>
      <c r="R95" s="3"/>
      <c r="S95" s="3"/>
      <c r="T95" s="3"/>
      <c r="U95" s="5"/>
      <c r="V95" s="125"/>
      <c r="W95" s="3"/>
      <c r="X95" s="3"/>
      <c r="Y95" s="3"/>
      <c r="Z95" s="3"/>
      <c r="AA95" s="8"/>
      <c r="AB95" s="8"/>
      <c r="AC95" s="3"/>
      <c r="AD95" s="3"/>
      <c r="AE95" s="3"/>
      <c r="AF95" s="3"/>
      <c r="AG95" s="3"/>
      <c r="AH95" s="8"/>
      <c r="AI95" s="8"/>
      <c r="AJ95" s="3"/>
      <c r="AK95" s="3"/>
      <c r="AL95" s="3"/>
      <c r="AM95" s="3"/>
      <c r="AN95" s="3"/>
      <c r="AO95" s="8"/>
      <c r="AP95" s="8"/>
      <c r="AQ95" s="3"/>
      <c r="AR95" s="3"/>
      <c r="AS95" s="3"/>
      <c r="AT95" s="3"/>
      <c r="AU95" s="3"/>
      <c r="AV95" s="8"/>
      <c r="AW95" s="8"/>
      <c r="AX95" s="3"/>
      <c r="AY95" s="131"/>
      <c r="AZ95" s="5"/>
      <c r="BA95" s="59"/>
      <c r="BB95" s="59"/>
      <c r="GO95" s="54"/>
      <c r="GP95" s="54"/>
    </row>
    <row r="96" spans="1:198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2"/>
        <v/>
      </c>
      <c r="H96" s="100" t="str">
        <f t="shared" si="3"/>
        <v/>
      </c>
      <c r="I96" s="101">
        <f t="shared" si="0"/>
        <v>0</v>
      </c>
      <c r="J96" s="100" t="str">
        <f t="shared" si="12"/>
        <v/>
      </c>
      <c r="K96" s="6" t="str">
        <f t="shared" si="4"/>
        <v/>
      </c>
      <c r="L96" s="6" t="str">
        <f t="shared" si="4"/>
        <v/>
      </c>
      <c r="M96" s="6">
        <f t="shared" si="13"/>
        <v>0</v>
      </c>
      <c r="N96" s="7">
        <f t="shared" si="14"/>
        <v>0</v>
      </c>
      <c r="O96" s="4"/>
      <c r="P96" s="3"/>
      <c r="Q96" s="3"/>
      <c r="R96" s="3"/>
      <c r="S96" s="3"/>
      <c r="T96" s="3"/>
      <c r="U96" s="5"/>
      <c r="V96" s="125"/>
      <c r="W96" s="3"/>
      <c r="X96" s="3"/>
      <c r="Y96" s="3"/>
      <c r="Z96" s="3"/>
      <c r="AA96" s="8"/>
      <c r="AB96" s="8"/>
      <c r="AC96" s="3"/>
      <c r="AD96" s="3"/>
      <c r="AE96" s="3"/>
      <c r="AF96" s="3"/>
      <c r="AG96" s="3"/>
      <c r="AH96" s="8"/>
      <c r="AI96" s="8"/>
      <c r="AJ96" s="3"/>
      <c r="AK96" s="3"/>
      <c r="AL96" s="3"/>
      <c r="AM96" s="3"/>
      <c r="AN96" s="3"/>
      <c r="AO96" s="8"/>
      <c r="AP96" s="8"/>
      <c r="AQ96" s="3"/>
      <c r="AR96" s="3"/>
      <c r="AS96" s="3"/>
      <c r="AT96" s="3"/>
      <c r="AU96" s="3"/>
      <c r="AV96" s="8"/>
      <c r="AW96" s="8"/>
      <c r="AX96" s="3"/>
      <c r="AY96" s="131"/>
      <c r="AZ96" s="5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GO96" s="54"/>
      <c r="GP96" s="54"/>
    </row>
    <row r="97" spans="1:198" ht="15" hidden="1" customHeight="1" x14ac:dyDescent="0.25">
      <c r="A97" s="97">
        <v>86</v>
      </c>
      <c r="B97" s="103"/>
      <c r="C97" s="104"/>
      <c r="D97" s="1"/>
      <c r="E97" s="105"/>
      <c r="F97" s="105"/>
      <c r="G97" s="100" t="str">
        <f t="shared" si="2"/>
        <v/>
      </c>
      <c r="H97" s="100" t="str">
        <f t="shared" si="3"/>
        <v/>
      </c>
      <c r="I97" s="101">
        <f t="shared" si="0"/>
        <v>0</v>
      </c>
      <c r="J97" s="100" t="str">
        <f t="shared" si="12"/>
        <v/>
      </c>
      <c r="K97" s="6" t="str">
        <f t="shared" si="4"/>
        <v/>
      </c>
      <c r="L97" s="6" t="str">
        <f t="shared" si="4"/>
        <v/>
      </c>
      <c r="M97" s="6">
        <f t="shared" si="13"/>
        <v>0</v>
      </c>
      <c r="N97" s="7">
        <f t="shared" si="14"/>
        <v>0</v>
      </c>
      <c r="O97" s="4"/>
      <c r="P97" s="3"/>
      <c r="Q97" s="3"/>
      <c r="R97" s="3"/>
      <c r="S97" s="3"/>
      <c r="T97" s="3"/>
      <c r="U97" s="5"/>
      <c r="V97" s="125"/>
      <c r="W97" s="3"/>
      <c r="X97" s="3"/>
      <c r="Y97" s="3"/>
      <c r="Z97" s="3"/>
      <c r="AA97" s="8"/>
      <c r="AB97" s="8"/>
      <c r="AC97" s="3"/>
      <c r="AD97" s="3"/>
      <c r="AE97" s="3"/>
      <c r="AF97" s="3"/>
      <c r="AG97" s="3"/>
      <c r="AH97" s="8"/>
      <c r="AI97" s="8"/>
      <c r="AJ97" s="3"/>
      <c r="AK97" s="3"/>
      <c r="AL97" s="3"/>
      <c r="AM97" s="3"/>
      <c r="AN97" s="3"/>
      <c r="AO97" s="8"/>
      <c r="AP97" s="8"/>
      <c r="AQ97" s="3"/>
      <c r="AR97" s="3"/>
      <c r="AS97" s="3"/>
      <c r="AT97" s="3"/>
      <c r="AU97" s="3"/>
      <c r="AV97" s="8"/>
      <c r="AW97" s="8"/>
      <c r="AX97" s="3"/>
      <c r="AY97" s="131"/>
      <c r="AZ97" s="5"/>
      <c r="BA97" s="106"/>
      <c r="BB97" s="59"/>
      <c r="GO97" s="54"/>
      <c r="GP97" s="54"/>
    </row>
    <row r="98" spans="1:198" ht="15" hidden="1" customHeight="1" x14ac:dyDescent="0.25">
      <c r="A98" s="102">
        <v>87</v>
      </c>
      <c r="B98" s="103"/>
      <c r="C98" s="104"/>
      <c r="D98" s="1"/>
      <c r="E98" s="105"/>
      <c r="F98" s="105"/>
      <c r="G98" s="100" t="str">
        <f t="shared" si="2"/>
        <v/>
      </c>
      <c r="H98" s="100" t="str">
        <f t="shared" si="3"/>
        <v/>
      </c>
      <c r="I98" s="101">
        <f t="shared" si="0"/>
        <v>0</v>
      </c>
      <c r="J98" s="100" t="str">
        <f t="shared" si="12"/>
        <v/>
      </c>
      <c r="K98" s="6" t="str">
        <f t="shared" si="4"/>
        <v/>
      </c>
      <c r="L98" s="6" t="str">
        <f t="shared" si="4"/>
        <v/>
      </c>
      <c r="M98" s="6">
        <f t="shared" si="13"/>
        <v>0</v>
      </c>
      <c r="N98" s="7">
        <f t="shared" si="14"/>
        <v>0</v>
      </c>
      <c r="O98" s="4"/>
      <c r="P98" s="3"/>
      <c r="Q98" s="3"/>
      <c r="R98" s="3"/>
      <c r="S98" s="3"/>
      <c r="T98" s="3"/>
      <c r="U98" s="5"/>
      <c r="V98" s="125"/>
      <c r="W98" s="3"/>
      <c r="X98" s="3"/>
      <c r="Y98" s="3"/>
      <c r="Z98" s="3"/>
      <c r="AA98" s="8"/>
      <c r="AB98" s="8"/>
      <c r="AC98" s="3"/>
      <c r="AD98" s="3"/>
      <c r="AE98" s="3"/>
      <c r="AF98" s="3"/>
      <c r="AG98" s="3"/>
      <c r="AH98" s="8"/>
      <c r="AI98" s="8"/>
      <c r="AJ98" s="3"/>
      <c r="AK98" s="3"/>
      <c r="AL98" s="3"/>
      <c r="AM98" s="3"/>
      <c r="AN98" s="3"/>
      <c r="AO98" s="8"/>
      <c r="AP98" s="8"/>
      <c r="AQ98" s="3"/>
      <c r="AR98" s="3"/>
      <c r="AS98" s="3"/>
      <c r="AT98" s="3"/>
      <c r="AU98" s="3"/>
      <c r="AV98" s="8"/>
      <c r="AW98" s="8"/>
      <c r="AX98" s="3"/>
      <c r="AY98" s="131"/>
      <c r="AZ98" s="5"/>
      <c r="BA98" s="59"/>
      <c r="BB98" s="59"/>
      <c r="GO98" s="54"/>
      <c r="GP98" s="54"/>
    </row>
    <row r="99" spans="1:198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2"/>
        <v/>
      </c>
      <c r="H99" s="100" t="str">
        <f t="shared" si="3"/>
        <v/>
      </c>
      <c r="I99" s="101">
        <f t="shared" si="0"/>
        <v>0</v>
      </c>
      <c r="J99" s="100" t="str">
        <f t="shared" si="12"/>
        <v/>
      </c>
      <c r="K99" s="6" t="str">
        <f t="shared" si="4"/>
        <v/>
      </c>
      <c r="L99" s="6" t="str">
        <f t="shared" si="4"/>
        <v/>
      </c>
      <c r="M99" s="6">
        <f t="shared" si="13"/>
        <v>0</v>
      </c>
      <c r="N99" s="7">
        <f t="shared" si="14"/>
        <v>0</v>
      </c>
      <c r="O99" s="4"/>
      <c r="P99" s="3"/>
      <c r="Q99" s="3"/>
      <c r="R99" s="3"/>
      <c r="S99" s="3"/>
      <c r="T99" s="3"/>
      <c r="U99" s="5"/>
      <c r="V99" s="125"/>
      <c r="W99" s="3"/>
      <c r="X99" s="3"/>
      <c r="Y99" s="3"/>
      <c r="Z99" s="3"/>
      <c r="AA99" s="8"/>
      <c r="AB99" s="8"/>
      <c r="AC99" s="3"/>
      <c r="AD99" s="3"/>
      <c r="AE99" s="3"/>
      <c r="AF99" s="3"/>
      <c r="AG99" s="3"/>
      <c r="AH99" s="8"/>
      <c r="AI99" s="8"/>
      <c r="AJ99" s="3"/>
      <c r="AK99" s="3"/>
      <c r="AL99" s="3"/>
      <c r="AM99" s="3"/>
      <c r="AN99" s="3"/>
      <c r="AO99" s="8"/>
      <c r="AP99" s="8"/>
      <c r="AQ99" s="3"/>
      <c r="AR99" s="3"/>
      <c r="AS99" s="3"/>
      <c r="AT99" s="3"/>
      <c r="AU99" s="3"/>
      <c r="AV99" s="8"/>
      <c r="AW99" s="8"/>
      <c r="AX99" s="3"/>
      <c r="AY99" s="131"/>
      <c r="AZ99" s="5"/>
      <c r="BA99" s="59"/>
      <c r="BB99" s="59"/>
      <c r="GO99" s="54"/>
      <c r="GP99" s="54"/>
    </row>
    <row r="100" spans="1:198" ht="15" hidden="1" customHeight="1" x14ac:dyDescent="0.25">
      <c r="A100" s="97">
        <v>89</v>
      </c>
      <c r="B100" s="103"/>
      <c r="C100" s="104"/>
      <c r="D100" s="2"/>
      <c r="E100" s="105"/>
      <c r="F100" s="105"/>
      <c r="G100" s="100" t="str">
        <f t="shared" si="2"/>
        <v/>
      </c>
      <c r="H100" s="100" t="str">
        <f t="shared" si="3"/>
        <v/>
      </c>
      <c r="I100" s="101">
        <f t="shared" si="0"/>
        <v>0</v>
      </c>
      <c r="J100" s="100" t="str">
        <f t="shared" si="12"/>
        <v/>
      </c>
      <c r="K100" s="6" t="str">
        <f t="shared" si="4"/>
        <v/>
      </c>
      <c r="L100" s="6" t="str">
        <f t="shared" si="4"/>
        <v/>
      </c>
      <c r="M100" s="6">
        <f t="shared" si="13"/>
        <v>0</v>
      </c>
      <c r="N100" s="7">
        <f t="shared" si="14"/>
        <v>0</v>
      </c>
      <c r="O100" s="4"/>
      <c r="P100" s="3"/>
      <c r="Q100" s="3"/>
      <c r="R100" s="3"/>
      <c r="S100" s="3"/>
      <c r="T100" s="3"/>
      <c r="U100" s="5"/>
      <c r="V100" s="125"/>
      <c r="W100" s="3"/>
      <c r="X100" s="3"/>
      <c r="Y100" s="3"/>
      <c r="Z100" s="3"/>
      <c r="AA100" s="8"/>
      <c r="AB100" s="8"/>
      <c r="AC100" s="3"/>
      <c r="AD100" s="3"/>
      <c r="AE100" s="3"/>
      <c r="AF100" s="3"/>
      <c r="AG100" s="3"/>
      <c r="AH100" s="8"/>
      <c r="AI100" s="8"/>
      <c r="AJ100" s="3"/>
      <c r="AK100" s="3"/>
      <c r="AL100" s="3"/>
      <c r="AM100" s="3"/>
      <c r="AN100" s="3"/>
      <c r="AO100" s="8"/>
      <c r="AP100" s="8"/>
      <c r="AQ100" s="3"/>
      <c r="AR100" s="3"/>
      <c r="AS100" s="3"/>
      <c r="AT100" s="3"/>
      <c r="AU100" s="3"/>
      <c r="AV100" s="8"/>
      <c r="AW100" s="8"/>
      <c r="AX100" s="3"/>
      <c r="AY100" s="131"/>
      <c r="AZ100" s="5"/>
      <c r="BA100" s="59"/>
      <c r="BB100" s="59"/>
      <c r="GO100" s="54"/>
      <c r="GP100" s="54"/>
    </row>
    <row r="101" spans="1:198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2"/>
        <v/>
      </c>
      <c r="H101" s="100" t="str">
        <f t="shared" si="3"/>
        <v/>
      </c>
      <c r="I101" s="101">
        <f t="shared" si="0"/>
        <v>0</v>
      </c>
      <c r="J101" s="100" t="str">
        <f t="shared" si="12"/>
        <v/>
      </c>
      <c r="K101" s="6" t="str">
        <f t="shared" si="4"/>
        <v/>
      </c>
      <c r="L101" s="6" t="str">
        <f t="shared" si="4"/>
        <v/>
      </c>
      <c r="M101" s="6">
        <f t="shared" si="13"/>
        <v>0</v>
      </c>
      <c r="N101" s="7">
        <f t="shared" si="14"/>
        <v>0</v>
      </c>
      <c r="O101" s="4"/>
      <c r="P101" s="3"/>
      <c r="Q101" s="3"/>
      <c r="R101" s="3"/>
      <c r="S101" s="3"/>
      <c r="T101" s="3"/>
      <c r="U101" s="5"/>
      <c r="V101" s="125"/>
      <c r="W101" s="3"/>
      <c r="X101" s="3"/>
      <c r="Y101" s="3"/>
      <c r="Z101" s="3"/>
      <c r="AA101" s="8"/>
      <c r="AB101" s="8"/>
      <c r="AC101" s="3"/>
      <c r="AD101" s="3"/>
      <c r="AE101" s="3"/>
      <c r="AF101" s="3"/>
      <c r="AG101" s="3"/>
      <c r="AH101" s="8"/>
      <c r="AI101" s="8"/>
      <c r="AJ101" s="3"/>
      <c r="AK101" s="3"/>
      <c r="AL101" s="3"/>
      <c r="AM101" s="3"/>
      <c r="AN101" s="3"/>
      <c r="AO101" s="8"/>
      <c r="AP101" s="8"/>
      <c r="AQ101" s="3"/>
      <c r="AR101" s="3"/>
      <c r="AS101" s="3"/>
      <c r="AT101" s="3"/>
      <c r="AU101" s="3"/>
      <c r="AV101" s="8"/>
      <c r="AW101" s="8"/>
      <c r="AX101" s="3"/>
      <c r="AY101" s="131"/>
      <c r="AZ101" s="5"/>
      <c r="BA101" s="59"/>
      <c r="BB101" s="59"/>
      <c r="GO101" s="54"/>
      <c r="GP101" s="54"/>
    </row>
    <row r="102" spans="1:198" ht="15" hidden="1" customHeight="1" x14ac:dyDescent="0.25">
      <c r="A102" s="102">
        <v>91</v>
      </c>
      <c r="B102" s="103"/>
      <c r="C102" s="104"/>
      <c r="D102" s="1"/>
      <c r="E102" s="105"/>
      <c r="F102" s="105"/>
      <c r="G102" s="100" t="str">
        <f t="shared" si="2"/>
        <v/>
      </c>
      <c r="H102" s="100" t="str">
        <f t="shared" si="3"/>
        <v/>
      </c>
      <c r="I102" s="101">
        <f t="shared" si="0"/>
        <v>0</v>
      </c>
      <c r="J102" s="100" t="str">
        <f t="shared" si="12"/>
        <v/>
      </c>
      <c r="K102" s="6" t="str">
        <f t="shared" si="4"/>
        <v/>
      </c>
      <c r="L102" s="6" t="str">
        <f t="shared" si="4"/>
        <v/>
      </c>
      <c r="M102" s="6">
        <f t="shared" si="13"/>
        <v>0</v>
      </c>
      <c r="N102" s="7">
        <f t="shared" si="14"/>
        <v>0</v>
      </c>
      <c r="O102" s="4"/>
      <c r="P102" s="3"/>
      <c r="Q102" s="3"/>
      <c r="R102" s="3"/>
      <c r="S102" s="3"/>
      <c r="T102" s="3"/>
      <c r="U102" s="5"/>
      <c r="V102" s="125"/>
      <c r="W102" s="3"/>
      <c r="X102" s="3"/>
      <c r="Y102" s="3"/>
      <c r="Z102" s="3"/>
      <c r="AA102" s="8"/>
      <c r="AB102" s="8"/>
      <c r="AC102" s="3"/>
      <c r="AD102" s="3"/>
      <c r="AE102" s="3"/>
      <c r="AF102" s="3"/>
      <c r="AG102" s="3"/>
      <c r="AH102" s="8"/>
      <c r="AI102" s="8"/>
      <c r="AJ102" s="3"/>
      <c r="AK102" s="3"/>
      <c r="AL102" s="3"/>
      <c r="AM102" s="3"/>
      <c r="AN102" s="3"/>
      <c r="AO102" s="8"/>
      <c r="AP102" s="8"/>
      <c r="AQ102" s="3"/>
      <c r="AR102" s="3"/>
      <c r="AS102" s="3"/>
      <c r="AT102" s="3"/>
      <c r="AU102" s="3"/>
      <c r="AV102" s="8"/>
      <c r="AW102" s="8"/>
      <c r="AX102" s="3"/>
      <c r="AY102" s="131"/>
      <c r="AZ102" s="5"/>
      <c r="BA102" s="59"/>
      <c r="BB102" s="59"/>
      <c r="GO102" s="54"/>
      <c r="GP102" s="54"/>
    </row>
    <row r="103" spans="1:198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2"/>
        <v/>
      </c>
      <c r="H103" s="100" t="str">
        <f t="shared" si="3"/>
        <v/>
      </c>
      <c r="I103" s="101">
        <f t="shared" si="0"/>
        <v>0</v>
      </c>
      <c r="J103" s="100" t="str">
        <f t="shared" si="12"/>
        <v/>
      </c>
      <c r="K103" s="6" t="str">
        <f t="shared" si="4"/>
        <v/>
      </c>
      <c r="L103" s="6" t="str">
        <f t="shared" si="4"/>
        <v/>
      </c>
      <c r="M103" s="6">
        <f t="shared" si="13"/>
        <v>0</v>
      </c>
      <c r="N103" s="7">
        <f t="shared" si="14"/>
        <v>0</v>
      </c>
      <c r="O103" s="4"/>
      <c r="P103" s="3"/>
      <c r="Q103" s="3"/>
      <c r="R103" s="3"/>
      <c r="S103" s="3"/>
      <c r="T103" s="3"/>
      <c r="U103" s="5"/>
      <c r="V103" s="125"/>
      <c r="W103" s="3"/>
      <c r="X103" s="3"/>
      <c r="Y103" s="3"/>
      <c r="Z103" s="3"/>
      <c r="AA103" s="8"/>
      <c r="AB103" s="8"/>
      <c r="AC103" s="3"/>
      <c r="AD103" s="3"/>
      <c r="AE103" s="3"/>
      <c r="AF103" s="3"/>
      <c r="AG103" s="3"/>
      <c r="AH103" s="8"/>
      <c r="AI103" s="8"/>
      <c r="AJ103" s="3"/>
      <c r="AK103" s="3"/>
      <c r="AL103" s="3"/>
      <c r="AM103" s="3"/>
      <c r="AN103" s="3"/>
      <c r="AO103" s="8"/>
      <c r="AP103" s="8"/>
      <c r="AQ103" s="3"/>
      <c r="AR103" s="3"/>
      <c r="AS103" s="3"/>
      <c r="AT103" s="3"/>
      <c r="AU103" s="3"/>
      <c r="AV103" s="8"/>
      <c r="AW103" s="8"/>
      <c r="AX103" s="3"/>
      <c r="AY103" s="131"/>
      <c r="AZ103" s="5"/>
      <c r="BA103" s="59"/>
      <c r="BB103" s="59"/>
      <c r="GO103" s="54"/>
      <c r="GP103" s="54"/>
    </row>
    <row r="104" spans="1:198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2"/>
        <v/>
      </c>
      <c r="H104" s="100" t="str">
        <f t="shared" si="3"/>
        <v/>
      </c>
      <c r="I104" s="101">
        <f t="shared" si="0"/>
        <v>0</v>
      </c>
      <c r="J104" s="100" t="str">
        <f t="shared" si="12"/>
        <v/>
      </c>
      <c r="K104" s="6" t="str">
        <f t="shared" si="4"/>
        <v/>
      </c>
      <c r="L104" s="6" t="str">
        <f t="shared" si="4"/>
        <v/>
      </c>
      <c r="M104" s="6">
        <f t="shared" si="13"/>
        <v>0</v>
      </c>
      <c r="N104" s="7">
        <f t="shared" si="14"/>
        <v>0</v>
      </c>
      <c r="O104" s="4"/>
      <c r="P104" s="3"/>
      <c r="Q104" s="3"/>
      <c r="R104" s="3"/>
      <c r="S104" s="3"/>
      <c r="T104" s="3"/>
      <c r="U104" s="5"/>
      <c r="V104" s="125"/>
      <c r="W104" s="3"/>
      <c r="X104" s="3"/>
      <c r="Y104" s="3"/>
      <c r="Z104" s="3"/>
      <c r="AA104" s="8"/>
      <c r="AB104" s="8"/>
      <c r="AC104" s="3"/>
      <c r="AD104" s="3"/>
      <c r="AE104" s="3"/>
      <c r="AF104" s="3"/>
      <c r="AG104" s="3"/>
      <c r="AH104" s="8"/>
      <c r="AI104" s="8"/>
      <c r="AJ104" s="3"/>
      <c r="AK104" s="3"/>
      <c r="AL104" s="3"/>
      <c r="AM104" s="3"/>
      <c r="AN104" s="3"/>
      <c r="AO104" s="8"/>
      <c r="AP104" s="8"/>
      <c r="AQ104" s="3"/>
      <c r="AR104" s="3"/>
      <c r="AS104" s="3"/>
      <c r="AT104" s="3"/>
      <c r="AU104" s="3"/>
      <c r="AV104" s="8"/>
      <c r="AW104" s="8"/>
      <c r="AX104" s="3"/>
      <c r="AY104" s="131"/>
      <c r="AZ104" s="5"/>
      <c r="BA104" s="59"/>
      <c r="BB104" s="59"/>
      <c r="GO104" s="54"/>
      <c r="GP104" s="54"/>
    </row>
    <row r="105" spans="1:198" ht="15" hidden="1" customHeight="1" x14ac:dyDescent="0.25">
      <c r="A105" s="97">
        <v>94</v>
      </c>
      <c r="B105" s="103"/>
      <c r="C105" s="104"/>
      <c r="D105" s="1"/>
      <c r="E105" s="105"/>
      <c r="F105" s="105"/>
      <c r="G105" s="100" t="str">
        <f t="shared" si="2"/>
        <v/>
      </c>
      <c r="H105" s="100" t="str">
        <f t="shared" si="3"/>
        <v/>
      </c>
      <c r="I105" s="101">
        <f t="shared" si="0"/>
        <v>0</v>
      </c>
      <c r="J105" s="100" t="str">
        <f t="shared" si="12"/>
        <v/>
      </c>
      <c r="K105" s="6" t="str">
        <f t="shared" si="4"/>
        <v/>
      </c>
      <c r="L105" s="6" t="str">
        <f t="shared" si="4"/>
        <v/>
      </c>
      <c r="M105" s="6">
        <f t="shared" si="13"/>
        <v>0</v>
      </c>
      <c r="N105" s="7">
        <f t="shared" si="14"/>
        <v>0</v>
      </c>
      <c r="O105" s="4"/>
      <c r="P105" s="3"/>
      <c r="Q105" s="3"/>
      <c r="R105" s="3"/>
      <c r="S105" s="3"/>
      <c r="T105" s="3"/>
      <c r="U105" s="5"/>
      <c r="V105" s="125"/>
      <c r="W105" s="3"/>
      <c r="X105" s="3"/>
      <c r="Y105" s="3"/>
      <c r="Z105" s="3"/>
      <c r="AA105" s="8"/>
      <c r="AB105" s="8"/>
      <c r="AC105" s="3"/>
      <c r="AD105" s="3"/>
      <c r="AE105" s="3"/>
      <c r="AF105" s="3"/>
      <c r="AG105" s="3"/>
      <c r="AH105" s="8"/>
      <c r="AI105" s="8"/>
      <c r="AJ105" s="3"/>
      <c r="AK105" s="3"/>
      <c r="AL105" s="3"/>
      <c r="AM105" s="3"/>
      <c r="AN105" s="3"/>
      <c r="AO105" s="8"/>
      <c r="AP105" s="8"/>
      <c r="AQ105" s="3"/>
      <c r="AR105" s="3"/>
      <c r="AS105" s="3"/>
      <c r="AT105" s="3"/>
      <c r="AU105" s="3"/>
      <c r="AV105" s="8"/>
      <c r="AW105" s="8"/>
      <c r="AX105" s="3"/>
      <c r="AY105" s="131"/>
      <c r="AZ105" s="5"/>
      <c r="BA105" s="59"/>
      <c r="BB105" s="59"/>
      <c r="GO105" s="54"/>
      <c r="GP105" s="54"/>
    </row>
    <row r="106" spans="1:198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2"/>
        <v/>
      </c>
      <c r="H106" s="100" t="str">
        <f t="shared" si="3"/>
        <v/>
      </c>
      <c r="I106" s="101">
        <f t="shared" si="0"/>
        <v>0</v>
      </c>
      <c r="J106" s="100" t="str">
        <f t="shared" si="12"/>
        <v/>
      </c>
      <c r="K106" s="6" t="str">
        <f t="shared" si="4"/>
        <v/>
      </c>
      <c r="L106" s="6" t="str">
        <f t="shared" si="4"/>
        <v/>
      </c>
      <c r="M106" s="6">
        <f t="shared" si="13"/>
        <v>0</v>
      </c>
      <c r="N106" s="7">
        <f t="shared" si="14"/>
        <v>0</v>
      </c>
      <c r="O106" s="4"/>
      <c r="P106" s="3"/>
      <c r="Q106" s="3"/>
      <c r="R106" s="3"/>
      <c r="S106" s="3"/>
      <c r="T106" s="3"/>
      <c r="U106" s="5"/>
      <c r="V106" s="125"/>
      <c r="W106" s="3"/>
      <c r="X106" s="3"/>
      <c r="Y106" s="3"/>
      <c r="Z106" s="3"/>
      <c r="AA106" s="8"/>
      <c r="AB106" s="8"/>
      <c r="AC106" s="3"/>
      <c r="AD106" s="3"/>
      <c r="AE106" s="3"/>
      <c r="AF106" s="3"/>
      <c r="AG106" s="3"/>
      <c r="AH106" s="8"/>
      <c r="AI106" s="8"/>
      <c r="AJ106" s="3"/>
      <c r="AK106" s="3"/>
      <c r="AL106" s="3"/>
      <c r="AM106" s="3"/>
      <c r="AN106" s="3"/>
      <c r="AO106" s="8"/>
      <c r="AP106" s="8"/>
      <c r="AQ106" s="3"/>
      <c r="AR106" s="3"/>
      <c r="AS106" s="3"/>
      <c r="AT106" s="3"/>
      <c r="AU106" s="3"/>
      <c r="AV106" s="8"/>
      <c r="AW106" s="8"/>
      <c r="AX106" s="3"/>
      <c r="AY106" s="131"/>
      <c r="AZ106" s="5"/>
      <c r="BA106" s="59"/>
      <c r="BB106" s="59"/>
      <c r="GO106" s="54"/>
      <c r="GP106" s="54"/>
    </row>
    <row r="107" spans="1:198" ht="15" hidden="1" customHeight="1" x14ac:dyDescent="0.25">
      <c r="A107" s="102">
        <v>96</v>
      </c>
      <c r="B107" s="103"/>
      <c r="C107" s="104"/>
      <c r="D107" s="1"/>
      <c r="E107" s="105"/>
      <c r="F107" s="105"/>
      <c r="G107" s="100" t="str">
        <f t="shared" si="2"/>
        <v/>
      </c>
      <c r="H107" s="100" t="str">
        <f t="shared" si="3"/>
        <v/>
      </c>
      <c r="I107" s="101">
        <f t="shared" si="0"/>
        <v>0</v>
      </c>
      <c r="J107" s="100" t="str">
        <f t="shared" si="12"/>
        <v/>
      </c>
      <c r="K107" s="6" t="str">
        <f t="shared" si="4"/>
        <v/>
      </c>
      <c r="L107" s="6" t="str">
        <f t="shared" si="4"/>
        <v/>
      </c>
      <c r="M107" s="6">
        <f t="shared" si="13"/>
        <v>0</v>
      </c>
      <c r="N107" s="7">
        <f t="shared" si="14"/>
        <v>0</v>
      </c>
      <c r="O107" s="4"/>
      <c r="P107" s="3"/>
      <c r="Q107" s="3"/>
      <c r="R107" s="3"/>
      <c r="S107" s="3"/>
      <c r="T107" s="3"/>
      <c r="U107" s="5"/>
      <c r="V107" s="125"/>
      <c r="W107" s="3"/>
      <c r="X107" s="3"/>
      <c r="Y107" s="3"/>
      <c r="Z107" s="3"/>
      <c r="AA107" s="8"/>
      <c r="AB107" s="8"/>
      <c r="AC107" s="3"/>
      <c r="AD107" s="3"/>
      <c r="AE107" s="3"/>
      <c r="AF107" s="3"/>
      <c r="AG107" s="3"/>
      <c r="AH107" s="8"/>
      <c r="AI107" s="8"/>
      <c r="AJ107" s="3"/>
      <c r="AK107" s="3"/>
      <c r="AL107" s="3"/>
      <c r="AM107" s="3"/>
      <c r="AN107" s="3"/>
      <c r="AO107" s="8"/>
      <c r="AP107" s="8"/>
      <c r="AQ107" s="3"/>
      <c r="AR107" s="3"/>
      <c r="AS107" s="3"/>
      <c r="AT107" s="3"/>
      <c r="AU107" s="3"/>
      <c r="AV107" s="8"/>
      <c r="AW107" s="8"/>
      <c r="AX107" s="3"/>
      <c r="AY107" s="131"/>
      <c r="AZ107" s="5"/>
      <c r="BA107" s="59"/>
      <c r="BB107" s="59"/>
      <c r="GO107" s="54"/>
      <c r="GP107" s="54"/>
    </row>
    <row r="108" spans="1:198" ht="15" hidden="1" customHeight="1" x14ac:dyDescent="0.25">
      <c r="A108" s="97">
        <v>97</v>
      </c>
      <c r="B108" s="103"/>
      <c r="C108" s="104"/>
      <c r="D108" s="1"/>
      <c r="E108" s="105"/>
      <c r="F108" s="105"/>
      <c r="G108" s="100" t="str">
        <f t="shared" si="2"/>
        <v/>
      </c>
      <c r="H108" s="100" t="str">
        <f t="shared" si="3"/>
        <v/>
      </c>
      <c r="I108" s="101">
        <f t="shared" si="0"/>
        <v>0</v>
      </c>
      <c r="J108" s="100" t="str">
        <f t="shared" si="12"/>
        <v/>
      </c>
      <c r="K108" s="6" t="str">
        <f t="shared" si="4"/>
        <v/>
      </c>
      <c r="L108" s="6" t="str">
        <f t="shared" si="4"/>
        <v/>
      </c>
      <c r="M108" s="6">
        <f t="shared" si="13"/>
        <v>0</v>
      </c>
      <c r="N108" s="7">
        <f t="shared" si="14"/>
        <v>0</v>
      </c>
      <c r="O108" s="4"/>
      <c r="P108" s="3"/>
      <c r="Q108" s="3"/>
      <c r="R108" s="3"/>
      <c r="S108" s="3"/>
      <c r="T108" s="3"/>
      <c r="U108" s="5"/>
      <c r="V108" s="125"/>
      <c r="W108" s="3"/>
      <c r="X108" s="3"/>
      <c r="Y108" s="3"/>
      <c r="Z108" s="3"/>
      <c r="AA108" s="8"/>
      <c r="AB108" s="8"/>
      <c r="AC108" s="3"/>
      <c r="AD108" s="3"/>
      <c r="AE108" s="3"/>
      <c r="AF108" s="3"/>
      <c r="AG108" s="3"/>
      <c r="AH108" s="8"/>
      <c r="AI108" s="8"/>
      <c r="AJ108" s="3"/>
      <c r="AK108" s="3"/>
      <c r="AL108" s="3"/>
      <c r="AM108" s="3"/>
      <c r="AN108" s="3"/>
      <c r="AO108" s="8"/>
      <c r="AP108" s="8"/>
      <c r="AQ108" s="3"/>
      <c r="AR108" s="3"/>
      <c r="AS108" s="3"/>
      <c r="AT108" s="3"/>
      <c r="AU108" s="3"/>
      <c r="AV108" s="8"/>
      <c r="AW108" s="8"/>
      <c r="AX108" s="3"/>
      <c r="AY108" s="131"/>
      <c r="AZ108" s="5"/>
      <c r="BA108" s="59"/>
      <c r="BB108" s="59"/>
      <c r="GO108" s="54"/>
      <c r="GP108" s="54"/>
    </row>
    <row r="109" spans="1:198" ht="15" hidden="1" customHeight="1" x14ac:dyDescent="0.25">
      <c r="A109" s="102">
        <v>98</v>
      </c>
      <c r="B109" s="103"/>
      <c r="C109" s="104"/>
      <c r="D109" s="2"/>
      <c r="E109" s="105"/>
      <c r="F109" s="105"/>
      <c r="G109" s="100" t="str">
        <f t="shared" si="2"/>
        <v/>
      </c>
      <c r="H109" s="100" t="str">
        <f t="shared" si="3"/>
        <v/>
      </c>
      <c r="I109" s="101">
        <f t="shared" si="0"/>
        <v>0</v>
      </c>
      <c r="J109" s="100" t="str">
        <f t="shared" si="12"/>
        <v/>
      </c>
      <c r="K109" s="6" t="str">
        <f t="shared" si="4"/>
        <v/>
      </c>
      <c r="L109" s="6" t="str">
        <f t="shared" si="4"/>
        <v/>
      </c>
      <c r="M109" s="6">
        <f t="shared" si="13"/>
        <v>0</v>
      </c>
      <c r="N109" s="7">
        <f t="shared" si="14"/>
        <v>0</v>
      </c>
      <c r="O109" s="4"/>
      <c r="P109" s="3"/>
      <c r="Q109" s="3"/>
      <c r="R109" s="3"/>
      <c r="S109" s="3"/>
      <c r="T109" s="3"/>
      <c r="U109" s="5"/>
      <c r="V109" s="125"/>
      <c r="W109" s="3"/>
      <c r="X109" s="3"/>
      <c r="Y109" s="3"/>
      <c r="Z109" s="3"/>
      <c r="AA109" s="8"/>
      <c r="AB109" s="8"/>
      <c r="AC109" s="3"/>
      <c r="AD109" s="3"/>
      <c r="AE109" s="3"/>
      <c r="AF109" s="3"/>
      <c r="AG109" s="3"/>
      <c r="AH109" s="8"/>
      <c r="AI109" s="8"/>
      <c r="AJ109" s="3"/>
      <c r="AK109" s="3"/>
      <c r="AL109" s="3"/>
      <c r="AM109" s="3"/>
      <c r="AN109" s="3"/>
      <c r="AO109" s="8"/>
      <c r="AP109" s="8"/>
      <c r="AQ109" s="3"/>
      <c r="AR109" s="3"/>
      <c r="AS109" s="3"/>
      <c r="AT109" s="3"/>
      <c r="AU109" s="3"/>
      <c r="AV109" s="8"/>
      <c r="AW109" s="8"/>
      <c r="AX109" s="3"/>
      <c r="AY109" s="131"/>
      <c r="AZ109" s="5"/>
      <c r="BA109" s="59"/>
      <c r="BB109" s="59"/>
      <c r="GO109" s="54"/>
      <c r="GP109" s="54"/>
    </row>
    <row r="110" spans="1:198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2"/>
        <v/>
      </c>
      <c r="H110" s="100" t="str">
        <f t="shared" si="3"/>
        <v/>
      </c>
      <c r="I110" s="101">
        <f t="shared" si="0"/>
        <v>0</v>
      </c>
      <c r="J110" s="100" t="str">
        <f t="shared" si="12"/>
        <v/>
      </c>
      <c r="K110" s="6" t="str">
        <f t="shared" si="4"/>
        <v/>
      </c>
      <c r="L110" s="6" t="str">
        <f t="shared" si="4"/>
        <v/>
      </c>
      <c r="M110" s="6">
        <f t="shared" si="13"/>
        <v>0</v>
      </c>
      <c r="N110" s="7">
        <f t="shared" si="14"/>
        <v>0</v>
      </c>
      <c r="O110" s="4"/>
      <c r="P110" s="3"/>
      <c r="Q110" s="3"/>
      <c r="R110" s="3"/>
      <c r="S110" s="3"/>
      <c r="T110" s="3"/>
      <c r="U110" s="5"/>
      <c r="V110" s="125"/>
      <c r="W110" s="3"/>
      <c r="X110" s="3"/>
      <c r="Y110" s="3"/>
      <c r="Z110" s="3"/>
      <c r="AA110" s="8"/>
      <c r="AB110" s="8"/>
      <c r="AC110" s="3"/>
      <c r="AD110" s="3"/>
      <c r="AE110" s="3"/>
      <c r="AF110" s="3"/>
      <c r="AG110" s="3"/>
      <c r="AH110" s="8"/>
      <c r="AI110" s="8"/>
      <c r="AJ110" s="3"/>
      <c r="AK110" s="3"/>
      <c r="AL110" s="3"/>
      <c r="AM110" s="3"/>
      <c r="AN110" s="3"/>
      <c r="AO110" s="8"/>
      <c r="AP110" s="8"/>
      <c r="AQ110" s="3"/>
      <c r="AR110" s="3"/>
      <c r="AS110" s="3"/>
      <c r="AT110" s="3"/>
      <c r="AU110" s="3"/>
      <c r="AV110" s="8"/>
      <c r="AW110" s="8"/>
      <c r="AX110" s="3"/>
      <c r="AY110" s="131"/>
      <c r="AZ110" s="5"/>
      <c r="BA110" s="59"/>
      <c r="BB110" s="59"/>
      <c r="GO110" s="54"/>
      <c r="GP110" s="54"/>
    </row>
    <row r="111" spans="1:198" ht="15" hidden="1" customHeight="1" thickBot="1" x14ac:dyDescent="0.3">
      <c r="A111" s="102">
        <v>100</v>
      </c>
      <c r="B111" s="103"/>
      <c r="C111" s="104"/>
      <c r="D111" s="1"/>
      <c r="E111" s="105"/>
      <c r="F111" s="105"/>
      <c r="G111" s="100" t="str">
        <f t="shared" si="2"/>
        <v/>
      </c>
      <c r="H111" s="100" t="str">
        <f t="shared" si="3"/>
        <v/>
      </c>
      <c r="I111" s="101">
        <f t="shared" si="0"/>
        <v>0</v>
      </c>
      <c r="J111" s="100" t="str">
        <f>IF(I111&gt;0,12,"")</f>
        <v/>
      </c>
      <c r="K111" s="6" t="str">
        <f t="shared" si="4"/>
        <v/>
      </c>
      <c r="L111" s="6" t="str">
        <f t="shared" si="4"/>
        <v/>
      </c>
      <c r="M111" s="6">
        <f t="shared" si="13"/>
        <v>0</v>
      </c>
      <c r="N111" s="7">
        <f t="shared" si="14"/>
        <v>0</v>
      </c>
      <c r="O111" s="4"/>
      <c r="P111" s="3"/>
      <c r="Q111" s="3"/>
      <c r="R111" s="3"/>
      <c r="S111" s="3"/>
      <c r="T111" s="3"/>
      <c r="U111" s="5"/>
      <c r="V111" s="125"/>
      <c r="W111" s="3"/>
      <c r="X111" s="3"/>
      <c r="Y111" s="3"/>
      <c r="Z111" s="3"/>
      <c r="AA111" s="8"/>
      <c r="AB111" s="8"/>
      <c r="AC111" s="3"/>
      <c r="AD111" s="3"/>
      <c r="AE111" s="3"/>
      <c r="AF111" s="3"/>
      <c r="AG111" s="3"/>
      <c r="AH111" s="8"/>
      <c r="AI111" s="8"/>
      <c r="AJ111" s="3"/>
      <c r="AK111" s="3"/>
      <c r="AL111" s="3"/>
      <c r="AM111" s="3"/>
      <c r="AN111" s="3"/>
      <c r="AO111" s="8"/>
      <c r="AP111" s="8"/>
      <c r="AQ111" s="3"/>
      <c r="AR111" s="3"/>
      <c r="AS111" s="3"/>
      <c r="AT111" s="3"/>
      <c r="AU111" s="3"/>
      <c r="AV111" s="8"/>
      <c r="AW111" s="8"/>
      <c r="AX111" s="3"/>
      <c r="AY111" s="131"/>
      <c r="AZ111" s="5"/>
      <c r="BA111" s="59"/>
      <c r="BB111" s="59"/>
      <c r="GO111" s="54"/>
      <c r="GP111" s="54"/>
    </row>
    <row r="112" spans="1:198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58"/>
      <c r="BB112" s="58"/>
      <c r="GO112" s="54"/>
      <c r="GP112" s="54"/>
    </row>
    <row r="113" spans="1:56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5"/>
      <c r="BB113" s="58"/>
    </row>
    <row r="114" spans="1:56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4"/>
      <c r="BC114" s="59"/>
      <c r="BD114" s="59"/>
    </row>
    <row r="115" spans="1:56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4"/>
      <c r="BC115" s="59"/>
      <c r="BD115" s="59"/>
    </row>
    <row r="116" spans="1:56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4"/>
      <c r="BC116" s="59"/>
      <c r="BD116" s="59"/>
    </row>
    <row r="117" spans="1:56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4"/>
    </row>
    <row r="118" spans="1:56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4"/>
    </row>
    <row r="119" spans="1:56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8"/>
    </row>
    <row r="120" spans="1:56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8"/>
    </row>
    <row r="121" spans="1:56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8"/>
    </row>
    <row r="122" spans="1:56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8"/>
    </row>
    <row r="123" spans="1:56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3"/>
      <c r="BD123" s="59"/>
    </row>
    <row r="124" spans="1:56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D124" s="59"/>
    </row>
    <row r="125" spans="1:56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</row>
    <row r="126" spans="1:56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</row>
    <row r="127" spans="1:56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</row>
    <row r="128" spans="1:56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</row>
    <row r="129" spans="23:56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</row>
    <row r="130" spans="23:56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</row>
    <row r="131" spans="23:56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D131" s="59"/>
    </row>
    <row r="132" spans="23:56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D132" s="59"/>
    </row>
    <row r="133" spans="23:56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D133" s="59"/>
    </row>
    <row r="134" spans="23:56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D134" s="59"/>
    </row>
    <row r="135" spans="23:56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D135" s="59"/>
    </row>
    <row r="136" spans="23:56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D136" s="59"/>
    </row>
    <row r="137" spans="23:56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D137" s="59"/>
    </row>
    <row r="138" spans="23:56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D138" s="59"/>
    </row>
    <row r="139" spans="23:56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D139" s="59"/>
    </row>
    <row r="140" spans="23:56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D140" s="59"/>
    </row>
    <row r="141" spans="23:56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D141" s="59"/>
    </row>
    <row r="142" spans="23:56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D142" s="59"/>
    </row>
    <row r="143" spans="23:56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D143" s="59"/>
    </row>
    <row r="144" spans="23:56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D144" s="59"/>
    </row>
    <row r="145" spans="23:56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D145" s="59"/>
    </row>
    <row r="146" spans="23:56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D146" s="59"/>
    </row>
    <row r="147" spans="23:56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D147" s="59"/>
    </row>
    <row r="148" spans="23:56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D148" s="59"/>
    </row>
    <row r="149" spans="23:56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D149" s="59"/>
    </row>
    <row r="150" spans="23:56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D150" s="59"/>
    </row>
    <row r="151" spans="23:56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D151" s="59"/>
    </row>
    <row r="152" spans="23:56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D152" s="59"/>
    </row>
    <row r="153" spans="23:56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D153" s="59"/>
    </row>
    <row r="154" spans="23:56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D154" s="59"/>
    </row>
    <row r="155" spans="23:56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D155" s="59"/>
    </row>
    <row r="156" spans="23:56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D156" s="59"/>
    </row>
    <row r="157" spans="23:56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D157" s="59"/>
    </row>
    <row r="158" spans="23:56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D158" s="59"/>
    </row>
    <row r="159" spans="23:56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D159" s="59"/>
    </row>
    <row r="160" spans="23:56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D160" s="59"/>
    </row>
    <row r="161" spans="23:56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D161" s="59"/>
    </row>
    <row r="162" spans="23:56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D162" s="59"/>
    </row>
    <row r="163" spans="23:56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D163" s="59"/>
    </row>
    <row r="164" spans="23:56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D164" s="59"/>
    </row>
    <row r="165" spans="23:56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D165" s="59"/>
    </row>
    <row r="166" spans="23:56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D166" s="59"/>
    </row>
    <row r="167" spans="23:56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D167" s="59"/>
    </row>
    <row r="168" spans="23:56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D168" s="59"/>
    </row>
    <row r="169" spans="23:56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D169" s="59"/>
    </row>
    <row r="170" spans="23:56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D170" s="59"/>
    </row>
    <row r="171" spans="23:56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D171" s="59"/>
    </row>
    <row r="172" spans="23:56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D172" s="59"/>
    </row>
    <row r="173" spans="23:56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D173" s="59"/>
    </row>
    <row r="174" spans="23:56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D174" s="59"/>
    </row>
    <row r="175" spans="23:56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D175" s="59"/>
    </row>
    <row r="176" spans="23:56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D176" s="59"/>
    </row>
    <row r="177" spans="23:56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D177" s="59"/>
    </row>
    <row r="178" spans="23:56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D178" s="59"/>
    </row>
    <row r="179" spans="23:56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D179" s="59"/>
    </row>
    <row r="180" spans="23:56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D180" s="59"/>
    </row>
    <row r="181" spans="23:56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D181" s="59"/>
    </row>
    <row r="182" spans="23:56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D182" s="59"/>
    </row>
    <row r="183" spans="23:56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D183" s="59"/>
    </row>
    <row r="184" spans="23:56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D184" s="59"/>
    </row>
    <row r="185" spans="23:56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D185" s="59"/>
    </row>
    <row r="186" spans="23:56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D186" s="59"/>
    </row>
    <row r="187" spans="23:56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D187" s="59"/>
    </row>
    <row r="188" spans="23:56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D188" s="59"/>
    </row>
    <row r="189" spans="23:56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D189" s="59"/>
    </row>
    <row r="190" spans="23:56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D190" s="59"/>
    </row>
    <row r="191" spans="23:56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D191" s="59"/>
    </row>
    <row r="192" spans="23:56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D192" s="59"/>
    </row>
    <row r="193" spans="23:56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D193" s="59"/>
    </row>
    <row r="194" spans="23:56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D194" s="59"/>
    </row>
    <row r="195" spans="23:56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D195" s="59"/>
    </row>
    <row r="196" spans="23:56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D196" s="59"/>
    </row>
    <row r="197" spans="23:56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D197" s="59"/>
    </row>
    <row r="198" spans="23:56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D198" s="59"/>
    </row>
    <row r="199" spans="23:56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D199" s="59"/>
    </row>
    <row r="200" spans="23:56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D200" s="59"/>
    </row>
    <row r="201" spans="23:56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D201" s="59"/>
    </row>
    <row r="202" spans="23:56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D202" s="59"/>
    </row>
    <row r="203" spans="23:56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D203" s="59"/>
    </row>
    <row r="204" spans="23:56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D204" s="59"/>
    </row>
    <row r="205" spans="23:56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D205" s="59"/>
    </row>
    <row r="206" spans="23:56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D206" s="59"/>
    </row>
    <row r="207" spans="23:56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D207" s="59"/>
    </row>
    <row r="208" spans="23:56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D208" s="59"/>
    </row>
    <row r="209" spans="23:56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D209" s="59"/>
    </row>
    <row r="210" spans="23:56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D210" s="59"/>
    </row>
    <row r="211" spans="23:56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D211" s="59"/>
    </row>
    <row r="212" spans="23:56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D212" s="59"/>
    </row>
    <row r="213" spans="23:56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D213" s="59"/>
    </row>
    <row r="214" spans="23:56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D214" s="59"/>
    </row>
    <row r="215" spans="23:56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D215" s="59"/>
    </row>
    <row r="216" spans="23:56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D216" s="59"/>
    </row>
    <row r="217" spans="23:56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D217" s="59"/>
    </row>
    <row r="218" spans="23:56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D218" s="59"/>
    </row>
    <row r="219" spans="23:56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D219" s="59"/>
    </row>
    <row r="220" spans="23:56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D220" s="59"/>
    </row>
    <row r="221" spans="23:56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D221" s="59"/>
    </row>
    <row r="222" spans="23:56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D222" s="59"/>
    </row>
    <row r="223" spans="23:56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D223" s="59"/>
    </row>
    <row r="224" spans="23:56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D224" s="59"/>
    </row>
    <row r="225" spans="23:56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D225" s="59"/>
    </row>
    <row r="226" spans="23:56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D226" s="59"/>
    </row>
    <row r="227" spans="23:56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D227" s="59"/>
    </row>
    <row r="228" spans="23:56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D228" s="59"/>
    </row>
    <row r="229" spans="23:56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D229" s="59"/>
    </row>
    <row r="230" spans="23:56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D230" s="59"/>
    </row>
    <row r="231" spans="23:56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D231" s="59"/>
    </row>
    <row r="232" spans="23:56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D232" s="59"/>
    </row>
    <row r="233" spans="23:56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D233" s="59"/>
    </row>
    <row r="234" spans="23:56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D234" s="59"/>
    </row>
    <row r="235" spans="23:56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D235" s="59"/>
    </row>
    <row r="236" spans="23:56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D236" s="59"/>
    </row>
    <row r="237" spans="23:56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D237" s="59"/>
    </row>
    <row r="238" spans="23:56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D238" s="59"/>
    </row>
    <row r="239" spans="23:56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D239" s="59"/>
    </row>
    <row r="240" spans="23:56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D240" s="59"/>
    </row>
    <row r="241" spans="23:56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D241" s="59"/>
    </row>
    <row r="242" spans="23:56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D242" s="59"/>
    </row>
    <row r="243" spans="23:56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D243" s="59"/>
    </row>
    <row r="244" spans="23:56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D244" s="59"/>
    </row>
    <row r="245" spans="23:56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D245" s="59"/>
    </row>
    <row r="246" spans="23:56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D246" s="59"/>
    </row>
    <row r="247" spans="23:56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D247" s="59"/>
    </row>
    <row r="248" spans="23:56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D248" s="59"/>
    </row>
    <row r="249" spans="23:56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D249" s="59"/>
    </row>
    <row r="250" spans="23:56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D250" s="59"/>
    </row>
    <row r="251" spans="23:56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D251" s="59"/>
    </row>
    <row r="252" spans="23:56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D252" s="59"/>
    </row>
    <row r="253" spans="23:56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D253" s="59"/>
    </row>
    <row r="254" spans="23:56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D254" s="59"/>
    </row>
    <row r="255" spans="23:56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D255" s="59"/>
    </row>
    <row r="256" spans="23:56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D256" s="59"/>
    </row>
    <row r="257" spans="23:56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D257" s="59"/>
    </row>
    <row r="258" spans="23:56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D258" s="59"/>
    </row>
    <row r="259" spans="23:56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D259" s="59"/>
    </row>
    <row r="260" spans="23:56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D260" s="59"/>
    </row>
    <row r="261" spans="23:56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D261" s="59"/>
    </row>
    <row r="262" spans="23:56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D262" s="59"/>
    </row>
    <row r="263" spans="23:56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D263" s="59"/>
    </row>
    <row r="264" spans="23:56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D264" s="59"/>
    </row>
    <row r="265" spans="23:56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D265" s="59"/>
    </row>
    <row r="266" spans="23:56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D266" s="59"/>
    </row>
    <row r="267" spans="23:56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D267" s="59"/>
    </row>
    <row r="268" spans="23:56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D268" s="59"/>
    </row>
    <row r="269" spans="23:56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D269" s="59"/>
    </row>
    <row r="270" spans="23:56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D270" s="59"/>
    </row>
    <row r="271" spans="23:56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D271" s="59"/>
    </row>
    <row r="272" spans="23:56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D272" s="59"/>
    </row>
    <row r="273" spans="23:56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D273" s="59"/>
    </row>
    <row r="274" spans="23:56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D274" s="59"/>
    </row>
    <row r="275" spans="23:56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D275" s="59"/>
    </row>
    <row r="276" spans="23:56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D276" s="59"/>
    </row>
    <row r="277" spans="23:56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D277" s="59"/>
    </row>
    <row r="278" spans="23:56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D278" s="59"/>
    </row>
    <row r="279" spans="23:56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D279" s="59"/>
    </row>
    <row r="280" spans="23:56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D280" s="59"/>
    </row>
    <row r="281" spans="23:56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D281" s="59"/>
    </row>
    <row r="282" spans="23:56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D282" s="59"/>
    </row>
    <row r="283" spans="23:56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D283" s="59"/>
    </row>
    <row r="284" spans="23:56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D284" s="59"/>
    </row>
    <row r="285" spans="23:56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D285" s="59"/>
    </row>
    <row r="286" spans="23:56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D286" s="59"/>
    </row>
    <row r="287" spans="23:56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D287" s="59"/>
    </row>
    <row r="288" spans="23:56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D288" s="59"/>
    </row>
    <row r="289" spans="23:56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D289" s="59"/>
    </row>
    <row r="290" spans="23:56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D290" s="59"/>
    </row>
    <row r="291" spans="23:56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D291" s="59"/>
    </row>
    <row r="292" spans="23:56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D292" s="59"/>
    </row>
    <row r="293" spans="23:56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D293" s="59"/>
    </row>
    <row r="294" spans="23:56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D294" s="59"/>
    </row>
    <row r="295" spans="23:56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D295" s="59"/>
    </row>
    <row r="296" spans="23:56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D296" s="59"/>
    </row>
    <row r="297" spans="23:56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D297" s="59"/>
    </row>
    <row r="298" spans="23:56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D298" s="59"/>
    </row>
    <row r="299" spans="23:56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D299" s="59"/>
    </row>
    <row r="300" spans="23:56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D300" s="59"/>
    </row>
    <row r="301" spans="23:56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D301" s="59"/>
    </row>
    <row r="302" spans="23:56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D302" s="59"/>
    </row>
    <row r="303" spans="23:56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D303" s="59"/>
    </row>
    <row r="304" spans="23:56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D304" s="59"/>
    </row>
    <row r="305" spans="23:56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D305" s="59"/>
    </row>
    <row r="306" spans="23:56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D306" s="59"/>
    </row>
    <row r="307" spans="23:56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D307" s="59"/>
    </row>
    <row r="308" spans="23:56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D308" s="59"/>
    </row>
    <row r="309" spans="23:56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D309" s="59"/>
    </row>
    <row r="310" spans="23:56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D310" s="59"/>
    </row>
    <row r="311" spans="23:56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D311" s="59"/>
    </row>
    <row r="312" spans="23:56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D312" s="59"/>
    </row>
    <row r="313" spans="23:56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D313" s="59"/>
    </row>
    <row r="314" spans="23:56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D314" s="59"/>
    </row>
    <row r="315" spans="23:56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D315" s="59"/>
    </row>
    <row r="316" spans="23:56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D316" s="59"/>
    </row>
    <row r="317" spans="23:56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D317" s="59"/>
    </row>
    <row r="318" spans="23:56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D318" s="59"/>
    </row>
    <row r="319" spans="23:56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D319" s="59"/>
    </row>
    <row r="320" spans="23:56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D320" s="59"/>
    </row>
    <row r="321" spans="23:56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D321" s="59"/>
    </row>
    <row r="322" spans="23:56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D322" s="59"/>
    </row>
    <row r="323" spans="23:56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D323" s="59"/>
    </row>
    <row r="324" spans="23:56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</row>
    <row r="325" spans="23:56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</row>
    <row r="326" spans="23:56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</row>
    <row r="327" spans="23:56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</row>
    <row r="328" spans="23:56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</row>
    <row r="329" spans="23:56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</row>
    <row r="330" spans="23:56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</row>
    <row r="331" spans="23:56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</row>
    <row r="332" spans="23:56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</row>
    <row r="333" spans="23:56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</row>
    <row r="334" spans="23:56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</row>
    <row r="335" spans="23:56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</row>
    <row r="336" spans="23:56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</row>
    <row r="337" spans="23:52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</row>
    <row r="338" spans="23:52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</row>
    <row r="339" spans="23:52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</row>
    <row r="340" spans="23:52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</row>
    <row r="341" spans="23:52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</row>
    <row r="342" spans="23:52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</row>
    <row r="343" spans="23:52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</row>
    <row r="344" spans="23:52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</row>
    <row r="345" spans="23:52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</row>
    <row r="346" spans="23:52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</row>
    <row r="347" spans="23:52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</row>
    <row r="348" spans="23:52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</row>
    <row r="349" spans="23:52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</row>
    <row r="350" spans="23:52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</row>
    <row r="351" spans="23:52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</row>
    <row r="352" spans="23:52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</row>
    <row r="353" spans="23:52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</row>
    <row r="354" spans="23:52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</row>
    <row r="355" spans="23:52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</row>
    <row r="356" spans="23:52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</row>
    <row r="357" spans="23:52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</row>
    <row r="358" spans="23:52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</row>
    <row r="359" spans="23:52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</row>
    <row r="360" spans="23:52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</row>
    <row r="361" spans="23:52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</row>
    <row r="362" spans="23:52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</row>
    <row r="363" spans="23:52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</row>
    <row r="364" spans="23:52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</row>
    <row r="365" spans="23:52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</row>
    <row r="366" spans="23:52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</row>
    <row r="367" spans="23:52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</row>
    <row r="368" spans="23:52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</row>
    <row r="369" spans="23:52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</row>
    <row r="370" spans="23:52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</row>
    <row r="371" spans="23:52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</row>
    <row r="372" spans="23:52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</row>
    <row r="373" spans="23:52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</row>
    <row r="374" spans="23:52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</row>
    <row r="375" spans="23:52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</row>
    <row r="376" spans="23:52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</row>
    <row r="377" spans="23:52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</row>
    <row r="378" spans="23:52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</row>
    <row r="379" spans="23:52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</row>
    <row r="380" spans="23:52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</row>
    <row r="381" spans="23:52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</row>
    <row r="382" spans="23:52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</row>
    <row r="383" spans="23:52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</row>
    <row r="384" spans="23:52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</row>
    <row r="385" spans="23:52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</row>
    <row r="386" spans="23:52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</row>
    <row r="387" spans="23:52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</row>
    <row r="388" spans="23:52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</row>
    <row r="389" spans="23:52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</row>
    <row r="390" spans="23:52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</row>
    <row r="391" spans="23:52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</row>
    <row r="392" spans="23:52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</row>
    <row r="393" spans="23:52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</row>
    <row r="394" spans="23:52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</row>
    <row r="395" spans="23:52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</row>
    <row r="396" spans="23:52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</row>
    <row r="397" spans="23:52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</row>
    <row r="398" spans="23:52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</row>
    <row r="399" spans="23:52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</row>
    <row r="400" spans="23:52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</row>
    <row r="401" spans="11:52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</row>
    <row r="402" spans="11:52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</row>
    <row r="403" spans="11:52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</row>
    <row r="404" spans="11:52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</row>
    <row r="405" spans="11:52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</row>
    <row r="406" spans="11:52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</row>
    <row r="407" spans="11:52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</row>
    <row r="408" spans="11:52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</row>
    <row r="409" spans="11:52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</row>
    <row r="410" spans="11:52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</row>
    <row r="411" spans="11:52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</row>
    <row r="412" spans="11:52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</row>
    <row r="413" spans="11:52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</row>
    <row r="414" spans="11:52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</row>
    <row r="415" spans="11:52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</row>
    <row r="416" spans="11:52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</row>
    <row r="417" spans="11:52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</row>
    <row r="418" spans="11:52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</row>
    <row r="419" spans="11:52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</row>
    <row r="420" spans="11:52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</row>
    <row r="421" spans="11:52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</row>
    <row r="422" spans="11:52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</row>
    <row r="423" spans="11:52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</row>
    <row r="424" spans="11:52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</row>
    <row r="425" spans="11:52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</row>
    <row r="426" spans="11:52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</row>
    <row r="427" spans="11:52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</row>
    <row r="428" spans="11:52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</row>
    <row r="429" spans="11:52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</row>
    <row r="430" spans="11:52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</row>
    <row r="431" spans="11:52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</row>
    <row r="432" spans="11:52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</row>
    <row r="433" spans="8:52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</row>
    <row r="434" spans="8:52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</row>
    <row r="435" spans="8:52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</row>
    <row r="436" spans="8:52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</row>
    <row r="437" spans="8:52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</row>
    <row r="438" spans="8:52" x14ac:dyDescent="0.3">
      <c r="H438" s="58"/>
      <c r="I438" s="58"/>
      <c r="J438" s="58"/>
    </row>
  </sheetData>
  <sheetProtection password="C1F5" sheet="1" formatCells="0" selectLockedCells="1" sort="0"/>
  <mergeCells count="11">
    <mergeCell ref="W10:AZ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15" priority="2" operator="lessThan">
      <formula>2</formula>
    </cfRule>
  </conditionalFormatting>
  <conditionalFormatting sqref="I12:I111">
    <cfRule type="cellIs" dxfId="14" priority="1" operator="lessThan">
      <formula>10</formula>
    </cfRule>
  </conditionalFormatting>
  <conditionalFormatting sqref="J12:J111">
    <cfRule type="cellIs" dxfId="13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5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76DCA856-A820-4B63-8B51-AB33D504C704}">
            <xm:f>Jahresübersicht!$B$48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46296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Jahresübersicht!E18</f>
        <v>-</v>
      </c>
      <c r="D9" s="13"/>
      <c r="E9" s="13"/>
      <c r="F9" s="13"/>
      <c r="G9" s="13"/>
      <c r="H9" s="13"/>
      <c r="I9" s="13"/>
      <c r="J9" s="13"/>
      <c r="O9" s="56"/>
      <c r="Q9" s="56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10"/>
      <c r="X12" s="10"/>
      <c r="Y12" s="11"/>
      <c r="Z12" s="11"/>
      <c r="AA12" s="10"/>
      <c r="AB12" s="10"/>
      <c r="AC12" s="10"/>
      <c r="AD12" s="10"/>
      <c r="AE12" s="10"/>
      <c r="AF12" s="11"/>
      <c r="AG12" s="11"/>
      <c r="AH12" s="10"/>
      <c r="AI12" s="10"/>
      <c r="AJ12" s="10"/>
      <c r="AK12" s="10"/>
      <c r="AL12" s="10"/>
      <c r="AM12" s="11"/>
      <c r="AN12" s="11"/>
      <c r="AO12" s="10"/>
      <c r="AP12" s="10"/>
      <c r="AQ12" s="3"/>
      <c r="AR12" s="3"/>
      <c r="AS12" s="3"/>
      <c r="AT12" s="11"/>
      <c r="AU12" s="11"/>
      <c r="AV12" s="10"/>
      <c r="AW12" s="10"/>
      <c r="AX12" s="10"/>
      <c r="AY12" s="10"/>
      <c r="AZ12" s="10"/>
      <c r="BA12" s="12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3"/>
      <c r="X13" s="3"/>
      <c r="Y13" s="8"/>
      <c r="Z13" s="8"/>
      <c r="AA13" s="3"/>
      <c r="AB13" s="3"/>
      <c r="AC13" s="3"/>
      <c r="AD13" s="3"/>
      <c r="AE13" s="3"/>
      <c r="AF13" s="8"/>
      <c r="AG13" s="8"/>
      <c r="AH13" s="3"/>
      <c r="AI13" s="3"/>
      <c r="AJ13" s="3"/>
      <c r="AK13" s="3"/>
      <c r="AL13" s="3"/>
      <c r="AM13" s="8"/>
      <c r="AN13" s="8"/>
      <c r="AO13" s="3"/>
      <c r="AP13" s="3"/>
      <c r="AQ13" s="3"/>
      <c r="AR13" s="3"/>
      <c r="AS13" s="3"/>
      <c r="AT13" s="8"/>
      <c r="AU13" s="8"/>
      <c r="AV13" s="3"/>
      <c r="AW13" s="3"/>
      <c r="AX13" s="3"/>
      <c r="AY13" s="3"/>
      <c r="AZ13" s="3"/>
      <c r="BA13" s="12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3"/>
      <c r="X14" s="3"/>
      <c r="Y14" s="8"/>
      <c r="Z14" s="8"/>
      <c r="AA14" s="3"/>
      <c r="AB14" s="3"/>
      <c r="AC14" s="3"/>
      <c r="AD14" s="3"/>
      <c r="AE14" s="3"/>
      <c r="AF14" s="8"/>
      <c r="AG14" s="8"/>
      <c r="AH14" s="3"/>
      <c r="AI14" s="3"/>
      <c r="AJ14" s="3"/>
      <c r="AK14" s="3"/>
      <c r="AL14" s="3"/>
      <c r="AM14" s="8"/>
      <c r="AN14" s="8"/>
      <c r="AO14" s="3"/>
      <c r="AP14" s="3"/>
      <c r="AQ14" s="3"/>
      <c r="AR14" s="3"/>
      <c r="AS14" s="3"/>
      <c r="AT14" s="8"/>
      <c r="AU14" s="8"/>
      <c r="AV14" s="3"/>
      <c r="AW14" s="3"/>
      <c r="AX14" s="3"/>
      <c r="AY14" s="3"/>
      <c r="AZ14" s="3"/>
      <c r="BA14" s="12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3"/>
      <c r="X15" s="3"/>
      <c r="Y15" s="8"/>
      <c r="Z15" s="8"/>
      <c r="AA15" s="3"/>
      <c r="AB15" s="3"/>
      <c r="AC15" s="3"/>
      <c r="AD15" s="3"/>
      <c r="AE15" s="3"/>
      <c r="AF15" s="8"/>
      <c r="AG15" s="8"/>
      <c r="AH15" s="3"/>
      <c r="AI15" s="3"/>
      <c r="AJ15" s="3"/>
      <c r="AK15" s="3"/>
      <c r="AL15" s="3"/>
      <c r="AM15" s="8"/>
      <c r="AN15" s="8"/>
      <c r="AO15" s="3"/>
      <c r="AP15" s="3"/>
      <c r="AQ15" s="3"/>
      <c r="AR15" s="3"/>
      <c r="AS15" s="3"/>
      <c r="AT15" s="8"/>
      <c r="AU15" s="8"/>
      <c r="AV15" s="3"/>
      <c r="AW15" s="3"/>
      <c r="AX15" s="3"/>
      <c r="AY15" s="3"/>
      <c r="AZ15" s="3"/>
      <c r="BA15" s="12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3"/>
      <c r="X16" s="3"/>
      <c r="Y16" s="8"/>
      <c r="Z16" s="8"/>
      <c r="AA16" s="3"/>
      <c r="AB16" s="3"/>
      <c r="AC16" s="3"/>
      <c r="AD16" s="3"/>
      <c r="AE16" s="3"/>
      <c r="AF16" s="8"/>
      <c r="AG16" s="8"/>
      <c r="AH16" s="3"/>
      <c r="AI16" s="3"/>
      <c r="AJ16" s="3"/>
      <c r="AK16" s="3"/>
      <c r="AL16" s="3"/>
      <c r="AM16" s="8"/>
      <c r="AN16" s="8"/>
      <c r="AO16" s="3"/>
      <c r="AP16" s="3"/>
      <c r="AQ16" s="3"/>
      <c r="AR16" s="3"/>
      <c r="AS16" s="3"/>
      <c r="AT16" s="8"/>
      <c r="AU16" s="8"/>
      <c r="AV16" s="3"/>
      <c r="AW16" s="3"/>
      <c r="AX16" s="3"/>
      <c r="AY16" s="3"/>
      <c r="AZ16" s="3"/>
      <c r="BA16" s="12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3"/>
      <c r="X17" s="3"/>
      <c r="Y17" s="8"/>
      <c r="Z17" s="8"/>
      <c r="AA17" s="3"/>
      <c r="AB17" s="3"/>
      <c r="AC17" s="3"/>
      <c r="AD17" s="3"/>
      <c r="AE17" s="3"/>
      <c r="AF17" s="8"/>
      <c r="AG17" s="8"/>
      <c r="AH17" s="3"/>
      <c r="AI17" s="3"/>
      <c r="AJ17" s="3"/>
      <c r="AK17" s="3"/>
      <c r="AL17" s="3"/>
      <c r="AM17" s="8"/>
      <c r="AN17" s="8"/>
      <c r="AO17" s="3"/>
      <c r="AP17" s="3"/>
      <c r="AQ17" s="3"/>
      <c r="AR17" s="3"/>
      <c r="AS17" s="3"/>
      <c r="AT17" s="8"/>
      <c r="AU17" s="8"/>
      <c r="AV17" s="3"/>
      <c r="AW17" s="3"/>
      <c r="AX17" s="3"/>
      <c r="AY17" s="3"/>
      <c r="AZ17" s="3"/>
      <c r="BA17" s="12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3"/>
      <c r="X18" s="3"/>
      <c r="Y18" s="8"/>
      <c r="Z18" s="8"/>
      <c r="AA18" s="3"/>
      <c r="AB18" s="3"/>
      <c r="AC18" s="3"/>
      <c r="AD18" s="3"/>
      <c r="AE18" s="3"/>
      <c r="AF18" s="8"/>
      <c r="AG18" s="8"/>
      <c r="AH18" s="3"/>
      <c r="AI18" s="3"/>
      <c r="AJ18" s="3"/>
      <c r="AK18" s="3"/>
      <c r="AL18" s="3"/>
      <c r="AM18" s="8"/>
      <c r="AN18" s="8"/>
      <c r="AO18" s="3"/>
      <c r="AP18" s="3"/>
      <c r="AQ18" s="3"/>
      <c r="AR18" s="3"/>
      <c r="AS18" s="3"/>
      <c r="AT18" s="8"/>
      <c r="AU18" s="8"/>
      <c r="AV18" s="3"/>
      <c r="AW18" s="3"/>
      <c r="AX18" s="3"/>
      <c r="AY18" s="3"/>
      <c r="AZ18" s="3"/>
      <c r="BA18" s="12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0"/>
        <v>0</v>
      </c>
      <c r="J19" s="100" t="str">
        <f t="shared" si="1"/>
        <v/>
      </c>
      <c r="K19" s="6" t="str">
        <f t="shared" si="6"/>
        <v/>
      </c>
      <c r="L19" s="6" t="str">
        <f t="shared" si="6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3"/>
      <c r="X19" s="3"/>
      <c r="Y19" s="8"/>
      <c r="Z19" s="8"/>
      <c r="AA19" s="3"/>
      <c r="AB19" s="3"/>
      <c r="AC19" s="3"/>
      <c r="AD19" s="3"/>
      <c r="AE19" s="3"/>
      <c r="AF19" s="8"/>
      <c r="AG19" s="8"/>
      <c r="AH19" s="3"/>
      <c r="AI19" s="3"/>
      <c r="AJ19" s="3"/>
      <c r="AK19" s="3"/>
      <c r="AL19" s="3"/>
      <c r="AM19" s="8"/>
      <c r="AN19" s="8"/>
      <c r="AO19" s="3"/>
      <c r="AP19" s="3"/>
      <c r="AQ19" s="3"/>
      <c r="AR19" s="3"/>
      <c r="AS19" s="3"/>
      <c r="AT19" s="8"/>
      <c r="AU19" s="8"/>
      <c r="AV19" s="3"/>
      <c r="AW19" s="3"/>
      <c r="AX19" s="3"/>
      <c r="AY19" s="3"/>
      <c r="AZ19" s="3"/>
      <c r="BA19" s="12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4"/>
        <v/>
      </c>
      <c r="H20" s="100" t="str">
        <f t="shared" si="5"/>
        <v/>
      </c>
      <c r="I20" s="101">
        <f t="shared" si="0"/>
        <v>0</v>
      </c>
      <c r="J20" s="100" t="str">
        <f t="shared" si="1"/>
        <v/>
      </c>
      <c r="K20" s="6" t="str">
        <f t="shared" si="6"/>
        <v/>
      </c>
      <c r="L20" s="6" t="str">
        <f t="shared" si="6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3"/>
      <c r="X20" s="3"/>
      <c r="Y20" s="8"/>
      <c r="Z20" s="8"/>
      <c r="AA20" s="3"/>
      <c r="AB20" s="3"/>
      <c r="AC20" s="3"/>
      <c r="AD20" s="3"/>
      <c r="AE20" s="3"/>
      <c r="AF20" s="8"/>
      <c r="AG20" s="8"/>
      <c r="AH20" s="3"/>
      <c r="AI20" s="3"/>
      <c r="AJ20" s="3"/>
      <c r="AK20" s="3"/>
      <c r="AL20" s="3"/>
      <c r="AM20" s="8"/>
      <c r="AN20" s="8"/>
      <c r="AO20" s="3"/>
      <c r="AP20" s="3"/>
      <c r="AQ20" s="3"/>
      <c r="AR20" s="3"/>
      <c r="AS20" s="3"/>
      <c r="AT20" s="8"/>
      <c r="AU20" s="8"/>
      <c r="AV20" s="3"/>
      <c r="AW20" s="3"/>
      <c r="AX20" s="3"/>
      <c r="AY20" s="3"/>
      <c r="AZ20" s="3"/>
      <c r="BA20" s="12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97">
        <v>10</v>
      </c>
      <c r="B21" s="103"/>
      <c r="C21" s="104"/>
      <c r="D21" s="1"/>
      <c r="E21" s="105"/>
      <c r="F21" s="105"/>
      <c r="G21" s="100" t="str">
        <f t="shared" ref="G21:G83" si="7">IF(ISBLANK(E21),"",E21*10)</f>
        <v/>
      </c>
      <c r="H21" s="100" t="str">
        <f t="shared" ref="H21:H83" si="8">IF(ISBLANK(F21),"",F21*20)</f>
        <v/>
      </c>
      <c r="I21" s="101">
        <f t="shared" ref="I21:I83" si="9">SUM(G21,H21)</f>
        <v>0</v>
      </c>
      <c r="J21" s="100" t="str">
        <f t="shared" si="1"/>
        <v/>
      </c>
      <c r="K21" s="6" t="str">
        <f t="shared" ref="K21:K83" si="10">IF(M21=E21,"","X")</f>
        <v/>
      </c>
      <c r="L21" s="6" t="str">
        <f t="shared" ref="L21:L83" si="11">IF(N21=F21,"","X")</f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3"/>
      <c r="X21" s="3"/>
      <c r="Y21" s="8"/>
      <c r="Z21" s="8"/>
      <c r="AA21" s="3"/>
      <c r="AB21" s="3"/>
      <c r="AC21" s="3"/>
      <c r="AD21" s="3"/>
      <c r="AE21" s="3"/>
      <c r="AF21" s="8"/>
      <c r="AG21" s="8"/>
      <c r="AH21" s="3"/>
      <c r="AI21" s="3"/>
      <c r="AJ21" s="3"/>
      <c r="AK21" s="3"/>
      <c r="AL21" s="3"/>
      <c r="AM21" s="8"/>
      <c r="AN21" s="8"/>
      <c r="AO21" s="3"/>
      <c r="AP21" s="3"/>
      <c r="AQ21" s="3"/>
      <c r="AR21" s="3"/>
      <c r="AS21" s="3"/>
      <c r="AT21" s="8"/>
      <c r="AU21" s="8"/>
      <c r="AV21" s="3"/>
      <c r="AW21" s="3"/>
      <c r="AX21" s="3"/>
      <c r="AY21" s="3"/>
      <c r="AZ21" s="3"/>
      <c r="BA21" s="12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3"/>
      <c r="X22" s="3"/>
      <c r="Y22" s="8"/>
      <c r="Z22" s="8"/>
      <c r="AA22" s="3"/>
      <c r="AB22" s="3"/>
      <c r="AC22" s="3"/>
      <c r="AD22" s="3"/>
      <c r="AE22" s="3"/>
      <c r="AF22" s="8"/>
      <c r="AG22" s="8"/>
      <c r="AH22" s="3"/>
      <c r="AI22" s="3"/>
      <c r="AJ22" s="3"/>
      <c r="AK22" s="3"/>
      <c r="AL22" s="3"/>
      <c r="AM22" s="8"/>
      <c r="AN22" s="8"/>
      <c r="AO22" s="3"/>
      <c r="AP22" s="3"/>
      <c r="AQ22" s="3"/>
      <c r="AR22" s="3"/>
      <c r="AS22" s="3"/>
      <c r="AT22" s="8"/>
      <c r="AU22" s="8"/>
      <c r="AV22" s="3"/>
      <c r="AW22" s="3"/>
      <c r="AX22" s="3"/>
      <c r="AY22" s="3"/>
      <c r="AZ22" s="3"/>
      <c r="BA22" s="12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3"/>
      <c r="X23" s="3"/>
      <c r="Y23" s="8"/>
      <c r="Z23" s="8"/>
      <c r="AA23" s="3"/>
      <c r="AB23" s="3"/>
      <c r="AC23" s="3"/>
      <c r="AD23" s="3"/>
      <c r="AE23" s="3"/>
      <c r="AF23" s="8"/>
      <c r="AG23" s="8"/>
      <c r="AH23" s="3"/>
      <c r="AI23" s="3"/>
      <c r="AJ23" s="3"/>
      <c r="AK23" s="3"/>
      <c r="AL23" s="3"/>
      <c r="AM23" s="8"/>
      <c r="AN23" s="8"/>
      <c r="AO23" s="3"/>
      <c r="AP23" s="3"/>
      <c r="AQ23" s="3"/>
      <c r="AR23" s="3"/>
      <c r="AS23" s="3"/>
      <c r="AT23" s="8"/>
      <c r="AU23" s="8"/>
      <c r="AV23" s="3"/>
      <c r="AW23" s="3"/>
      <c r="AX23" s="3"/>
      <c r="AY23" s="3"/>
      <c r="AZ23" s="3"/>
      <c r="BA23" s="12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3"/>
      <c r="X24" s="3"/>
      <c r="Y24" s="8"/>
      <c r="Z24" s="8"/>
      <c r="AA24" s="3"/>
      <c r="AB24" s="3"/>
      <c r="AC24" s="3"/>
      <c r="AD24" s="3"/>
      <c r="AE24" s="3"/>
      <c r="AF24" s="8"/>
      <c r="AG24" s="8"/>
      <c r="AH24" s="3"/>
      <c r="AI24" s="3"/>
      <c r="AJ24" s="3"/>
      <c r="AK24" s="3"/>
      <c r="AL24" s="3"/>
      <c r="AM24" s="8"/>
      <c r="AN24" s="8"/>
      <c r="AO24" s="3"/>
      <c r="AP24" s="3"/>
      <c r="AQ24" s="3"/>
      <c r="AR24" s="3"/>
      <c r="AS24" s="3"/>
      <c r="AT24" s="8"/>
      <c r="AU24" s="8"/>
      <c r="AV24" s="3"/>
      <c r="AW24" s="3"/>
      <c r="AX24" s="3"/>
      <c r="AY24" s="3"/>
      <c r="AZ24" s="3"/>
      <c r="BA24" s="12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3"/>
      <c r="X25" s="3"/>
      <c r="Y25" s="8"/>
      <c r="Z25" s="8"/>
      <c r="AA25" s="3"/>
      <c r="AB25" s="3"/>
      <c r="AC25" s="3"/>
      <c r="AD25" s="3"/>
      <c r="AE25" s="3"/>
      <c r="AF25" s="8"/>
      <c r="AG25" s="8"/>
      <c r="AH25" s="3"/>
      <c r="AI25" s="3"/>
      <c r="AJ25" s="3"/>
      <c r="AK25" s="3"/>
      <c r="AL25" s="3"/>
      <c r="AM25" s="8"/>
      <c r="AN25" s="8"/>
      <c r="AO25" s="3"/>
      <c r="AP25" s="3"/>
      <c r="AQ25" s="3"/>
      <c r="AR25" s="3"/>
      <c r="AS25" s="3"/>
      <c r="AT25" s="8"/>
      <c r="AU25" s="8"/>
      <c r="AV25" s="3"/>
      <c r="AW25" s="3"/>
      <c r="AX25" s="3"/>
      <c r="AY25" s="3"/>
      <c r="AZ25" s="3"/>
      <c r="BA25" s="12"/>
      <c r="BB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3"/>
      <c r="X26" s="3"/>
      <c r="Y26" s="8"/>
      <c r="Z26" s="8"/>
      <c r="AA26" s="3"/>
      <c r="AB26" s="3"/>
      <c r="AC26" s="3"/>
      <c r="AD26" s="3"/>
      <c r="AE26" s="3"/>
      <c r="AF26" s="8"/>
      <c r="AG26" s="8"/>
      <c r="AH26" s="3"/>
      <c r="AI26" s="3"/>
      <c r="AJ26" s="3"/>
      <c r="AK26" s="3"/>
      <c r="AL26" s="3"/>
      <c r="AM26" s="8"/>
      <c r="AN26" s="8"/>
      <c r="AO26" s="3"/>
      <c r="AP26" s="3"/>
      <c r="AQ26" s="3"/>
      <c r="AR26" s="3"/>
      <c r="AS26" s="3"/>
      <c r="AT26" s="8"/>
      <c r="AU26" s="8"/>
      <c r="AV26" s="3"/>
      <c r="AW26" s="3"/>
      <c r="AX26" s="3"/>
      <c r="AY26" s="3"/>
      <c r="AZ26" s="3"/>
      <c r="BA26" s="12"/>
      <c r="BB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3"/>
      <c r="X27" s="3"/>
      <c r="Y27" s="8"/>
      <c r="Z27" s="8"/>
      <c r="AA27" s="3"/>
      <c r="AB27" s="3"/>
      <c r="AC27" s="3"/>
      <c r="AD27" s="3"/>
      <c r="AE27" s="3"/>
      <c r="AF27" s="8"/>
      <c r="AG27" s="8"/>
      <c r="AH27" s="3"/>
      <c r="AI27" s="3"/>
      <c r="AJ27" s="3"/>
      <c r="AK27" s="3"/>
      <c r="AL27" s="3"/>
      <c r="AM27" s="8"/>
      <c r="AN27" s="8"/>
      <c r="AO27" s="3"/>
      <c r="AP27" s="3"/>
      <c r="AQ27" s="3"/>
      <c r="AR27" s="3"/>
      <c r="AS27" s="3"/>
      <c r="AT27" s="8"/>
      <c r="AU27" s="8"/>
      <c r="AV27" s="3"/>
      <c r="AW27" s="3"/>
      <c r="AX27" s="3"/>
      <c r="AY27" s="3"/>
      <c r="AZ27" s="3"/>
      <c r="BA27" s="12"/>
      <c r="BB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3"/>
      <c r="X28" s="3"/>
      <c r="Y28" s="8"/>
      <c r="Z28" s="8"/>
      <c r="AA28" s="3"/>
      <c r="AB28" s="3"/>
      <c r="AC28" s="3"/>
      <c r="AD28" s="3"/>
      <c r="AE28" s="3"/>
      <c r="AF28" s="8"/>
      <c r="AG28" s="8"/>
      <c r="AH28" s="3"/>
      <c r="AI28" s="3"/>
      <c r="AJ28" s="3"/>
      <c r="AK28" s="3"/>
      <c r="AL28" s="3"/>
      <c r="AM28" s="8"/>
      <c r="AN28" s="8"/>
      <c r="AO28" s="3"/>
      <c r="AP28" s="3"/>
      <c r="AQ28" s="3"/>
      <c r="AR28" s="3"/>
      <c r="AS28" s="3"/>
      <c r="AT28" s="8"/>
      <c r="AU28" s="8"/>
      <c r="AV28" s="3"/>
      <c r="AW28" s="3"/>
      <c r="AX28" s="3"/>
      <c r="AY28" s="3"/>
      <c r="AZ28" s="3"/>
      <c r="BA28" s="12"/>
      <c r="BB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3"/>
      <c r="X29" s="3"/>
      <c r="Y29" s="8"/>
      <c r="Z29" s="8"/>
      <c r="AA29" s="3"/>
      <c r="AB29" s="3"/>
      <c r="AC29" s="3"/>
      <c r="AD29" s="3"/>
      <c r="AE29" s="3"/>
      <c r="AF29" s="8"/>
      <c r="AG29" s="8"/>
      <c r="AH29" s="3"/>
      <c r="AI29" s="3"/>
      <c r="AJ29" s="3"/>
      <c r="AK29" s="3"/>
      <c r="AL29" s="3"/>
      <c r="AM29" s="8"/>
      <c r="AN29" s="8"/>
      <c r="AO29" s="3"/>
      <c r="AP29" s="3"/>
      <c r="AQ29" s="3"/>
      <c r="AR29" s="3"/>
      <c r="AS29" s="3"/>
      <c r="AT29" s="8"/>
      <c r="AU29" s="8"/>
      <c r="AV29" s="3"/>
      <c r="AW29" s="3"/>
      <c r="AX29" s="3"/>
      <c r="AY29" s="3"/>
      <c r="AZ29" s="3"/>
      <c r="BA29" s="12"/>
      <c r="BB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3"/>
      <c r="X30" s="3"/>
      <c r="Y30" s="8"/>
      <c r="Z30" s="8"/>
      <c r="AA30" s="3"/>
      <c r="AB30" s="3"/>
      <c r="AC30" s="3"/>
      <c r="AD30" s="3"/>
      <c r="AE30" s="3"/>
      <c r="AF30" s="8"/>
      <c r="AG30" s="8"/>
      <c r="AH30" s="3"/>
      <c r="AI30" s="3"/>
      <c r="AJ30" s="3"/>
      <c r="AK30" s="3"/>
      <c r="AL30" s="3"/>
      <c r="AM30" s="8"/>
      <c r="AN30" s="8"/>
      <c r="AO30" s="3"/>
      <c r="AP30" s="3"/>
      <c r="AQ30" s="3"/>
      <c r="AR30" s="3"/>
      <c r="AS30" s="3"/>
      <c r="AT30" s="8"/>
      <c r="AU30" s="8"/>
      <c r="AV30" s="3"/>
      <c r="AW30" s="3"/>
      <c r="AX30" s="3"/>
      <c r="AY30" s="3"/>
      <c r="AZ30" s="3"/>
      <c r="BA30" s="12"/>
      <c r="BB30" s="58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3"/>
      <c r="X31" s="3"/>
      <c r="Y31" s="8"/>
      <c r="Z31" s="8"/>
      <c r="AA31" s="3"/>
      <c r="AB31" s="3"/>
      <c r="AC31" s="3"/>
      <c r="AD31" s="3"/>
      <c r="AE31" s="3"/>
      <c r="AF31" s="8"/>
      <c r="AG31" s="8"/>
      <c r="AH31" s="3"/>
      <c r="AI31" s="3"/>
      <c r="AJ31" s="3"/>
      <c r="AK31" s="3"/>
      <c r="AL31" s="3"/>
      <c r="AM31" s="8"/>
      <c r="AN31" s="8"/>
      <c r="AO31" s="3"/>
      <c r="AP31" s="3"/>
      <c r="AQ31" s="3"/>
      <c r="AR31" s="3"/>
      <c r="AS31" s="3"/>
      <c r="AT31" s="8"/>
      <c r="AU31" s="8"/>
      <c r="AV31" s="3"/>
      <c r="AW31" s="3"/>
      <c r="AX31" s="3"/>
      <c r="AY31" s="3"/>
      <c r="AZ31" s="3"/>
      <c r="BA31" s="12"/>
      <c r="BB31" s="58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3"/>
      <c r="X32" s="3"/>
      <c r="Y32" s="8"/>
      <c r="Z32" s="8"/>
      <c r="AA32" s="3"/>
      <c r="AB32" s="3"/>
      <c r="AC32" s="3"/>
      <c r="AD32" s="3"/>
      <c r="AE32" s="3"/>
      <c r="AF32" s="8"/>
      <c r="AG32" s="8"/>
      <c r="AH32" s="3"/>
      <c r="AI32" s="3"/>
      <c r="AJ32" s="3"/>
      <c r="AK32" s="3"/>
      <c r="AL32" s="3"/>
      <c r="AM32" s="8"/>
      <c r="AN32" s="8"/>
      <c r="AO32" s="3"/>
      <c r="AP32" s="3"/>
      <c r="AQ32" s="3"/>
      <c r="AR32" s="3"/>
      <c r="AS32" s="3"/>
      <c r="AT32" s="8"/>
      <c r="AU32" s="8"/>
      <c r="AV32" s="3"/>
      <c r="AW32" s="3"/>
      <c r="AX32" s="3"/>
      <c r="AY32" s="3"/>
      <c r="AZ32" s="3"/>
      <c r="BA32" s="12"/>
      <c r="BB32" s="58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3"/>
      <c r="X33" s="3"/>
      <c r="Y33" s="8"/>
      <c r="Z33" s="8"/>
      <c r="AA33" s="3"/>
      <c r="AB33" s="3"/>
      <c r="AC33" s="3"/>
      <c r="AD33" s="3"/>
      <c r="AE33" s="3"/>
      <c r="AF33" s="8"/>
      <c r="AG33" s="8"/>
      <c r="AH33" s="3"/>
      <c r="AI33" s="3"/>
      <c r="AJ33" s="3"/>
      <c r="AK33" s="3"/>
      <c r="AL33" s="3"/>
      <c r="AM33" s="8"/>
      <c r="AN33" s="8"/>
      <c r="AO33" s="3"/>
      <c r="AP33" s="3"/>
      <c r="AQ33" s="3"/>
      <c r="AR33" s="3"/>
      <c r="AS33" s="3"/>
      <c r="AT33" s="8"/>
      <c r="AU33" s="8"/>
      <c r="AV33" s="3"/>
      <c r="AW33" s="3"/>
      <c r="AX33" s="3"/>
      <c r="AY33" s="3"/>
      <c r="AZ33" s="3"/>
      <c r="BA33" s="12"/>
      <c r="BB33" s="58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3"/>
      <c r="X34" s="3"/>
      <c r="Y34" s="8"/>
      <c r="Z34" s="8"/>
      <c r="AA34" s="3"/>
      <c r="AB34" s="3"/>
      <c r="AC34" s="3"/>
      <c r="AD34" s="3"/>
      <c r="AE34" s="3"/>
      <c r="AF34" s="8"/>
      <c r="AG34" s="8"/>
      <c r="AH34" s="3"/>
      <c r="AI34" s="3"/>
      <c r="AJ34" s="3"/>
      <c r="AK34" s="3"/>
      <c r="AL34" s="3"/>
      <c r="AM34" s="8"/>
      <c r="AN34" s="8"/>
      <c r="AO34" s="3"/>
      <c r="AP34" s="3"/>
      <c r="AQ34" s="3"/>
      <c r="AR34" s="3"/>
      <c r="AS34" s="3"/>
      <c r="AT34" s="8"/>
      <c r="AU34" s="8"/>
      <c r="AV34" s="3"/>
      <c r="AW34" s="3"/>
      <c r="AX34" s="3"/>
      <c r="AY34" s="3"/>
      <c r="AZ34" s="3"/>
      <c r="BA34" s="12"/>
      <c r="BB34" s="58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97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3"/>
      <c r="X35" s="3"/>
      <c r="Y35" s="8"/>
      <c r="Z35" s="8"/>
      <c r="AA35" s="3"/>
      <c r="AB35" s="3"/>
      <c r="AC35" s="3"/>
      <c r="AD35" s="3"/>
      <c r="AE35" s="3"/>
      <c r="AF35" s="8"/>
      <c r="AG35" s="8"/>
      <c r="AH35" s="3"/>
      <c r="AI35" s="3"/>
      <c r="AJ35" s="3"/>
      <c r="AK35" s="3"/>
      <c r="AL35" s="3"/>
      <c r="AM35" s="8"/>
      <c r="AN35" s="8"/>
      <c r="AO35" s="3"/>
      <c r="AP35" s="3"/>
      <c r="AQ35" s="3"/>
      <c r="AR35" s="3"/>
      <c r="AS35" s="3"/>
      <c r="AT35" s="8"/>
      <c r="AU35" s="8"/>
      <c r="AV35" s="3"/>
      <c r="AW35" s="3"/>
      <c r="AX35" s="3"/>
      <c r="AY35" s="3"/>
      <c r="AZ35" s="3"/>
      <c r="BA35" s="12"/>
      <c r="BB35" s="58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3"/>
      <c r="X36" s="3"/>
      <c r="Y36" s="8"/>
      <c r="Z36" s="8"/>
      <c r="AA36" s="3"/>
      <c r="AB36" s="3"/>
      <c r="AC36" s="3"/>
      <c r="AD36" s="3"/>
      <c r="AE36" s="3"/>
      <c r="AF36" s="8"/>
      <c r="AG36" s="8"/>
      <c r="AH36" s="3"/>
      <c r="AI36" s="3"/>
      <c r="AJ36" s="3"/>
      <c r="AK36" s="3"/>
      <c r="AL36" s="3"/>
      <c r="AM36" s="8"/>
      <c r="AN36" s="8"/>
      <c r="AO36" s="3"/>
      <c r="AP36" s="3"/>
      <c r="AQ36" s="3"/>
      <c r="AR36" s="3"/>
      <c r="AS36" s="3"/>
      <c r="AT36" s="8"/>
      <c r="AU36" s="8"/>
      <c r="AV36" s="3"/>
      <c r="AW36" s="3"/>
      <c r="AX36" s="3"/>
      <c r="AY36" s="3"/>
      <c r="AZ36" s="3"/>
      <c r="BA36" s="12"/>
      <c r="BB36" s="58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3"/>
      <c r="X37" s="3"/>
      <c r="Y37" s="8"/>
      <c r="Z37" s="8"/>
      <c r="AA37" s="3"/>
      <c r="AB37" s="3"/>
      <c r="AC37" s="3"/>
      <c r="AD37" s="3"/>
      <c r="AE37" s="3"/>
      <c r="AF37" s="8"/>
      <c r="AG37" s="8"/>
      <c r="AH37" s="3"/>
      <c r="AI37" s="3"/>
      <c r="AJ37" s="3"/>
      <c r="AK37" s="3"/>
      <c r="AL37" s="3"/>
      <c r="AM37" s="8"/>
      <c r="AN37" s="8"/>
      <c r="AO37" s="3"/>
      <c r="AP37" s="3"/>
      <c r="AQ37" s="3"/>
      <c r="AR37" s="3"/>
      <c r="AS37" s="3"/>
      <c r="AT37" s="8"/>
      <c r="AU37" s="8"/>
      <c r="AV37" s="3"/>
      <c r="AW37" s="3"/>
      <c r="AX37" s="3"/>
      <c r="AY37" s="3"/>
      <c r="AZ37" s="3"/>
      <c r="BA37" s="12"/>
      <c r="BB37" s="58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3"/>
      <c r="X38" s="3"/>
      <c r="Y38" s="8"/>
      <c r="Z38" s="8"/>
      <c r="AA38" s="3"/>
      <c r="AB38" s="3"/>
      <c r="AC38" s="3"/>
      <c r="AD38" s="3"/>
      <c r="AE38" s="3"/>
      <c r="AF38" s="8"/>
      <c r="AG38" s="8"/>
      <c r="AH38" s="3"/>
      <c r="AI38" s="3"/>
      <c r="AJ38" s="3"/>
      <c r="AK38" s="3"/>
      <c r="AL38" s="3"/>
      <c r="AM38" s="8"/>
      <c r="AN38" s="8"/>
      <c r="AO38" s="3"/>
      <c r="AP38" s="3"/>
      <c r="AQ38" s="3"/>
      <c r="AR38" s="3"/>
      <c r="AS38" s="3"/>
      <c r="AT38" s="8"/>
      <c r="AU38" s="8"/>
      <c r="AV38" s="3"/>
      <c r="AW38" s="3"/>
      <c r="AX38" s="3"/>
      <c r="AY38" s="3"/>
      <c r="AZ38" s="3"/>
      <c r="BA38" s="12"/>
      <c r="BB38" s="58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3"/>
      <c r="X39" s="3"/>
      <c r="Y39" s="8"/>
      <c r="Z39" s="8"/>
      <c r="AA39" s="3"/>
      <c r="AB39" s="3"/>
      <c r="AC39" s="3"/>
      <c r="AD39" s="3"/>
      <c r="AE39" s="3"/>
      <c r="AF39" s="8"/>
      <c r="AG39" s="8"/>
      <c r="AH39" s="3"/>
      <c r="AI39" s="3"/>
      <c r="AJ39" s="3"/>
      <c r="AK39" s="3"/>
      <c r="AL39" s="3"/>
      <c r="AM39" s="8"/>
      <c r="AN39" s="8"/>
      <c r="AO39" s="3"/>
      <c r="AP39" s="3"/>
      <c r="AQ39" s="3"/>
      <c r="AR39" s="3"/>
      <c r="AS39" s="3"/>
      <c r="AT39" s="8"/>
      <c r="AU39" s="8"/>
      <c r="AV39" s="3"/>
      <c r="AW39" s="3"/>
      <c r="AX39" s="3"/>
      <c r="AY39" s="3"/>
      <c r="AZ39" s="3"/>
      <c r="BA39" s="12"/>
      <c r="BB39" s="58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3"/>
      <c r="X40" s="3"/>
      <c r="Y40" s="8"/>
      <c r="Z40" s="8"/>
      <c r="AA40" s="3"/>
      <c r="AB40" s="3"/>
      <c r="AC40" s="3"/>
      <c r="AD40" s="3"/>
      <c r="AE40" s="3"/>
      <c r="AF40" s="8"/>
      <c r="AG40" s="8"/>
      <c r="AH40" s="3"/>
      <c r="AI40" s="3"/>
      <c r="AJ40" s="3"/>
      <c r="AK40" s="3"/>
      <c r="AL40" s="3"/>
      <c r="AM40" s="8"/>
      <c r="AN40" s="8"/>
      <c r="AO40" s="3"/>
      <c r="AP40" s="3"/>
      <c r="AQ40" s="3"/>
      <c r="AR40" s="3"/>
      <c r="AS40" s="3"/>
      <c r="AT40" s="8"/>
      <c r="AU40" s="8"/>
      <c r="AV40" s="3"/>
      <c r="AW40" s="3"/>
      <c r="AX40" s="3"/>
      <c r="AY40" s="3"/>
      <c r="AZ40" s="3"/>
      <c r="BA40" s="12"/>
      <c r="BB40" s="58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3"/>
      <c r="X41" s="3"/>
      <c r="Y41" s="8"/>
      <c r="Z41" s="8"/>
      <c r="AA41" s="3"/>
      <c r="AB41" s="3"/>
      <c r="AC41" s="3"/>
      <c r="AD41" s="3"/>
      <c r="AE41" s="3"/>
      <c r="AF41" s="8"/>
      <c r="AG41" s="8"/>
      <c r="AH41" s="3"/>
      <c r="AI41" s="3"/>
      <c r="AJ41" s="3"/>
      <c r="AK41" s="3"/>
      <c r="AL41" s="3"/>
      <c r="AM41" s="8"/>
      <c r="AN41" s="8"/>
      <c r="AO41" s="3"/>
      <c r="AP41" s="3"/>
      <c r="AQ41" s="3"/>
      <c r="AR41" s="3"/>
      <c r="AS41" s="3"/>
      <c r="AT41" s="8"/>
      <c r="AU41" s="8"/>
      <c r="AV41" s="3"/>
      <c r="AW41" s="3"/>
      <c r="AX41" s="3"/>
      <c r="AY41" s="3"/>
      <c r="AZ41" s="3"/>
      <c r="BA41" s="12"/>
      <c r="BB41" s="58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3"/>
      <c r="X42" s="3"/>
      <c r="Y42" s="8"/>
      <c r="Z42" s="8"/>
      <c r="AA42" s="3"/>
      <c r="AB42" s="3"/>
      <c r="AC42" s="3"/>
      <c r="AD42" s="3"/>
      <c r="AE42" s="3"/>
      <c r="AF42" s="8"/>
      <c r="AG42" s="8"/>
      <c r="AH42" s="3"/>
      <c r="AI42" s="3"/>
      <c r="AJ42" s="3"/>
      <c r="AK42" s="3"/>
      <c r="AL42" s="3"/>
      <c r="AM42" s="8"/>
      <c r="AN42" s="8"/>
      <c r="AO42" s="3"/>
      <c r="AP42" s="3"/>
      <c r="AQ42" s="3"/>
      <c r="AR42" s="3"/>
      <c r="AS42" s="3"/>
      <c r="AT42" s="8"/>
      <c r="AU42" s="8"/>
      <c r="AV42" s="3"/>
      <c r="AW42" s="3"/>
      <c r="AX42" s="3"/>
      <c r="AY42" s="3"/>
      <c r="AZ42" s="3"/>
      <c r="BA42" s="12"/>
      <c r="BB42" s="58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3"/>
      <c r="X43" s="3"/>
      <c r="Y43" s="8"/>
      <c r="Z43" s="8"/>
      <c r="AA43" s="3"/>
      <c r="AB43" s="3"/>
      <c r="AC43" s="3"/>
      <c r="AD43" s="3"/>
      <c r="AE43" s="3"/>
      <c r="AF43" s="8"/>
      <c r="AG43" s="8"/>
      <c r="AH43" s="3"/>
      <c r="AI43" s="3"/>
      <c r="AJ43" s="3"/>
      <c r="AK43" s="3"/>
      <c r="AL43" s="3"/>
      <c r="AM43" s="8"/>
      <c r="AN43" s="8"/>
      <c r="AO43" s="3"/>
      <c r="AP43" s="3"/>
      <c r="AQ43" s="3"/>
      <c r="AR43" s="3"/>
      <c r="AS43" s="3"/>
      <c r="AT43" s="8"/>
      <c r="AU43" s="8"/>
      <c r="AV43" s="3"/>
      <c r="AW43" s="3"/>
      <c r="AX43" s="3"/>
      <c r="AY43" s="3"/>
      <c r="AZ43" s="3"/>
      <c r="BA43" s="12"/>
      <c r="BB43" s="58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3"/>
      <c r="X44" s="3"/>
      <c r="Y44" s="8"/>
      <c r="Z44" s="8"/>
      <c r="AA44" s="3"/>
      <c r="AB44" s="3"/>
      <c r="AC44" s="3"/>
      <c r="AD44" s="3"/>
      <c r="AE44" s="3"/>
      <c r="AF44" s="8"/>
      <c r="AG44" s="8"/>
      <c r="AH44" s="3"/>
      <c r="AI44" s="3"/>
      <c r="AJ44" s="3"/>
      <c r="AK44" s="3"/>
      <c r="AL44" s="3"/>
      <c r="AM44" s="8"/>
      <c r="AN44" s="8"/>
      <c r="AO44" s="3"/>
      <c r="AP44" s="3"/>
      <c r="AQ44" s="3"/>
      <c r="AR44" s="3"/>
      <c r="AS44" s="3"/>
      <c r="AT44" s="8"/>
      <c r="AU44" s="8"/>
      <c r="AV44" s="3"/>
      <c r="AW44" s="3"/>
      <c r="AX44" s="3"/>
      <c r="AY44" s="3"/>
      <c r="AZ44" s="3"/>
      <c r="BA44" s="12"/>
      <c r="BB44" s="58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3"/>
      <c r="X45" s="3"/>
      <c r="Y45" s="8"/>
      <c r="Z45" s="8"/>
      <c r="AA45" s="3"/>
      <c r="AB45" s="3"/>
      <c r="AC45" s="3"/>
      <c r="AD45" s="3"/>
      <c r="AE45" s="3"/>
      <c r="AF45" s="8"/>
      <c r="AG45" s="8"/>
      <c r="AH45" s="3"/>
      <c r="AI45" s="3"/>
      <c r="AJ45" s="3"/>
      <c r="AK45" s="3"/>
      <c r="AL45" s="3"/>
      <c r="AM45" s="8"/>
      <c r="AN45" s="8"/>
      <c r="AO45" s="3"/>
      <c r="AP45" s="3"/>
      <c r="AQ45" s="3"/>
      <c r="AR45" s="3"/>
      <c r="AS45" s="3"/>
      <c r="AT45" s="8"/>
      <c r="AU45" s="8"/>
      <c r="AV45" s="3"/>
      <c r="AW45" s="3"/>
      <c r="AX45" s="3"/>
      <c r="AY45" s="3"/>
      <c r="AZ45" s="3"/>
      <c r="BA45" s="12"/>
      <c r="BB45" s="58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3"/>
      <c r="X46" s="3"/>
      <c r="Y46" s="8"/>
      <c r="Z46" s="8"/>
      <c r="AA46" s="3"/>
      <c r="AB46" s="3"/>
      <c r="AC46" s="3"/>
      <c r="AD46" s="3"/>
      <c r="AE46" s="3"/>
      <c r="AF46" s="8"/>
      <c r="AG46" s="8"/>
      <c r="AH46" s="3"/>
      <c r="AI46" s="3"/>
      <c r="AJ46" s="3"/>
      <c r="AK46" s="3"/>
      <c r="AL46" s="3"/>
      <c r="AM46" s="8"/>
      <c r="AN46" s="8"/>
      <c r="AO46" s="3"/>
      <c r="AP46" s="3"/>
      <c r="AQ46" s="3"/>
      <c r="AR46" s="3"/>
      <c r="AS46" s="3"/>
      <c r="AT46" s="8"/>
      <c r="AU46" s="8"/>
      <c r="AV46" s="3"/>
      <c r="AW46" s="3"/>
      <c r="AX46" s="3"/>
      <c r="AY46" s="3"/>
      <c r="AZ46" s="3"/>
      <c r="BA46" s="12"/>
      <c r="BB46" s="58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3"/>
      <c r="X47" s="3"/>
      <c r="Y47" s="8"/>
      <c r="Z47" s="8"/>
      <c r="AA47" s="3"/>
      <c r="AB47" s="3"/>
      <c r="AC47" s="3"/>
      <c r="AD47" s="3"/>
      <c r="AE47" s="3"/>
      <c r="AF47" s="8"/>
      <c r="AG47" s="8"/>
      <c r="AH47" s="3"/>
      <c r="AI47" s="3"/>
      <c r="AJ47" s="3"/>
      <c r="AK47" s="3"/>
      <c r="AL47" s="3"/>
      <c r="AM47" s="8"/>
      <c r="AN47" s="8"/>
      <c r="AO47" s="3"/>
      <c r="AP47" s="3"/>
      <c r="AQ47" s="3"/>
      <c r="AR47" s="3"/>
      <c r="AS47" s="3"/>
      <c r="AT47" s="8"/>
      <c r="AU47" s="8"/>
      <c r="AV47" s="3"/>
      <c r="AW47" s="3"/>
      <c r="AX47" s="3"/>
      <c r="AY47" s="3"/>
      <c r="AZ47" s="3"/>
      <c r="BA47" s="12"/>
      <c r="BB47" s="58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3"/>
      <c r="X48" s="3"/>
      <c r="Y48" s="8"/>
      <c r="Z48" s="8"/>
      <c r="AA48" s="3"/>
      <c r="AB48" s="3"/>
      <c r="AC48" s="3"/>
      <c r="AD48" s="3"/>
      <c r="AE48" s="3"/>
      <c r="AF48" s="8"/>
      <c r="AG48" s="8"/>
      <c r="AH48" s="3"/>
      <c r="AI48" s="3"/>
      <c r="AJ48" s="3"/>
      <c r="AK48" s="3"/>
      <c r="AL48" s="3"/>
      <c r="AM48" s="8"/>
      <c r="AN48" s="8"/>
      <c r="AO48" s="3"/>
      <c r="AP48" s="3"/>
      <c r="AQ48" s="3"/>
      <c r="AR48" s="3"/>
      <c r="AS48" s="3"/>
      <c r="AT48" s="8"/>
      <c r="AU48" s="8"/>
      <c r="AV48" s="3"/>
      <c r="AW48" s="3"/>
      <c r="AX48" s="3"/>
      <c r="AY48" s="3"/>
      <c r="AZ48" s="3"/>
      <c r="BA48" s="12"/>
      <c r="BB48" s="58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3"/>
      <c r="X49" s="3"/>
      <c r="Y49" s="8"/>
      <c r="Z49" s="8"/>
      <c r="AA49" s="3"/>
      <c r="AB49" s="3"/>
      <c r="AC49" s="3"/>
      <c r="AD49" s="3"/>
      <c r="AE49" s="3"/>
      <c r="AF49" s="8"/>
      <c r="AG49" s="8"/>
      <c r="AH49" s="3"/>
      <c r="AI49" s="3"/>
      <c r="AJ49" s="3"/>
      <c r="AK49" s="3"/>
      <c r="AL49" s="3"/>
      <c r="AM49" s="8"/>
      <c r="AN49" s="8"/>
      <c r="AO49" s="3"/>
      <c r="AP49" s="3"/>
      <c r="AQ49" s="3"/>
      <c r="AR49" s="3"/>
      <c r="AS49" s="3"/>
      <c r="AT49" s="8"/>
      <c r="AU49" s="8"/>
      <c r="AV49" s="3"/>
      <c r="AW49" s="3"/>
      <c r="AX49" s="3"/>
      <c r="AY49" s="3"/>
      <c r="AZ49" s="3"/>
      <c r="BA49" s="12"/>
      <c r="BB49" s="58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3"/>
      <c r="X50" s="3"/>
      <c r="Y50" s="8"/>
      <c r="Z50" s="8"/>
      <c r="AA50" s="3"/>
      <c r="AB50" s="3"/>
      <c r="AC50" s="3"/>
      <c r="AD50" s="3"/>
      <c r="AE50" s="3"/>
      <c r="AF50" s="8"/>
      <c r="AG50" s="8"/>
      <c r="AH50" s="3"/>
      <c r="AI50" s="3"/>
      <c r="AJ50" s="3"/>
      <c r="AK50" s="3"/>
      <c r="AL50" s="3"/>
      <c r="AM50" s="8"/>
      <c r="AN50" s="8"/>
      <c r="AO50" s="3"/>
      <c r="AP50" s="3"/>
      <c r="AQ50" s="3"/>
      <c r="AR50" s="3"/>
      <c r="AS50" s="3"/>
      <c r="AT50" s="8"/>
      <c r="AU50" s="8"/>
      <c r="AV50" s="3"/>
      <c r="AW50" s="3"/>
      <c r="AX50" s="3"/>
      <c r="AY50" s="3"/>
      <c r="AZ50" s="3"/>
      <c r="BA50" s="12"/>
      <c r="BB50" s="58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3"/>
      <c r="X51" s="3"/>
      <c r="Y51" s="8"/>
      <c r="Z51" s="8"/>
      <c r="AA51" s="3"/>
      <c r="AB51" s="3"/>
      <c r="AC51" s="3"/>
      <c r="AD51" s="3"/>
      <c r="AE51" s="3"/>
      <c r="AF51" s="8"/>
      <c r="AG51" s="8"/>
      <c r="AH51" s="3"/>
      <c r="AI51" s="3"/>
      <c r="AJ51" s="3"/>
      <c r="AK51" s="3"/>
      <c r="AL51" s="3"/>
      <c r="AM51" s="8"/>
      <c r="AN51" s="8"/>
      <c r="AO51" s="3"/>
      <c r="AP51" s="3"/>
      <c r="AQ51" s="3"/>
      <c r="AR51" s="3"/>
      <c r="AS51" s="3"/>
      <c r="AT51" s="8"/>
      <c r="AU51" s="8"/>
      <c r="AV51" s="3"/>
      <c r="AW51" s="3"/>
      <c r="AX51" s="3"/>
      <c r="AY51" s="3"/>
      <c r="AZ51" s="3"/>
      <c r="BA51" s="12"/>
      <c r="BB51" s="58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3"/>
      <c r="X52" s="3"/>
      <c r="Y52" s="8"/>
      <c r="Z52" s="8"/>
      <c r="AA52" s="3"/>
      <c r="AB52" s="3"/>
      <c r="AC52" s="3"/>
      <c r="AD52" s="3"/>
      <c r="AE52" s="3"/>
      <c r="AF52" s="8"/>
      <c r="AG52" s="8"/>
      <c r="AH52" s="3"/>
      <c r="AI52" s="3"/>
      <c r="AJ52" s="3"/>
      <c r="AK52" s="3"/>
      <c r="AL52" s="3"/>
      <c r="AM52" s="8"/>
      <c r="AN52" s="8"/>
      <c r="AO52" s="3"/>
      <c r="AP52" s="3"/>
      <c r="AQ52" s="3"/>
      <c r="AR52" s="3"/>
      <c r="AS52" s="3"/>
      <c r="AT52" s="8"/>
      <c r="AU52" s="8"/>
      <c r="AV52" s="3"/>
      <c r="AW52" s="3"/>
      <c r="AX52" s="3"/>
      <c r="AY52" s="3"/>
      <c r="AZ52" s="3"/>
      <c r="BA52" s="12"/>
      <c r="BB52" s="58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97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3"/>
      <c r="X53" s="3"/>
      <c r="Y53" s="8"/>
      <c r="Z53" s="8"/>
      <c r="AA53" s="3"/>
      <c r="AB53" s="3"/>
      <c r="AC53" s="3"/>
      <c r="AD53" s="3"/>
      <c r="AE53" s="3"/>
      <c r="AF53" s="8"/>
      <c r="AG53" s="8"/>
      <c r="AH53" s="3"/>
      <c r="AI53" s="3"/>
      <c r="AJ53" s="3"/>
      <c r="AK53" s="3"/>
      <c r="AL53" s="3"/>
      <c r="AM53" s="8"/>
      <c r="AN53" s="8"/>
      <c r="AO53" s="3"/>
      <c r="AP53" s="3"/>
      <c r="AQ53" s="3"/>
      <c r="AR53" s="3"/>
      <c r="AS53" s="3"/>
      <c r="AT53" s="8"/>
      <c r="AU53" s="8"/>
      <c r="AV53" s="3"/>
      <c r="AW53" s="3"/>
      <c r="AX53" s="3"/>
      <c r="AY53" s="3"/>
      <c r="AZ53" s="3"/>
      <c r="BA53" s="12"/>
      <c r="BB53" s="58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3"/>
      <c r="X54" s="3"/>
      <c r="Y54" s="8"/>
      <c r="Z54" s="8"/>
      <c r="AA54" s="3"/>
      <c r="AB54" s="3"/>
      <c r="AC54" s="3"/>
      <c r="AD54" s="3"/>
      <c r="AE54" s="3"/>
      <c r="AF54" s="8"/>
      <c r="AG54" s="8"/>
      <c r="AH54" s="3"/>
      <c r="AI54" s="3"/>
      <c r="AJ54" s="3"/>
      <c r="AK54" s="3"/>
      <c r="AL54" s="3"/>
      <c r="AM54" s="8"/>
      <c r="AN54" s="8"/>
      <c r="AO54" s="3"/>
      <c r="AP54" s="3"/>
      <c r="AQ54" s="3"/>
      <c r="AR54" s="3"/>
      <c r="AS54" s="3"/>
      <c r="AT54" s="8"/>
      <c r="AU54" s="8"/>
      <c r="AV54" s="3"/>
      <c r="AW54" s="3"/>
      <c r="AX54" s="3"/>
      <c r="AY54" s="3"/>
      <c r="AZ54" s="3"/>
      <c r="BA54" s="12"/>
      <c r="BB54" s="58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3"/>
      <c r="X55" s="3"/>
      <c r="Y55" s="8"/>
      <c r="Z55" s="8"/>
      <c r="AA55" s="3"/>
      <c r="AB55" s="3"/>
      <c r="AC55" s="3"/>
      <c r="AD55" s="3"/>
      <c r="AE55" s="3"/>
      <c r="AF55" s="8"/>
      <c r="AG55" s="8"/>
      <c r="AH55" s="3"/>
      <c r="AI55" s="3"/>
      <c r="AJ55" s="3"/>
      <c r="AK55" s="3"/>
      <c r="AL55" s="3"/>
      <c r="AM55" s="8"/>
      <c r="AN55" s="8"/>
      <c r="AO55" s="3"/>
      <c r="AP55" s="3"/>
      <c r="AQ55" s="3"/>
      <c r="AR55" s="3"/>
      <c r="AS55" s="3"/>
      <c r="AT55" s="8"/>
      <c r="AU55" s="8"/>
      <c r="AV55" s="3"/>
      <c r="AW55" s="3"/>
      <c r="AX55" s="3"/>
      <c r="AY55" s="3"/>
      <c r="AZ55" s="3"/>
      <c r="BA55" s="12"/>
      <c r="BB55" s="58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3"/>
      <c r="X56" s="3"/>
      <c r="Y56" s="8"/>
      <c r="Z56" s="8"/>
      <c r="AA56" s="3"/>
      <c r="AB56" s="3"/>
      <c r="AC56" s="3"/>
      <c r="AD56" s="3"/>
      <c r="AE56" s="3"/>
      <c r="AF56" s="8"/>
      <c r="AG56" s="8"/>
      <c r="AH56" s="3"/>
      <c r="AI56" s="3"/>
      <c r="AJ56" s="3"/>
      <c r="AK56" s="3"/>
      <c r="AL56" s="3"/>
      <c r="AM56" s="8"/>
      <c r="AN56" s="8"/>
      <c r="AO56" s="3"/>
      <c r="AP56" s="3"/>
      <c r="AQ56" s="3"/>
      <c r="AR56" s="3"/>
      <c r="AS56" s="3"/>
      <c r="AT56" s="8"/>
      <c r="AU56" s="8"/>
      <c r="AV56" s="3"/>
      <c r="AW56" s="3"/>
      <c r="AX56" s="3"/>
      <c r="AY56" s="3"/>
      <c r="AZ56" s="3"/>
      <c r="BA56" s="12"/>
      <c r="BB56" s="58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3"/>
      <c r="X57" s="3"/>
      <c r="Y57" s="8"/>
      <c r="Z57" s="8"/>
      <c r="AA57" s="3"/>
      <c r="AB57" s="3"/>
      <c r="AC57" s="3"/>
      <c r="AD57" s="3"/>
      <c r="AE57" s="3"/>
      <c r="AF57" s="8"/>
      <c r="AG57" s="8"/>
      <c r="AH57" s="3"/>
      <c r="AI57" s="3"/>
      <c r="AJ57" s="3"/>
      <c r="AK57" s="3"/>
      <c r="AL57" s="3"/>
      <c r="AM57" s="8"/>
      <c r="AN57" s="8"/>
      <c r="AO57" s="3"/>
      <c r="AP57" s="3"/>
      <c r="AQ57" s="3"/>
      <c r="AR57" s="3"/>
      <c r="AS57" s="3"/>
      <c r="AT57" s="8"/>
      <c r="AU57" s="8"/>
      <c r="AV57" s="3"/>
      <c r="AW57" s="3"/>
      <c r="AX57" s="3"/>
      <c r="AY57" s="3"/>
      <c r="AZ57" s="3"/>
      <c r="BA57" s="12"/>
      <c r="BB57" s="58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3"/>
      <c r="X58" s="3"/>
      <c r="Y58" s="8"/>
      <c r="Z58" s="8"/>
      <c r="AA58" s="3"/>
      <c r="AB58" s="3"/>
      <c r="AC58" s="3"/>
      <c r="AD58" s="3"/>
      <c r="AE58" s="3"/>
      <c r="AF58" s="8"/>
      <c r="AG58" s="8"/>
      <c r="AH58" s="3"/>
      <c r="AI58" s="3"/>
      <c r="AJ58" s="3"/>
      <c r="AK58" s="3"/>
      <c r="AL58" s="3"/>
      <c r="AM58" s="8"/>
      <c r="AN58" s="8"/>
      <c r="AO58" s="3"/>
      <c r="AP58" s="3"/>
      <c r="AQ58" s="3"/>
      <c r="AR58" s="3"/>
      <c r="AS58" s="3"/>
      <c r="AT58" s="8"/>
      <c r="AU58" s="8"/>
      <c r="AV58" s="3"/>
      <c r="AW58" s="3"/>
      <c r="AX58" s="3"/>
      <c r="AY58" s="3"/>
      <c r="AZ58" s="3"/>
      <c r="BA58" s="12"/>
      <c r="BB58" s="58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3"/>
      <c r="X59" s="3"/>
      <c r="Y59" s="8"/>
      <c r="Z59" s="8"/>
      <c r="AA59" s="3"/>
      <c r="AB59" s="3"/>
      <c r="AC59" s="3"/>
      <c r="AD59" s="3"/>
      <c r="AE59" s="3"/>
      <c r="AF59" s="8"/>
      <c r="AG59" s="8"/>
      <c r="AH59" s="3"/>
      <c r="AI59" s="3"/>
      <c r="AJ59" s="3"/>
      <c r="AK59" s="3"/>
      <c r="AL59" s="3"/>
      <c r="AM59" s="8"/>
      <c r="AN59" s="8"/>
      <c r="AO59" s="3"/>
      <c r="AP59" s="3"/>
      <c r="AQ59" s="3"/>
      <c r="AR59" s="3"/>
      <c r="AS59" s="3"/>
      <c r="AT59" s="8"/>
      <c r="AU59" s="8"/>
      <c r="AV59" s="3"/>
      <c r="AW59" s="3"/>
      <c r="AX59" s="3"/>
      <c r="AY59" s="3"/>
      <c r="AZ59" s="3"/>
      <c r="BA59" s="12"/>
      <c r="BB59" s="58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3"/>
      <c r="X60" s="3"/>
      <c r="Y60" s="8"/>
      <c r="Z60" s="8"/>
      <c r="AA60" s="3"/>
      <c r="AB60" s="3"/>
      <c r="AC60" s="3"/>
      <c r="AD60" s="3"/>
      <c r="AE60" s="3"/>
      <c r="AF60" s="8"/>
      <c r="AG60" s="8"/>
      <c r="AH60" s="3"/>
      <c r="AI60" s="3"/>
      <c r="AJ60" s="3"/>
      <c r="AK60" s="3"/>
      <c r="AL60" s="3"/>
      <c r="AM60" s="8"/>
      <c r="AN60" s="8"/>
      <c r="AO60" s="3"/>
      <c r="AP60" s="3"/>
      <c r="AQ60" s="3"/>
      <c r="AR60" s="3"/>
      <c r="AS60" s="3"/>
      <c r="AT60" s="8"/>
      <c r="AU60" s="8"/>
      <c r="AV60" s="3"/>
      <c r="AW60" s="3"/>
      <c r="AX60" s="3"/>
      <c r="AY60" s="3"/>
      <c r="AZ60" s="3"/>
      <c r="BA60" s="12"/>
      <c r="BB60" s="58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3"/>
      <c r="X61" s="3"/>
      <c r="Y61" s="8"/>
      <c r="Z61" s="8"/>
      <c r="AA61" s="3"/>
      <c r="AB61" s="3"/>
      <c r="AC61" s="3"/>
      <c r="AD61" s="3"/>
      <c r="AE61" s="3"/>
      <c r="AF61" s="8"/>
      <c r="AG61" s="8"/>
      <c r="AH61" s="3"/>
      <c r="AI61" s="3"/>
      <c r="AJ61" s="3"/>
      <c r="AK61" s="3"/>
      <c r="AL61" s="3"/>
      <c r="AM61" s="8"/>
      <c r="AN61" s="8"/>
      <c r="AO61" s="3"/>
      <c r="AP61" s="3"/>
      <c r="AQ61" s="3"/>
      <c r="AR61" s="3"/>
      <c r="AS61" s="3"/>
      <c r="AT61" s="8"/>
      <c r="AU61" s="8"/>
      <c r="AV61" s="3"/>
      <c r="AW61" s="3"/>
      <c r="AX61" s="3"/>
      <c r="AY61" s="3"/>
      <c r="AZ61" s="3"/>
      <c r="BA61" s="12"/>
      <c r="BB61" s="58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3"/>
      <c r="X62" s="3"/>
      <c r="Y62" s="8"/>
      <c r="Z62" s="8"/>
      <c r="AA62" s="3"/>
      <c r="AB62" s="3"/>
      <c r="AC62" s="3"/>
      <c r="AD62" s="3"/>
      <c r="AE62" s="3"/>
      <c r="AF62" s="8"/>
      <c r="AG62" s="8"/>
      <c r="AH62" s="3"/>
      <c r="AI62" s="3"/>
      <c r="AJ62" s="3"/>
      <c r="AK62" s="3"/>
      <c r="AL62" s="3"/>
      <c r="AM62" s="8"/>
      <c r="AN62" s="8"/>
      <c r="AO62" s="3"/>
      <c r="AP62" s="3"/>
      <c r="AQ62" s="3"/>
      <c r="AR62" s="3"/>
      <c r="AS62" s="3"/>
      <c r="AT62" s="8"/>
      <c r="AU62" s="8"/>
      <c r="AV62" s="3"/>
      <c r="AW62" s="3"/>
      <c r="AX62" s="3"/>
      <c r="AY62" s="3"/>
      <c r="AZ62" s="3"/>
      <c r="BA62" s="12"/>
      <c r="BB62" s="58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3"/>
      <c r="X63" s="3"/>
      <c r="Y63" s="8"/>
      <c r="Z63" s="8"/>
      <c r="AA63" s="3"/>
      <c r="AB63" s="3"/>
      <c r="AC63" s="3"/>
      <c r="AD63" s="3"/>
      <c r="AE63" s="3"/>
      <c r="AF63" s="8"/>
      <c r="AG63" s="8"/>
      <c r="AH63" s="3"/>
      <c r="AI63" s="3"/>
      <c r="AJ63" s="3"/>
      <c r="AK63" s="3"/>
      <c r="AL63" s="3"/>
      <c r="AM63" s="8"/>
      <c r="AN63" s="8"/>
      <c r="AO63" s="3"/>
      <c r="AP63" s="3"/>
      <c r="AQ63" s="3"/>
      <c r="AR63" s="3"/>
      <c r="AS63" s="3"/>
      <c r="AT63" s="8"/>
      <c r="AU63" s="8"/>
      <c r="AV63" s="3"/>
      <c r="AW63" s="3"/>
      <c r="AX63" s="3"/>
      <c r="AY63" s="3"/>
      <c r="AZ63" s="3"/>
      <c r="BA63" s="12"/>
      <c r="BB63" s="58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3"/>
      <c r="X64" s="3"/>
      <c r="Y64" s="8"/>
      <c r="Z64" s="8"/>
      <c r="AA64" s="3"/>
      <c r="AB64" s="3"/>
      <c r="AC64" s="3"/>
      <c r="AD64" s="3"/>
      <c r="AE64" s="3"/>
      <c r="AF64" s="8"/>
      <c r="AG64" s="8"/>
      <c r="AH64" s="3"/>
      <c r="AI64" s="3"/>
      <c r="AJ64" s="3"/>
      <c r="AK64" s="3"/>
      <c r="AL64" s="3"/>
      <c r="AM64" s="8"/>
      <c r="AN64" s="8"/>
      <c r="AO64" s="3"/>
      <c r="AP64" s="3"/>
      <c r="AQ64" s="3"/>
      <c r="AR64" s="3"/>
      <c r="AS64" s="3"/>
      <c r="AT64" s="8"/>
      <c r="AU64" s="8"/>
      <c r="AV64" s="3"/>
      <c r="AW64" s="3"/>
      <c r="AX64" s="3"/>
      <c r="AY64" s="3"/>
      <c r="AZ64" s="3"/>
      <c r="BA64" s="12"/>
      <c r="BB64" s="58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3"/>
      <c r="X65" s="3"/>
      <c r="Y65" s="8"/>
      <c r="Z65" s="8"/>
      <c r="AA65" s="3"/>
      <c r="AB65" s="3"/>
      <c r="AC65" s="3"/>
      <c r="AD65" s="3"/>
      <c r="AE65" s="3"/>
      <c r="AF65" s="8"/>
      <c r="AG65" s="8"/>
      <c r="AH65" s="3"/>
      <c r="AI65" s="3"/>
      <c r="AJ65" s="3"/>
      <c r="AK65" s="3"/>
      <c r="AL65" s="3"/>
      <c r="AM65" s="8"/>
      <c r="AN65" s="8"/>
      <c r="AO65" s="3"/>
      <c r="AP65" s="3"/>
      <c r="AQ65" s="3"/>
      <c r="AR65" s="3"/>
      <c r="AS65" s="3"/>
      <c r="AT65" s="8"/>
      <c r="AU65" s="8"/>
      <c r="AV65" s="3"/>
      <c r="AW65" s="3"/>
      <c r="AX65" s="3"/>
      <c r="AY65" s="3"/>
      <c r="AZ65" s="3"/>
      <c r="BA65" s="12"/>
      <c r="BB65" s="58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3"/>
      <c r="X66" s="3"/>
      <c r="Y66" s="8"/>
      <c r="Z66" s="8"/>
      <c r="AA66" s="3"/>
      <c r="AB66" s="3"/>
      <c r="AC66" s="3"/>
      <c r="AD66" s="3"/>
      <c r="AE66" s="3"/>
      <c r="AF66" s="8"/>
      <c r="AG66" s="8"/>
      <c r="AH66" s="3"/>
      <c r="AI66" s="3"/>
      <c r="AJ66" s="3"/>
      <c r="AK66" s="3"/>
      <c r="AL66" s="3"/>
      <c r="AM66" s="8"/>
      <c r="AN66" s="8"/>
      <c r="AO66" s="3"/>
      <c r="AP66" s="3"/>
      <c r="AQ66" s="3"/>
      <c r="AR66" s="3"/>
      <c r="AS66" s="3"/>
      <c r="AT66" s="8"/>
      <c r="AU66" s="8"/>
      <c r="AV66" s="3"/>
      <c r="AW66" s="3"/>
      <c r="AX66" s="3"/>
      <c r="AY66" s="3"/>
      <c r="AZ66" s="3"/>
      <c r="BA66" s="12"/>
      <c r="BB66" s="58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3"/>
      <c r="X67" s="3"/>
      <c r="Y67" s="8"/>
      <c r="Z67" s="8"/>
      <c r="AA67" s="3"/>
      <c r="AB67" s="3"/>
      <c r="AC67" s="3"/>
      <c r="AD67" s="3"/>
      <c r="AE67" s="3"/>
      <c r="AF67" s="8"/>
      <c r="AG67" s="8"/>
      <c r="AH67" s="3"/>
      <c r="AI67" s="3"/>
      <c r="AJ67" s="3"/>
      <c r="AK67" s="3"/>
      <c r="AL67" s="3"/>
      <c r="AM67" s="8"/>
      <c r="AN67" s="8"/>
      <c r="AO67" s="3"/>
      <c r="AP67" s="3"/>
      <c r="AQ67" s="3"/>
      <c r="AR67" s="3"/>
      <c r="AS67" s="3"/>
      <c r="AT67" s="8"/>
      <c r="AU67" s="8"/>
      <c r="AV67" s="3"/>
      <c r="AW67" s="3"/>
      <c r="AX67" s="3"/>
      <c r="AY67" s="3"/>
      <c r="AZ67" s="3"/>
      <c r="BA67" s="12"/>
      <c r="BB67" s="58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3"/>
      <c r="X68" s="3"/>
      <c r="Y68" s="8"/>
      <c r="Z68" s="8"/>
      <c r="AA68" s="3"/>
      <c r="AB68" s="3"/>
      <c r="AC68" s="3"/>
      <c r="AD68" s="3"/>
      <c r="AE68" s="3"/>
      <c r="AF68" s="8"/>
      <c r="AG68" s="8"/>
      <c r="AH68" s="3"/>
      <c r="AI68" s="3"/>
      <c r="AJ68" s="3"/>
      <c r="AK68" s="3"/>
      <c r="AL68" s="3"/>
      <c r="AM68" s="8"/>
      <c r="AN68" s="8"/>
      <c r="AO68" s="3"/>
      <c r="AP68" s="3"/>
      <c r="AQ68" s="3"/>
      <c r="AR68" s="3"/>
      <c r="AS68" s="3"/>
      <c r="AT68" s="8"/>
      <c r="AU68" s="8"/>
      <c r="AV68" s="3"/>
      <c r="AW68" s="3"/>
      <c r="AX68" s="3"/>
      <c r="AY68" s="3"/>
      <c r="AZ68" s="3"/>
      <c r="BA68" s="12"/>
      <c r="BB68" s="58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3"/>
      <c r="X69" s="3"/>
      <c r="Y69" s="8"/>
      <c r="Z69" s="8"/>
      <c r="AA69" s="3"/>
      <c r="AB69" s="3"/>
      <c r="AC69" s="3"/>
      <c r="AD69" s="3"/>
      <c r="AE69" s="3"/>
      <c r="AF69" s="8"/>
      <c r="AG69" s="8"/>
      <c r="AH69" s="3"/>
      <c r="AI69" s="3"/>
      <c r="AJ69" s="3"/>
      <c r="AK69" s="3"/>
      <c r="AL69" s="3"/>
      <c r="AM69" s="8"/>
      <c r="AN69" s="8"/>
      <c r="AO69" s="3"/>
      <c r="AP69" s="3"/>
      <c r="AQ69" s="3"/>
      <c r="AR69" s="3"/>
      <c r="AS69" s="3"/>
      <c r="AT69" s="8"/>
      <c r="AU69" s="8"/>
      <c r="AV69" s="3"/>
      <c r="AW69" s="3"/>
      <c r="AX69" s="3"/>
      <c r="AY69" s="3"/>
      <c r="AZ69" s="3"/>
      <c r="BA69" s="12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3"/>
      <c r="X70" s="3"/>
      <c r="Y70" s="8"/>
      <c r="Z70" s="8"/>
      <c r="AA70" s="3"/>
      <c r="AB70" s="3"/>
      <c r="AC70" s="3"/>
      <c r="AD70" s="3"/>
      <c r="AE70" s="3"/>
      <c r="AF70" s="8"/>
      <c r="AG70" s="8"/>
      <c r="AH70" s="3"/>
      <c r="AI70" s="3"/>
      <c r="AJ70" s="3"/>
      <c r="AK70" s="3"/>
      <c r="AL70" s="3"/>
      <c r="AM70" s="8"/>
      <c r="AN70" s="8"/>
      <c r="AO70" s="3"/>
      <c r="AP70" s="3"/>
      <c r="AQ70" s="3"/>
      <c r="AR70" s="3"/>
      <c r="AS70" s="3"/>
      <c r="AT70" s="8"/>
      <c r="AU70" s="8"/>
      <c r="AV70" s="3"/>
      <c r="AW70" s="3"/>
      <c r="AX70" s="3"/>
      <c r="AY70" s="3"/>
      <c r="AZ70" s="3"/>
      <c r="BA70" s="12"/>
      <c r="BB70" s="58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97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3"/>
      <c r="X71" s="3"/>
      <c r="Y71" s="8"/>
      <c r="Z71" s="8"/>
      <c r="AA71" s="3"/>
      <c r="AB71" s="3"/>
      <c r="AC71" s="3"/>
      <c r="AD71" s="3"/>
      <c r="AE71" s="3"/>
      <c r="AF71" s="8"/>
      <c r="AG71" s="8"/>
      <c r="AH71" s="3"/>
      <c r="AI71" s="3"/>
      <c r="AJ71" s="3"/>
      <c r="AK71" s="3"/>
      <c r="AL71" s="3"/>
      <c r="AM71" s="8"/>
      <c r="AN71" s="8"/>
      <c r="AO71" s="3"/>
      <c r="AP71" s="3"/>
      <c r="AQ71" s="3"/>
      <c r="AR71" s="3"/>
      <c r="AS71" s="3"/>
      <c r="AT71" s="8"/>
      <c r="AU71" s="8"/>
      <c r="AV71" s="3"/>
      <c r="AW71" s="3"/>
      <c r="AX71" s="3"/>
      <c r="AY71" s="3"/>
      <c r="AZ71" s="3"/>
      <c r="BA71" s="12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3"/>
      <c r="X72" s="3"/>
      <c r="Y72" s="8"/>
      <c r="Z72" s="8"/>
      <c r="AA72" s="3"/>
      <c r="AB72" s="3"/>
      <c r="AC72" s="3"/>
      <c r="AD72" s="3"/>
      <c r="AE72" s="3"/>
      <c r="AF72" s="8"/>
      <c r="AG72" s="8"/>
      <c r="AH72" s="3"/>
      <c r="AI72" s="3"/>
      <c r="AJ72" s="3"/>
      <c r="AK72" s="3"/>
      <c r="AL72" s="3"/>
      <c r="AM72" s="8"/>
      <c r="AN72" s="8"/>
      <c r="AO72" s="3"/>
      <c r="AP72" s="3"/>
      <c r="AQ72" s="3"/>
      <c r="AR72" s="3"/>
      <c r="AS72" s="3"/>
      <c r="AT72" s="8"/>
      <c r="AU72" s="8"/>
      <c r="AV72" s="3"/>
      <c r="AW72" s="3"/>
      <c r="AX72" s="3"/>
      <c r="AY72" s="3"/>
      <c r="AZ72" s="3"/>
      <c r="BA72" s="12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3"/>
      <c r="X73" s="3"/>
      <c r="Y73" s="8"/>
      <c r="Z73" s="8"/>
      <c r="AA73" s="3"/>
      <c r="AB73" s="3"/>
      <c r="AC73" s="3"/>
      <c r="AD73" s="3"/>
      <c r="AE73" s="3"/>
      <c r="AF73" s="8"/>
      <c r="AG73" s="8"/>
      <c r="AH73" s="3"/>
      <c r="AI73" s="3"/>
      <c r="AJ73" s="3"/>
      <c r="AK73" s="3"/>
      <c r="AL73" s="3"/>
      <c r="AM73" s="8"/>
      <c r="AN73" s="8"/>
      <c r="AO73" s="3"/>
      <c r="AP73" s="3"/>
      <c r="AQ73" s="3"/>
      <c r="AR73" s="3"/>
      <c r="AS73" s="3"/>
      <c r="AT73" s="8"/>
      <c r="AU73" s="8"/>
      <c r="AV73" s="3"/>
      <c r="AW73" s="3"/>
      <c r="AX73" s="3"/>
      <c r="AY73" s="3"/>
      <c r="AZ73" s="3"/>
      <c r="BA73" s="12"/>
      <c r="BB73" s="58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3"/>
      <c r="X74" s="3"/>
      <c r="Y74" s="8"/>
      <c r="Z74" s="8"/>
      <c r="AA74" s="3"/>
      <c r="AB74" s="3"/>
      <c r="AC74" s="3"/>
      <c r="AD74" s="3"/>
      <c r="AE74" s="3"/>
      <c r="AF74" s="8"/>
      <c r="AG74" s="8"/>
      <c r="AH74" s="3"/>
      <c r="AI74" s="3"/>
      <c r="AJ74" s="3"/>
      <c r="AK74" s="3"/>
      <c r="AL74" s="3"/>
      <c r="AM74" s="8"/>
      <c r="AN74" s="8"/>
      <c r="AO74" s="3"/>
      <c r="AP74" s="3"/>
      <c r="AQ74" s="3"/>
      <c r="AR74" s="3"/>
      <c r="AS74" s="3"/>
      <c r="AT74" s="8"/>
      <c r="AU74" s="8"/>
      <c r="AV74" s="3"/>
      <c r="AW74" s="3"/>
      <c r="AX74" s="3"/>
      <c r="AY74" s="3"/>
      <c r="AZ74" s="3"/>
      <c r="BA74" s="12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97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3"/>
      <c r="X75" s="3"/>
      <c r="Y75" s="8"/>
      <c r="Z75" s="8"/>
      <c r="AA75" s="3"/>
      <c r="AB75" s="3"/>
      <c r="AC75" s="3"/>
      <c r="AD75" s="3"/>
      <c r="AE75" s="3"/>
      <c r="AF75" s="8"/>
      <c r="AG75" s="8"/>
      <c r="AH75" s="3"/>
      <c r="AI75" s="3"/>
      <c r="AJ75" s="3"/>
      <c r="AK75" s="3"/>
      <c r="AL75" s="3"/>
      <c r="AM75" s="8"/>
      <c r="AN75" s="8"/>
      <c r="AO75" s="3"/>
      <c r="AP75" s="3"/>
      <c r="AQ75" s="3"/>
      <c r="AR75" s="3"/>
      <c r="AS75" s="3"/>
      <c r="AT75" s="8"/>
      <c r="AU75" s="8"/>
      <c r="AV75" s="3"/>
      <c r="AW75" s="3"/>
      <c r="AX75" s="3"/>
      <c r="AY75" s="3"/>
      <c r="AZ75" s="3"/>
      <c r="BA75" s="12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102">
        <v>65</v>
      </c>
      <c r="B76" s="103"/>
      <c r="C76" s="104"/>
      <c r="D76" s="2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3"/>
      <c r="X76" s="3"/>
      <c r="Y76" s="8"/>
      <c r="Z76" s="8"/>
      <c r="AA76" s="3"/>
      <c r="AB76" s="3"/>
      <c r="AC76" s="3"/>
      <c r="AD76" s="3"/>
      <c r="AE76" s="3"/>
      <c r="AF76" s="8"/>
      <c r="AG76" s="8"/>
      <c r="AH76" s="3"/>
      <c r="AI76" s="3"/>
      <c r="AJ76" s="3"/>
      <c r="AK76" s="3"/>
      <c r="AL76" s="3"/>
      <c r="AM76" s="8"/>
      <c r="AN76" s="8"/>
      <c r="AO76" s="3"/>
      <c r="AP76" s="3"/>
      <c r="AQ76" s="3"/>
      <c r="AR76" s="3"/>
      <c r="AS76" s="3"/>
      <c r="AT76" s="8"/>
      <c r="AU76" s="8"/>
      <c r="AV76" s="3"/>
      <c r="AW76" s="3"/>
      <c r="AX76" s="3"/>
      <c r="AY76" s="3"/>
      <c r="AZ76" s="3"/>
      <c r="BA76" s="12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3"/>
      <c r="X77" s="3"/>
      <c r="Y77" s="8"/>
      <c r="Z77" s="8"/>
      <c r="AA77" s="3"/>
      <c r="AB77" s="3"/>
      <c r="AC77" s="3"/>
      <c r="AD77" s="3"/>
      <c r="AE77" s="3"/>
      <c r="AF77" s="8"/>
      <c r="AG77" s="8"/>
      <c r="AH77" s="3"/>
      <c r="AI77" s="3"/>
      <c r="AJ77" s="3"/>
      <c r="AK77" s="3"/>
      <c r="AL77" s="3"/>
      <c r="AM77" s="8"/>
      <c r="AN77" s="8"/>
      <c r="AO77" s="3"/>
      <c r="AP77" s="3"/>
      <c r="AQ77" s="3"/>
      <c r="AR77" s="3"/>
      <c r="AS77" s="3"/>
      <c r="AT77" s="8"/>
      <c r="AU77" s="8"/>
      <c r="AV77" s="3"/>
      <c r="AW77" s="3"/>
      <c r="AX77" s="3"/>
      <c r="AY77" s="3"/>
      <c r="AZ77" s="3"/>
      <c r="BA77" s="12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3"/>
      <c r="X78" s="3"/>
      <c r="Y78" s="8"/>
      <c r="Z78" s="8"/>
      <c r="AA78" s="3"/>
      <c r="AB78" s="3"/>
      <c r="AC78" s="3"/>
      <c r="AD78" s="3"/>
      <c r="AE78" s="3"/>
      <c r="AF78" s="8"/>
      <c r="AG78" s="8"/>
      <c r="AH78" s="3"/>
      <c r="AI78" s="3"/>
      <c r="AJ78" s="3"/>
      <c r="AK78" s="3"/>
      <c r="AL78" s="3"/>
      <c r="AM78" s="8"/>
      <c r="AN78" s="8"/>
      <c r="AO78" s="3"/>
      <c r="AP78" s="3"/>
      <c r="AQ78" s="3"/>
      <c r="AR78" s="3"/>
      <c r="AS78" s="3"/>
      <c r="AT78" s="8"/>
      <c r="AU78" s="8"/>
      <c r="AV78" s="3"/>
      <c r="AW78" s="3"/>
      <c r="AX78" s="3"/>
      <c r="AY78" s="3"/>
      <c r="AZ78" s="3"/>
      <c r="BA78" s="12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1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4"/>
        <v/>
      </c>
      <c r="K79" s="6" t="str">
        <f t="shared" si="10"/>
        <v/>
      </c>
      <c r="L79" s="6" t="str">
        <f t="shared" si="11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3"/>
      <c r="X79" s="3"/>
      <c r="Y79" s="8"/>
      <c r="Z79" s="8"/>
      <c r="AA79" s="3"/>
      <c r="AB79" s="3"/>
      <c r="AC79" s="3"/>
      <c r="AD79" s="3"/>
      <c r="AE79" s="3"/>
      <c r="AF79" s="8"/>
      <c r="AG79" s="8"/>
      <c r="AH79" s="3"/>
      <c r="AI79" s="3"/>
      <c r="AJ79" s="3"/>
      <c r="AK79" s="3"/>
      <c r="AL79" s="3"/>
      <c r="AM79" s="8"/>
      <c r="AN79" s="8"/>
      <c r="AO79" s="3"/>
      <c r="AP79" s="3"/>
      <c r="AQ79" s="3"/>
      <c r="AR79" s="3"/>
      <c r="AS79" s="3"/>
      <c r="AT79" s="8"/>
      <c r="AU79" s="8"/>
      <c r="AV79" s="3"/>
      <c r="AW79" s="3"/>
      <c r="AX79" s="3"/>
      <c r="AY79" s="3"/>
      <c r="AZ79" s="3"/>
      <c r="BA79" s="12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97">
        <v>69</v>
      </c>
      <c r="B80" s="103"/>
      <c r="C80" s="104"/>
      <c r="D80" s="2"/>
      <c r="E80" s="105"/>
      <c r="F80" s="105"/>
      <c r="G80" s="100" t="str">
        <f t="shared" si="7"/>
        <v/>
      </c>
      <c r="H80" s="100" t="str">
        <f t="shared" si="8"/>
        <v/>
      </c>
      <c r="I80" s="101">
        <f t="shared" si="9"/>
        <v>0</v>
      </c>
      <c r="J80" s="100" t="str">
        <f t="shared" si="14"/>
        <v/>
      </c>
      <c r="K80" s="6" t="str">
        <f t="shared" si="10"/>
        <v/>
      </c>
      <c r="L80" s="6" t="str">
        <f t="shared" si="11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3"/>
      <c r="X80" s="3"/>
      <c r="Y80" s="8"/>
      <c r="Z80" s="8"/>
      <c r="AA80" s="3"/>
      <c r="AB80" s="3"/>
      <c r="AC80" s="3"/>
      <c r="AD80" s="3"/>
      <c r="AE80" s="3"/>
      <c r="AF80" s="8"/>
      <c r="AG80" s="8"/>
      <c r="AH80" s="3"/>
      <c r="AI80" s="3"/>
      <c r="AJ80" s="3"/>
      <c r="AK80" s="3"/>
      <c r="AL80" s="3"/>
      <c r="AM80" s="8"/>
      <c r="AN80" s="8"/>
      <c r="AO80" s="3"/>
      <c r="AP80" s="3"/>
      <c r="AQ80" s="3"/>
      <c r="AR80" s="3"/>
      <c r="AS80" s="3"/>
      <c r="AT80" s="8"/>
      <c r="AU80" s="8"/>
      <c r="AV80" s="3"/>
      <c r="AW80" s="3"/>
      <c r="AX80" s="3"/>
      <c r="AY80" s="3"/>
      <c r="AZ80" s="3"/>
      <c r="BA80" s="12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7"/>
        <v/>
      </c>
      <c r="H81" s="100" t="str">
        <f t="shared" si="8"/>
        <v/>
      </c>
      <c r="I81" s="101">
        <f t="shared" si="9"/>
        <v>0</v>
      </c>
      <c r="J81" s="100" t="str">
        <f t="shared" si="14"/>
        <v/>
      </c>
      <c r="K81" s="6" t="str">
        <f t="shared" si="10"/>
        <v/>
      </c>
      <c r="L81" s="6" t="str">
        <f t="shared" si="11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3"/>
      <c r="X81" s="3"/>
      <c r="Y81" s="8"/>
      <c r="Z81" s="8"/>
      <c r="AA81" s="3"/>
      <c r="AB81" s="3"/>
      <c r="AC81" s="3"/>
      <c r="AD81" s="3"/>
      <c r="AE81" s="3"/>
      <c r="AF81" s="8"/>
      <c r="AG81" s="8"/>
      <c r="AH81" s="3"/>
      <c r="AI81" s="3"/>
      <c r="AJ81" s="3"/>
      <c r="AK81" s="3"/>
      <c r="AL81" s="3"/>
      <c r="AM81" s="8"/>
      <c r="AN81" s="8"/>
      <c r="AO81" s="3"/>
      <c r="AP81" s="3"/>
      <c r="AQ81" s="3"/>
      <c r="AR81" s="3"/>
      <c r="AS81" s="3"/>
      <c r="AT81" s="8"/>
      <c r="AU81" s="8"/>
      <c r="AV81" s="3"/>
      <c r="AW81" s="3"/>
      <c r="AX81" s="3"/>
      <c r="AY81" s="3"/>
      <c r="AZ81" s="3"/>
      <c r="BA81" s="12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7"/>
        <v/>
      </c>
      <c r="H82" s="100" t="str">
        <f t="shared" si="8"/>
        <v/>
      </c>
      <c r="I82" s="101">
        <f t="shared" si="9"/>
        <v>0</v>
      </c>
      <c r="J82" s="100" t="str">
        <f t="shared" si="14"/>
        <v/>
      </c>
      <c r="K82" s="6" t="str">
        <f t="shared" si="10"/>
        <v/>
      </c>
      <c r="L82" s="6" t="str">
        <f t="shared" si="11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3"/>
      <c r="X82" s="3"/>
      <c r="Y82" s="8"/>
      <c r="Z82" s="8"/>
      <c r="AA82" s="3"/>
      <c r="AB82" s="3"/>
      <c r="AC82" s="3"/>
      <c r="AD82" s="3"/>
      <c r="AE82" s="3"/>
      <c r="AF82" s="8"/>
      <c r="AG82" s="8"/>
      <c r="AH82" s="3"/>
      <c r="AI82" s="3"/>
      <c r="AJ82" s="3"/>
      <c r="AK82" s="3"/>
      <c r="AL82" s="3"/>
      <c r="AM82" s="8"/>
      <c r="AN82" s="8"/>
      <c r="AO82" s="3"/>
      <c r="AP82" s="3"/>
      <c r="AQ82" s="3"/>
      <c r="AR82" s="3"/>
      <c r="AS82" s="3"/>
      <c r="AT82" s="8"/>
      <c r="AU82" s="8"/>
      <c r="AV82" s="3"/>
      <c r="AW82" s="3"/>
      <c r="AX82" s="3"/>
      <c r="AY82" s="3"/>
      <c r="AZ82" s="3"/>
      <c r="BA82" s="12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7"/>
        <v/>
      </c>
      <c r="H83" s="100" t="str">
        <f t="shared" si="8"/>
        <v/>
      </c>
      <c r="I83" s="101">
        <f t="shared" si="9"/>
        <v>0</v>
      </c>
      <c r="J83" s="100" t="str">
        <f t="shared" si="14"/>
        <v/>
      </c>
      <c r="K83" s="6" t="str">
        <f t="shared" si="10"/>
        <v/>
      </c>
      <c r="L83" s="6" t="str">
        <f t="shared" si="11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3"/>
      <c r="X83" s="3"/>
      <c r="Y83" s="8"/>
      <c r="Z83" s="8"/>
      <c r="AA83" s="3"/>
      <c r="AB83" s="3"/>
      <c r="AC83" s="3"/>
      <c r="AD83" s="3"/>
      <c r="AE83" s="3"/>
      <c r="AF83" s="8"/>
      <c r="AG83" s="8"/>
      <c r="AH83" s="3"/>
      <c r="AI83" s="3"/>
      <c r="AJ83" s="3"/>
      <c r="AK83" s="3"/>
      <c r="AL83" s="3"/>
      <c r="AM83" s="8"/>
      <c r="AN83" s="8"/>
      <c r="AO83" s="3"/>
      <c r="AP83" s="3"/>
      <c r="AQ83" s="3"/>
      <c r="AR83" s="3"/>
      <c r="AS83" s="3"/>
      <c r="AT83" s="8"/>
      <c r="AU83" s="8"/>
      <c r="AV83" s="3"/>
      <c r="AW83" s="3"/>
      <c r="AX83" s="3"/>
      <c r="AY83" s="3"/>
      <c r="AZ83" s="3"/>
      <c r="BA83" s="12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3"/>
      <c r="X84" s="3"/>
      <c r="Y84" s="8"/>
      <c r="Z84" s="8"/>
      <c r="AA84" s="3"/>
      <c r="AB84" s="3"/>
      <c r="AC84" s="3"/>
      <c r="AD84" s="3"/>
      <c r="AE84" s="3"/>
      <c r="AF84" s="8"/>
      <c r="AG84" s="8"/>
      <c r="AH84" s="3"/>
      <c r="AI84" s="3"/>
      <c r="AJ84" s="3"/>
      <c r="AK84" s="3"/>
      <c r="AL84" s="3"/>
      <c r="AM84" s="8"/>
      <c r="AN84" s="8"/>
      <c r="AO84" s="3"/>
      <c r="AP84" s="3"/>
      <c r="AQ84" s="3"/>
      <c r="AR84" s="3"/>
      <c r="AS84" s="3"/>
      <c r="AT84" s="8"/>
      <c r="AU84" s="8"/>
      <c r="AV84" s="3"/>
      <c r="AW84" s="3"/>
      <c r="AX84" s="3"/>
      <c r="AY84" s="3"/>
      <c r="AZ84" s="3"/>
      <c r="BA84" s="12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3"/>
      <c r="X85" s="3"/>
      <c r="Y85" s="8"/>
      <c r="Z85" s="8"/>
      <c r="AA85" s="3"/>
      <c r="AB85" s="3"/>
      <c r="AC85" s="3"/>
      <c r="AD85" s="3"/>
      <c r="AE85" s="3"/>
      <c r="AF85" s="8"/>
      <c r="AG85" s="8"/>
      <c r="AH85" s="3"/>
      <c r="AI85" s="3"/>
      <c r="AJ85" s="3"/>
      <c r="AK85" s="3"/>
      <c r="AL85" s="3"/>
      <c r="AM85" s="8"/>
      <c r="AN85" s="8"/>
      <c r="AO85" s="3"/>
      <c r="AP85" s="3"/>
      <c r="AQ85" s="3"/>
      <c r="AR85" s="3"/>
      <c r="AS85" s="3"/>
      <c r="AT85" s="8"/>
      <c r="AU85" s="8"/>
      <c r="AV85" s="3"/>
      <c r="AW85" s="3"/>
      <c r="AX85" s="3"/>
      <c r="AY85" s="3"/>
      <c r="AZ85" s="3"/>
      <c r="BA85" s="12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3"/>
      <c r="X86" s="3"/>
      <c r="Y86" s="8"/>
      <c r="Z86" s="8"/>
      <c r="AA86" s="3"/>
      <c r="AB86" s="3"/>
      <c r="AC86" s="3"/>
      <c r="AD86" s="3"/>
      <c r="AE86" s="3"/>
      <c r="AF86" s="8"/>
      <c r="AG86" s="8"/>
      <c r="AH86" s="3"/>
      <c r="AI86" s="3"/>
      <c r="AJ86" s="3"/>
      <c r="AK86" s="3"/>
      <c r="AL86" s="3"/>
      <c r="AM86" s="8"/>
      <c r="AN86" s="8"/>
      <c r="AO86" s="3"/>
      <c r="AP86" s="3"/>
      <c r="AQ86" s="3"/>
      <c r="AR86" s="3"/>
      <c r="AS86" s="3"/>
      <c r="AT86" s="8"/>
      <c r="AU86" s="8"/>
      <c r="AV86" s="3"/>
      <c r="AW86" s="3"/>
      <c r="AX86" s="3"/>
      <c r="AY86" s="3"/>
      <c r="AZ86" s="3"/>
      <c r="BA86" s="12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3"/>
      <c r="X87" s="3"/>
      <c r="Y87" s="8"/>
      <c r="Z87" s="8"/>
      <c r="AA87" s="3"/>
      <c r="AB87" s="3"/>
      <c r="AC87" s="3"/>
      <c r="AD87" s="3"/>
      <c r="AE87" s="3"/>
      <c r="AF87" s="8"/>
      <c r="AG87" s="8"/>
      <c r="AH87" s="3"/>
      <c r="AI87" s="3"/>
      <c r="AJ87" s="3"/>
      <c r="AK87" s="3"/>
      <c r="AL87" s="3"/>
      <c r="AM87" s="8"/>
      <c r="AN87" s="8"/>
      <c r="AO87" s="3"/>
      <c r="AP87" s="3"/>
      <c r="AQ87" s="3"/>
      <c r="AR87" s="3"/>
      <c r="AS87" s="3"/>
      <c r="AT87" s="8"/>
      <c r="AU87" s="8"/>
      <c r="AV87" s="3"/>
      <c r="AW87" s="3"/>
      <c r="AX87" s="3"/>
      <c r="AY87" s="3"/>
      <c r="AZ87" s="3"/>
      <c r="BA87" s="12"/>
      <c r="BB87" s="59"/>
      <c r="BC87" s="59"/>
      <c r="GP87" s="54"/>
      <c r="GQ87" s="54"/>
    </row>
    <row r="88" spans="1:199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3"/>
      <c r="X88" s="3"/>
      <c r="Y88" s="8"/>
      <c r="Z88" s="8"/>
      <c r="AA88" s="3"/>
      <c r="AB88" s="3"/>
      <c r="AC88" s="3"/>
      <c r="AD88" s="3"/>
      <c r="AE88" s="3"/>
      <c r="AF88" s="8"/>
      <c r="AG88" s="8"/>
      <c r="AH88" s="3"/>
      <c r="AI88" s="3"/>
      <c r="AJ88" s="3"/>
      <c r="AK88" s="3"/>
      <c r="AL88" s="3"/>
      <c r="AM88" s="8"/>
      <c r="AN88" s="8"/>
      <c r="AO88" s="3"/>
      <c r="AP88" s="3"/>
      <c r="AQ88" s="3"/>
      <c r="AR88" s="3"/>
      <c r="AS88" s="3"/>
      <c r="AT88" s="8"/>
      <c r="AU88" s="8"/>
      <c r="AV88" s="3"/>
      <c r="AW88" s="3"/>
      <c r="AX88" s="3"/>
      <c r="AY88" s="3"/>
      <c r="AZ88" s="3"/>
      <c r="BA88" s="12"/>
      <c r="BB88" s="59"/>
      <c r="BC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3"/>
      <c r="X89" s="3"/>
      <c r="Y89" s="8"/>
      <c r="Z89" s="8"/>
      <c r="AA89" s="3"/>
      <c r="AB89" s="3"/>
      <c r="AC89" s="3"/>
      <c r="AD89" s="3"/>
      <c r="AE89" s="3"/>
      <c r="AF89" s="8"/>
      <c r="AG89" s="8"/>
      <c r="AH89" s="3"/>
      <c r="AI89" s="3"/>
      <c r="AJ89" s="3"/>
      <c r="AK89" s="3"/>
      <c r="AL89" s="3"/>
      <c r="AM89" s="8"/>
      <c r="AN89" s="8"/>
      <c r="AO89" s="3"/>
      <c r="AP89" s="3"/>
      <c r="AQ89" s="3"/>
      <c r="AR89" s="3"/>
      <c r="AS89" s="3"/>
      <c r="AT89" s="8"/>
      <c r="AU89" s="8"/>
      <c r="AV89" s="3"/>
      <c r="AW89" s="3"/>
      <c r="AX89" s="3"/>
      <c r="AY89" s="3"/>
      <c r="AZ89" s="3"/>
      <c r="BA89" s="12"/>
      <c r="BB89" s="59"/>
      <c r="BC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3"/>
      <c r="X90" s="3"/>
      <c r="Y90" s="8"/>
      <c r="Z90" s="8"/>
      <c r="AA90" s="3"/>
      <c r="AB90" s="3"/>
      <c r="AC90" s="3"/>
      <c r="AD90" s="3"/>
      <c r="AE90" s="3"/>
      <c r="AF90" s="8"/>
      <c r="AG90" s="8"/>
      <c r="AH90" s="3"/>
      <c r="AI90" s="3"/>
      <c r="AJ90" s="3"/>
      <c r="AK90" s="3"/>
      <c r="AL90" s="3"/>
      <c r="AM90" s="8"/>
      <c r="AN90" s="8"/>
      <c r="AO90" s="3"/>
      <c r="AP90" s="3"/>
      <c r="AQ90" s="3"/>
      <c r="AR90" s="3"/>
      <c r="AS90" s="3"/>
      <c r="AT90" s="8"/>
      <c r="AU90" s="8"/>
      <c r="AV90" s="3"/>
      <c r="AW90" s="3"/>
      <c r="AX90" s="3"/>
      <c r="AY90" s="3"/>
      <c r="AZ90" s="3"/>
      <c r="BA90" s="12"/>
      <c r="BB90" s="58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3"/>
      <c r="X91" s="3"/>
      <c r="Y91" s="8"/>
      <c r="Z91" s="8"/>
      <c r="AA91" s="3"/>
      <c r="AB91" s="3"/>
      <c r="AC91" s="3"/>
      <c r="AD91" s="3"/>
      <c r="AE91" s="3"/>
      <c r="AF91" s="8"/>
      <c r="AG91" s="8"/>
      <c r="AH91" s="3"/>
      <c r="AI91" s="3"/>
      <c r="AJ91" s="3"/>
      <c r="AK91" s="3"/>
      <c r="AL91" s="3"/>
      <c r="AM91" s="8"/>
      <c r="AN91" s="8"/>
      <c r="AO91" s="3"/>
      <c r="AP91" s="3"/>
      <c r="AQ91" s="3"/>
      <c r="AR91" s="3"/>
      <c r="AS91" s="3"/>
      <c r="AT91" s="8"/>
      <c r="AU91" s="8"/>
      <c r="AV91" s="3"/>
      <c r="AW91" s="3"/>
      <c r="AX91" s="3"/>
      <c r="AY91" s="3"/>
      <c r="AZ91" s="3"/>
      <c r="BA91" s="12"/>
      <c r="BB91" s="58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3"/>
      <c r="X92" s="3"/>
      <c r="Y92" s="8"/>
      <c r="Z92" s="8"/>
      <c r="AA92" s="3"/>
      <c r="AB92" s="3"/>
      <c r="AC92" s="3"/>
      <c r="AD92" s="3"/>
      <c r="AE92" s="3"/>
      <c r="AF92" s="8"/>
      <c r="AG92" s="8"/>
      <c r="AH92" s="3"/>
      <c r="AI92" s="3"/>
      <c r="AJ92" s="3"/>
      <c r="AK92" s="3"/>
      <c r="AL92" s="3"/>
      <c r="AM92" s="8"/>
      <c r="AN92" s="8"/>
      <c r="AO92" s="3"/>
      <c r="AP92" s="3"/>
      <c r="AQ92" s="3"/>
      <c r="AR92" s="3"/>
      <c r="AS92" s="3"/>
      <c r="AT92" s="8"/>
      <c r="AU92" s="8"/>
      <c r="AV92" s="3"/>
      <c r="AW92" s="3"/>
      <c r="AX92" s="3"/>
      <c r="AY92" s="3"/>
      <c r="AZ92" s="3"/>
      <c r="BA92" s="12"/>
      <c r="BB92" s="59"/>
      <c r="BC92" s="59"/>
      <c r="GP92" s="54"/>
      <c r="GQ92" s="54"/>
    </row>
    <row r="93" spans="1:199" ht="15" hidden="1" customHeight="1" x14ac:dyDescent="0.25">
      <c r="A93" s="97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3"/>
      <c r="X93" s="3"/>
      <c r="Y93" s="8"/>
      <c r="Z93" s="8"/>
      <c r="AA93" s="3"/>
      <c r="AB93" s="3"/>
      <c r="AC93" s="3"/>
      <c r="AD93" s="3"/>
      <c r="AE93" s="3"/>
      <c r="AF93" s="8"/>
      <c r="AG93" s="8"/>
      <c r="AH93" s="3"/>
      <c r="AI93" s="3"/>
      <c r="AJ93" s="3"/>
      <c r="AK93" s="3"/>
      <c r="AL93" s="3"/>
      <c r="AM93" s="8"/>
      <c r="AN93" s="8"/>
      <c r="AO93" s="3"/>
      <c r="AP93" s="3"/>
      <c r="AQ93" s="3"/>
      <c r="AR93" s="3"/>
      <c r="AS93" s="3"/>
      <c r="AT93" s="8"/>
      <c r="AU93" s="8"/>
      <c r="AV93" s="3"/>
      <c r="AW93" s="3"/>
      <c r="AX93" s="3"/>
      <c r="AY93" s="3"/>
      <c r="AZ93" s="3"/>
      <c r="BA93" s="12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GP93" s="54"/>
      <c r="GQ93" s="54"/>
    </row>
    <row r="94" spans="1:199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3"/>
      <c r="X94" s="3"/>
      <c r="Y94" s="8"/>
      <c r="Z94" s="8"/>
      <c r="AA94" s="3"/>
      <c r="AB94" s="3"/>
      <c r="AC94" s="3"/>
      <c r="AD94" s="3"/>
      <c r="AE94" s="3"/>
      <c r="AF94" s="8"/>
      <c r="AG94" s="8"/>
      <c r="AH94" s="3"/>
      <c r="AI94" s="3"/>
      <c r="AJ94" s="3"/>
      <c r="AK94" s="3"/>
      <c r="AL94" s="3"/>
      <c r="AM94" s="8"/>
      <c r="AN94" s="8"/>
      <c r="AO94" s="3"/>
      <c r="AP94" s="3"/>
      <c r="AQ94" s="3"/>
      <c r="AR94" s="3"/>
      <c r="AS94" s="3"/>
      <c r="AT94" s="8"/>
      <c r="AU94" s="8"/>
      <c r="AV94" s="3"/>
      <c r="AW94" s="3"/>
      <c r="AX94" s="3"/>
      <c r="AY94" s="3"/>
      <c r="AZ94" s="3"/>
      <c r="BA94" s="12"/>
      <c r="BB94" s="106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3"/>
      <c r="X95" s="3"/>
      <c r="Y95" s="8"/>
      <c r="Z95" s="8"/>
      <c r="AA95" s="3"/>
      <c r="AB95" s="3"/>
      <c r="AC95" s="3"/>
      <c r="AD95" s="3"/>
      <c r="AE95" s="3"/>
      <c r="AF95" s="8"/>
      <c r="AG95" s="8"/>
      <c r="AH95" s="3"/>
      <c r="AI95" s="3"/>
      <c r="AJ95" s="3"/>
      <c r="AK95" s="3"/>
      <c r="AL95" s="3"/>
      <c r="AM95" s="8"/>
      <c r="AN95" s="8"/>
      <c r="AO95" s="3"/>
      <c r="AP95" s="3"/>
      <c r="AQ95" s="3"/>
      <c r="AR95" s="3"/>
      <c r="AS95" s="3"/>
      <c r="AT95" s="8"/>
      <c r="AU95" s="8"/>
      <c r="AV95" s="3"/>
      <c r="AW95" s="3"/>
      <c r="AX95" s="3"/>
      <c r="AY95" s="3"/>
      <c r="AZ95" s="3"/>
      <c r="BA95" s="12"/>
      <c r="BB95" s="59"/>
      <c r="BC95" s="59"/>
      <c r="GP95" s="54"/>
      <c r="GQ95" s="54"/>
    </row>
    <row r="96" spans="1:199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3"/>
      <c r="X96" s="3"/>
      <c r="Y96" s="8"/>
      <c r="Z96" s="8"/>
      <c r="AA96" s="3"/>
      <c r="AB96" s="3"/>
      <c r="AC96" s="3"/>
      <c r="AD96" s="3"/>
      <c r="AE96" s="3"/>
      <c r="AF96" s="8"/>
      <c r="AG96" s="8"/>
      <c r="AH96" s="3"/>
      <c r="AI96" s="3"/>
      <c r="AJ96" s="3"/>
      <c r="AK96" s="3"/>
      <c r="AL96" s="3"/>
      <c r="AM96" s="8"/>
      <c r="AN96" s="8"/>
      <c r="AO96" s="3"/>
      <c r="AP96" s="3"/>
      <c r="AQ96" s="3"/>
      <c r="AR96" s="3"/>
      <c r="AS96" s="3"/>
      <c r="AT96" s="8"/>
      <c r="AU96" s="8"/>
      <c r="AV96" s="3"/>
      <c r="AW96" s="3"/>
      <c r="AX96" s="3"/>
      <c r="AY96" s="3"/>
      <c r="AZ96" s="3"/>
      <c r="BA96" s="12"/>
      <c r="BB96" s="59"/>
      <c r="BC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2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3"/>
      <c r="X97" s="3"/>
      <c r="Y97" s="8"/>
      <c r="Z97" s="8"/>
      <c r="AA97" s="3"/>
      <c r="AB97" s="3"/>
      <c r="AC97" s="3"/>
      <c r="AD97" s="3"/>
      <c r="AE97" s="3"/>
      <c r="AF97" s="8"/>
      <c r="AG97" s="8"/>
      <c r="AH97" s="3"/>
      <c r="AI97" s="3"/>
      <c r="AJ97" s="3"/>
      <c r="AK97" s="3"/>
      <c r="AL97" s="3"/>
      <c r="AM97" s="8"/>
      <c r="AN97" s="8"/>
      <c r="AO97" s="3"/>
      <c r="AP97" s="3"/>
      <c r="AQ97" s="3"/>
      <c r="AR97" s="3"/>
      <c r="AS97" s="3"/>
      <c r="AT97" s="8"/>
      <c r="AU97" s="8"/>
      <c r="AV97" s="3"/>
      <c r="AW97" s="3"/>
      <c r="AX97" s="3"/>
      <c r="AY97" s="3"/>
      <c r="AZ97" s="3"/>
      <c r="BA97" s="12"/>
      <c r="BB97" s="59"/>
      <c r="BC97" s="59"/>
      <c r="GP97" s="54"/>
      <c r="GQ97" s="54"/>
    </row>
    <row r="98" spans="1:199" ht="15" hidden="1" customHeight="1" x14ac:dyDescent="0.25">
      <c r="A98" s="97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3"/>
      <c r="X98" s="3"/>
      <c r="Y98" s="8"/>
      <c r="Z98" s="8"/>
      <c r="AA98" s="3"/>
      <c r="AB98" s="3"/>
      <c r="AC98" s="3"/>
      <c r="AD98" s="3"/>
      <c r="AE98" s="3"/>
      <c r="AF98" s="8"/>
      <c r="AG98" s="8"/>
      <c r="AH98" s="3"/>
      <c r="AI98" s="3"/>
      <c r="AJ98" s="3"/>
      <c r="AK98" s="3"/>
      <c r="AL98" s="3"/>
      <c r="AM98" s="8"/>
      <c r="AN98" s="8"/>
      <c r="AO98" s="3"/>
      <c r="AP98" s="3"/>
      <c r="AQ98" s="3"/>
      <c r="AR98" s="3"/>
      <c r="AS98" s="3"/>
      <c r="AT98" s="8"/>
      <c r="AU98" s="8"/>
      <c r="AV98" s="3"/>
      <c r="AW98" s="3"/>
      <c r="AX98" s="3"/>
      <c r="AY98" s="3"/>
      <c r="AZ98" s="3"/>
      <c r="BA98" s="12"/>
      <c r="BB98" s="59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3"/>
      <c r="X99" s="3"/>
      <c r="Y99" s="8"/>
      <c r="Z99" s="8"/>
      <c r="AA99" s="3"/>
      <c r="AB99" s="3"/>
      <c r="AC99" s="3"/>
      <c r="AD99" s="3"/>
      <c r="AE99" s="3"/>
      <c r="AF99" s="8"/>
      <c r="AG99" s="8"/>
      <c r="AH99" s="3"/>
      <c r="AI99" s="3"/>
      <c r="AJ99" s="3"/>
      <c r="AK99" s="3"/>
      <c r="AL99" s="3"/>
      <c r="AM99" s="8"/>
      <c r="AN99" s="8"/>
      <c r="AO99" s="3"/>
      <c r="AP99" s="3"/>
      <c r="AQ99" s="3"/>
      <c r="AR99" s="3"/>
      <c r="AS99" s="3"/>
      <c r="AT99" s="8"/>
      <c r="AU99" s="8"/>
      <c r="AV99" s="3"/>
      <c r="AW99" s="3"/>
      <c r="AX99" s="3"/>
      <c r="AY99" s="3"/>
      <c r="AZ99" s="3"/>
      <c r="BA99" s="12"/>
      <c r="BB99" s="59"/>
      <c r="BC99" s="59"/>
      <c r="GP99" s="54"/>
      <c r="GQ99" s="54"/>
    </row>
    <row r="100" spans="1:199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3"/>
      <c r="X100" s="3"/>
      <c r="Y100" s="8"/>
      <c r="Z100" s="8"/>
      <c r="AA100" s="3"/>
      <c r="AB100" s="3"/>
      <c r="AC100" s="3"/>
      <c r="AD100" s="3"/>
      <c r="AE100" s="3"/>
      <c r="AF100" s="8"/>
      <c r="AG100" s="8"/>
      <c r="AH100" s="3"/>
      <c r="AI100" s="3"/>
      <c r="AJ100" s="3"/>
      <c r="AK100" s="3"/>
      <c r="AL100" s="3"/>
      <c r="AM100" s="8"/>
      <c r="AN100" s="8"/>
      <c r="AO100" s="3"/>
      <c r="AP100" s="3"/>
      <c r="AQ100" s="3"/>
      <c r="AR100" s="3"/>
      <c r="AS100" s="3"/>
      <c r="AT100" s="8"/>
      <c r="AU100" s="8"/>
      <c r="AV100" s="3"/>
      <c r="AW100" s="3"/>
      <c r="AX100" s="3"/>
      <c r="AY100" s="3"/>
      <c r="AZ100" s="3"/>
      <c r="BA100" s="12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3"/>
      <c r="X101" s="3"/>
      <c r="Y101" s="8"/>
      <c r="Z101" s="8"/>
      <c r="AA101" s="3"/>
      <c r="AB101" s="3"/>
      <c r="AC101" s="3"/>
      <c r="AD101" s="3"/>
      <c r="AE101" s="3"/>
      <c r="AF101" s="8"/>
      <c r="AG101" s="8"/>
      <c r="AH101" s="3"/>
      <c r="AI101" s="3"/>
      <c r="AJ101" s="3"/>
      <c r="AK101" s="3"/>
      <c r="AL101" s="3"/>
      <c r="AM101" s="8"/>
      <c r="AN101" s="8"/>
      <c r="AO101" s="3"/>
      <c r="AP101" s="3"/>
      <c r="AQ101" s="3"/>
      <c r="AR101" s="3"/>
      <c r="AS101" s="3"/>
      <c r="AT101" s="8"/>
      <c r="AU101" s="8"/>
      <c r="AV101" s="3"/>
      <c r="AW101" s="3"/>
      <c r="AX101" s="3"/>
      <c r="AY101" s="3"/>
      <c r="AZ101" s="3"/>
      <c r="BA101" s="12"/>
      <c r="BB101" s="59"/>
      <c r="BC101" s="59"/>
      <c r="GP101" s="54"/>
      <c r="GQ101" s="54"/>
    </row>
    <row r="102" spans="1:199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3"/>
      <c r="X102" s="3"/>
      <c r="Y102" s="8"/>
      <c r="Z102" s="8"/>
      <c r="AA102" s="3"/>
      <c r="AB102" s="3"/>
      <c r="AC102" s="3"/>
      <c r="AD102" s="3"/>
      <c r="AE102" s="3"/>
      <c r="AF102" s="8"/>
      <c r="AG102" s="8"/>
      <c r="AH102" s="3"/>
      <c r="AI102" s="3"/>
      <c r="AJ102" s="3"/>
      <c r="AK102" s="3"/>
      <c r="AL102" s="3"/>
      <c r="AM102" s="8"/>
      <c r="AN102" s="8"/>
      <c r="AO102" s="3"/>
      <c r="AP102" s="3"/>
      <c r="AQ102" s="3"/>
      <c r="AR102" s="3"/>
      <c r="AS102" s="3"/>
      <c r="AT102" s="8"/>
      <c r="AU102" s="8"/>
      <c r="AV102" s="3"/>
      <c r="AW102" s="3"/>
      <c r="AX102" s="3"/>
      <c r="AY102" s="3"/>
      <c r="AZ102" s="3"/>
      <c r="BA102" s="12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3"/>
      <c r="X103" s="3"/>
      <c r="Y103" s="8"/>
      <c r="Z103" s="8"/>
      <c r="AA103" s="3"/>
      <c r="AB103" s="3"/>
      <c r="AC103" s="3"/>
      <c r="AD103" s="3"/>
      <c r="AE103" s="3"/>
      <c r="AF103" s="8"/>
      <c r="AG103" s="8"/>
      <c r="AH103" s="3"/>
      <c r="AI103" s="3"/>
      <c r="AJ103" s="3"/>
      <c r="AK103" s="3"/>
      <c r="AL103" s="3"/>
      <c r="AM103" s="8"/>
      <c r="AN103" s="8"/>
      <c r="AO103" s="3"/>
      <c r="AP103" s="3"/>
      <c r="AQ103" s="3"/>
      <c r="AR103" s="3"/>
      <c r="AS103" s="3"/>
      <c r="AT103" s="8"/>
      <c r="AU103" s="8"/>
      <c r="AV103" s="3"/>
      <c r="AW103" s="3"/>
      <c r="AX103" s="3"/>
      <c r="AY103" s="3"/>
      <c r="AZ103" s="3"/>
      <c r="BA103" s="12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3"/>
      <c r="X104" s="3"/>
      <c r="Y104" s="8"/>
      <c r="Z104" s="8"/>
      <c r="AA104" s="3"/>
      <c r="AB104" s="3"/>
      <c r="AC104" s="3"/>
      <c r="AD104" s="3"/>
      <c r="AE104" s="3"/>
      <c r="AF104" s="8"/>
      <c r="AG104" s="8"/>
      <c r="AH104" s="3"/>
      <c r="AI104" s="3"/>
      <c r="AJ104" s="3"/>
      <c r="AK104" s="3"/>
      <c r="AL104" s="3"/>
      <c r="AM104" s="8"/>
      <c r="AN104" s="8"/>
      <c r="AO104" s="3"/>
      <c r="AP104" s="3"/>
      <c r="AQ104" s="3"/>
      <c r="AR104" s="3"/>
      <c r="AS104" s="3"/>
      <c r="AT104" s="8"/>
      <c r="AU104" s="8"/>
      <c r="AV104" s="3"/>
      <c r="AW104" s="3"/>
      <c r="AX104" s="3"/>
      <c r="AY104" s="3"/>
      <c r="AZ104" s="3"/>
      <c r="BA104" s="12"/>
      <c r="BB104" s="59"/>
      <c r="BC104" s="59"/>
      <c r="GP104" s="54"/>
      <c r="GQ104" s="54"/>
    </row>
    <row r="105" spans="1:199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3"/>
      <c r="X105" s="3"/>
      <c r="Y105" s="8"/>
      <c r="Z105" s="8"/>
      <c r="AA105" s="3"/>
      <c r="AB105" s="3"/>
      <c r="AC105" s="3"/>
      <c r="AD105" s="3"/>
      <c r="AE105" s="3"/>
      <c r="AF105" s="8"/>
      <c r="AG105" s="8"/>
      <c r="AH105" s="3"/>
      <c r="AI105" s="3"/>
      <c r="AJ105" s="3"/>
      <c r="AK105" s="3"/>
      <c r="AL105" s="3"/>
      <c r="AM105" s="8"/>
      <c r="AN105" s="8"/>
      <c r="AO105" s="3"/>
      <c r="AP105" s="3"/>
      <c r="AQ105" s="3"/>
      <c r="AR105" s="3"/>
      <c r="AS105" s="3"/>
      <c r="AT105" s="8"/>
      <c r="AU105" s="8"/>
      <c r="AV105" s="3"/>
      <c r="AW105" s="3"/>
      <c r="AX105" s="3"/>
      <c r="AY105" s="3"/>
      <c r="AZ105" s="3"/>
      <c r="BA105" s="12"/>
      <c r="BB105" s="59"/>
      <c r="BC105" s="59"/>
      <c r="GP105" s="54"/>
      <c r="GQ105" s="54"/>
    </row>
    <row r="106" spans="1:199" ht="15" hidden="1" customHeight="1" x14ac:dyDescent="0.25">
      <c r="A106" s="102">
        <v>95</v>
      </c>
      <c r="B106" s="103"/>
      <c r="C106" s="104"/>
      <c r="D106" s="2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3"/>
      <c r="X106" s="3"/>
      <c r="Y106" s="8"/>
      <c r="Z106" s="8"/>
      <c r="AA106" s="3"/>
      <c r="AB106" s="3"/>
      <c r="AC106" s="3"/>
      <c r="AD106" s="3"/>
      <c r="AE106" s="3"/>
      <c r="AF106" s="8"/>
      <c r="AG106" s="8"/>
      <c r="AH106" s="3"/>
      <c r="AI106" s="3"/>
      <c r="AJ106" s="3"/>
      <c r="AK106" s="3"/>
      <c r="AL106" s="3"/>
      <c r="AM106" s="8"/>
      <c r="AN106" s="8"/>
      <c r="AO106" s="3"/>
      <c r="AP106" s="3"/>
      <c r="AQ106" s="3"/>
      <c r="AR106" s="3"/>
      <c r="AS106" s="3"/>
      <c r="AT106" s="8"/>
      <c r="AU106" s="8"/>
      <c r="AV106" s="3"/>
      <c r="AW106" s="3"/>
      <c r="AX106" s="3"/>
      <c r="AY106" s="3"/>
      <c r="AZ106" s="3"/>
      <c r="BA106" s="12"/>
      <c r="BB106" s="59"/>
      <c r="BC106" s="59"/>
      <c r="GP106" s="54"/>
      <c r="GQ106" s="54"/>
    </row>
    <row r="107" spans="1:199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3"/>
      <c r="X107" s="3"/>
      <c r="Y107" s="8"/>
      <c r="Z107" s="8"/>
      <c r="AA107" s="3"/>
      <c r="AB107" s="3"/>
      <c r="AC107" s="3"/>
      <c r="AD107" s="3"/>
      <c r="AE107" s="3"/>
      <c r="AF107" s="8"/>
      <c r="AG107" s="8"/>
      <c r="AH107" s="3"/>
      <c r="AI107" s="3"/>
      <c r="AJ107" s="3"/>
      <c r="AK107" s="3"/>
      <c r="AL107" s="3"/>
      <c r="AM107" s="8"/>
      <c r="AN107" s="8"/>
      <c r="AO107" s="3"/>
      <c r="AP107" s="3"/>
      <c r="AQ107" s="3"/>
      <c r="AR107" s="3"/>
      <c r="AS107" s="3"/>
      <c r="AT107" s="8"/>
      <c r="AU107" s="8"/>
      <c r="AV107" s="3"/>
      <c r="AW107" s="3"/>
      <c r="AX107" s="3"/>
      <c r="AY107" s="3"/>
      <c r="AZ107" s="3"/>
      <c r="BA107" s="12"/>
      <c r="BB107" s="59"/>
      <c r="BC107" s="59"/>
      <c r="GP107" s="54"/>
      <c r="GQ107" s="54"/>
    </row>
    <row r="108" spans="1:199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3"/>
      <c r="X108" s="3"/>
      <c r="Y108" s="8"/>
      <c r="Z108" s="8"/>
      <c r="AA108" s="3"/>
      <c r="AB108" s="3"/>
      <c r="AC108" s="3"/>
      <c r="AD108" s="3"/>
      <c r="AE108" s="3"/>
      <c r="AF108" s="8"/>
      <c r="AG108" s="8"/>
      <c r="AH108" s="3"/>
      <c r="AI108" s="3"/>
      <c r="AJ108" s="3"/>
      <c r="AK108" s="3"/>
      <c r="AL108" s="3"/>
      <c r="AM108" s="8"/>
      <c r="AN108" s="8"/>
      <c r="AO108" s="3"/>
      <c r="AP108" s="3"/>
      <c r="AQ108" s="3"/>
      <c r="AR108" s="3"/>
      <c r="AS108" s="3"/>
      <c r="AT108" s="8"/>
      <c r="AU108" s="8"/>
      <c r="AV108" s="3"/>
      <c r="AW108" s="3"/>
      <c r="AX108" s="3"/>
      <c r="AY108" s="3"/>
      <c r="AZ108" s="3"/>
      <c r="BA108" s="12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3"/>
      <c r="X109" s="3"/>
      <c r="Y109" s="8"/>
      <c r="Z109" s="8"/>
      <c r="AA109" s="3"/>
      <c r="AB109" s="3"/>
      <c r="AC109" s="3"/>
      <c r="AD109" s="3"/>
      <c r="AE109" s="3"/>
      <c r="AF109" s="8"/>
      <c r="AG109" s="8"/>
      <c r="AH109" s="3"/>
      <c r="AI109" s="3"/>
      <c r="AJ109" s="3"/>
      <c r="AK109" s="3"/>
      <c r="AL109" s="3"/>
      <c r="AM109" s="8"/>
      <c r="AN109" s="8"/>
      <c r="AO109" s="3"/>
      <c r="AP109" s="3"/>
      <c r="AQ109" s="3"/>
      <c r="AR109" s="3"/>
      <c r="AS109" s="3"/>
      <c r="AT109" s="8"/>
      <c r="AU109" s="8"/>
      <c r="AV109" s="3"/>
      <c r="AW109" s="3"/>
      <c r="AX109" s="3"/>
      <c r="AY109" s="3"/>
      <c r="AZ109" s="3"/>
      <c r="BA109" s="12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3"/>
      <c r="X110" s="3"/>
      <c r="Y110" s="8"/>
      <c r="Z110" s="8"/>
      <c r="AA110" s="3"/>
      <c r="AB110" s="3"/>
      <c r="AC110" s="3"/>
      <c r="AD110" s="3"/>
      <c r="AE110" s="3"/>
      <c r="AF110" s="8"/>
      <c r="AG110" s="8"/>
      <c r="AH110" s="3"/>
      <c r="AI110" s="3"/>
      <c r="AJ110" s="3"/>
      <c r="AK110" s="3"/>
      <c r="AL110" s="3"/>
      <c r="AM110" s="8"/>
      <c r="AN110" s="8"/>
      <c r="AO110" s="3"/>
      <c r="AP110" s="3"/>
      <c r="AQ110" s="3"/>
      <c r="AR110" s="3"/>
      <c r="AS110" s="3"/>
      <c r="AT110" s="8"/>
      <c r="AU110" s="8"/>
      <c r="AV110" s="3"/>
      <c r="AW110" s="3"/>
      <c r="AX110" s="3"/>
      <c r="AY110" s="3"/>
      <c r="AZ110" s="3"/>
      <c r="BA110" s="12"/>
      <c r="BB110" s="59"/>
      <c r="BC110" s="59"/>
      <c r="GP110" s="54"/>
      <c r="GQ110" s="54"/>
    </row>
    <row r="111" spans="1:199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3"/>
      <c r="X111" s="3"/>
      <c r="Y111" s="8"/>
      <c r="Z111" s="8"/>
      <c r="AA111" s="3"/>
      <c r="AB111" s="3"/>
      <c r="AC111" s="3"/>
      <c r="AD111" s="3"/>
      <c r="AE111" s="3"/>
      <c r="AF111" s="8"/>
      <c r="AG111" s="8"/>
      <c r="AH111" s="3"/>
      <c r="AI111" s="3"/>
      <c r="AJ111" s="3"/>
      <c r="AK111" s="3"/>
      <c r="AL111" s="3"/>
      <c r="AM111" s="8"/>
      <c r="AN111" s="8"/>
      <c r="AO111" s="3"/>
      <c r="AP111" s="3"/>
      <c r="AQ111" s="3"/>
      <c r="AR111" s="3"/>
      <c r="AS111" s="3"/>
      <c r="AT111" s="8"/>
      <c r="AU111" s="8"/>
      <c r="AV111" s="3"/>
      <c r="AW111" s="3"/>
      <c r="AX111" s="3"/>
      <c r="AY111" s="3"/>
      <c r="AZ111" s="3"/>
      <c r="BA111" s="12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11" priority="2" operator="lessThan">
      <formula>2</formula>
    </cfRule>
  </conditionalFormatting>
  <conditionalFormatting sqref="I12:I111">
    <cfRule type="cellIs" dxfId="10" priority="1" operator="lessThan">
      <formula>10</formula>
    </cfRule>
  </conditionalFormatting>
  <conditionalFormatting sqref="J12:J111">
    <cfRule type="cellIs" dxfId="9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2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B58E70E1-1EE4-4946-A788-AF68CB7EDD7E}">
            <xm:f>Jahresübersicht!$B$48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P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2" width="4.88671875" style="120" customWidth="1"/>
    <col min="53" max="53" width="3" style="121" customWidth="1"/>
    <col min="54" max="54" width="33.88671875" style="54" customWidth="1"/>
    <col min="55" max="55" width="11.44140625" style="58"/>
    <col min="56" max="56" width="7.88671875" style="58" customWidth="1"/>
    <col min="57" max="57" width="6.109375" style="58" customWidth="1"/>
    <col min="58" max="58" width="4.88671875" style="58" customWidth="1"/>
    <col min="59" max="59" width="5.88671875" style="58" customWidth="1"/>
    <col min="60" max="60" width="6.109375" style="58" customWidth="1"/>
    <col min="61" max="61" width="5.88671875" style="58" customWidth="1"/>
    <col min="62" max="62" width="5.109375" style="58" customWidth="1"/>
    <col min="63" max="63" width="6.44140625" style="58" customWidth="1"/>
    <col min="64" max="64" width="5.44140625" style="58" customWidth="1"/>
    <col min="65" max="65" width="6.109375" style="58" customWidth="1"/>
    <col min="66" max="198" width="11.44140625" style="58"/>
    <col min="199" max="16384" width="11.44140625" style="54"/>
  </cols>
  <sheetData>
    <row r="1" spans="1:198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15"/>
      <c r="BB1" s="58"/>
      <c r="BD1" s="59"/>
    </row>
    <row r="2" spans="1:198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17"/>
      <c r="BB2" s="61"/>
      <c r="BC2" s="61"/>
      <c r="BD2" s="62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</row>
    <row r="3" spans="1:198" s="63" customFormat="1" ht="16.8" thickTop="1" thickBot="1" x14ac:dyDescent="0.35">
      <c r="A3" s="64" t="s">
        <v>34</v>
      </c>
      <c r="B3" s="65"/>
      <c r="C3" s="122">
        <v>46327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17"/>
      <c r="BB3" s="61"/>
      <c r="BC3" s="61"/>
      <c r="BD3" s="62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</row>
    <row r="4" spans="1:198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17"/>
      <c r="BB4" s="61"/>
      <c r="BC4" s="61"/>
      <c r="BD4" s="62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</row>
    <row r="5" spans="1:198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17"/>
      <c r="BB5" s="61"/>
      <c r="BC5" s="61"/>
      <c r="BD5" s="62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</row>
    <row r="6" spans="1:198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17"/>
      <c r="BB6" s="61"/>
      <c r="BC6" s="61"/>
      <c r="BD6" s="62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</row>
    <row r="7" spans="1:198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17"/>
      <c r="BB7" s="61"/>
      <c r="BC7" s="61"/>
      <c r="BD7" s="62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</row>
    <row r="8" spans="1:198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17"/>
      <c r="BB8" s="61"/>
      <c r="BC8" s="61"/>
      <c r="BD8" s="62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</row>
    <row r="9" spans="1:198" s="63" customFormat="1" ht="16.8" thickTop="1" thickBot="1" x14ac:dyDescent="0.35">
      <c r="A9" s="83" t="s">
        <v>78</v>
      </c>
      <c r="B9" s="84"/>
      <c r="C9" s="85" t="str">
        <f>Jahresübersicht!E19</f>
        <v>-</v>
      </c>
      <c r="D9" s="13"/>
      <c r="E9" s="13"/>
      <c r="F9" s="13"/>
      <c r="G9" s="13"/>
      <c r="H9" s="13"/>
      <c r="I9" s="13"/>
      <c r="J9" s="13"/>
      <c r="K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17"/>
      <c r="BB9" s="61"/>
      <c r="BC9" s="61"/>
      <c r="BD9" s="62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</row>
    <row r="10" spans="1:198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7"/>
      <c r="BB10" s="61"/>
      <c r="BC10" s="61"/>
      <c r="BD10" s="62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</row>
    <row r="11" spans="1:198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59"/>
      <c r="BB11" s="96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GO11" s="54"/>
      <c r="GP11" s="54"/>
    </row>
    <row r="12" spans="1:198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>(IF(O12="hT",4,0))+(IF(P12="hT",4,0))+(IF(Q12="hT",4,0))+(IF(R12="hT",4,0))+(IF(S12="hT",4,0))+T12+(COUNTIF(W12:AZ12,"hT"))</f>
        <v>0</v>
      </c>
      <c r="N12" s="7">
        <f>(IF(O12="x",4,0))+(IF(P12="x",4,0))+(IF(Q12="x",4,0))+(IF(R12="x",4,0))+(IF(S12="x",4,0))+U12+(COUNTIF(W12:AZ12,"x"))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11"/>
      <c r="X12" s="10"/>
      <c r="Y12" s="10"/>
      <c r="Z12" s="10"/>
      <c r="AA12" s="10"/>
      <c r="AB12" s="10"/>
      <c r="AC12" s="11"/>
      <c r="AD12" s="11"/>
      <c r="AE12" s="10"/>
      <c r="AF12" s="10"/>
      <c r="AG12" s="10"/>
      <c r="AH12" s="10"/>
      <c r="AI12" s="10"/>
      <c r="AJ12" s="11"/>
      <c r="AK12" s="11"/>
      <c r="AL12" s="10"/>
      <c r="AM12" s="10"/>
      <c r="AN12" s="10"/>
      <c r="AO12" s="10"/>
      <c r="AP12" s="10"/>
      <c r="AQ12" s="11"/>
      <c r="AR12" s="11"/>
      <c r="AS12" s="10"/>
      <c r="AT12" s="10"/>
      <c r="AU12" s="3"/>
      <c r="AV12" s="10"/>
      <c r="AW12" s="3"/>
      <c r="AX12" s="8"/>
      <c r="AY12" s="127"/>
      <c r="AZ12" s="5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GO12" s="54"/>
      <c r="GP12" s="54"/>
    </row>
    <row r="13" spans="1:198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2">IF(ISBLANK(E13),"",E13*10)</f>
        <v/>
      </c>
      <c r="H13" s="100" t="str">
        <f t="shared" ref="H13:H111" si="3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4">IF(M13=E13,"","X")</f>
        <v/>
      </c>
      <c r="L13" s="6" t="str">
        <f t="shared" si="4"/>
        <v/>
      </c>
      <c r="M13" s="6">
        <f t="shared" ref="M13:M76" si="5">(IF(O13="hT",4,0))+(IF(P13="hT",4,0))+(IF(Q13="hT",4,0))+(IF(R13="hT",4,0))+(IF(S13="hT",4,0))+T13+(COUNTIF(W13:AZ13,"hT"))</f>
        <v>0</v>
      </c>
      <c r="N13" s="7">
        <f t="shared" ref="N13:N76" si="6">(IF(O13="x",4,0))+(IF(P13="x",4,0))+(IF(Q13="x",4,0))+(IF(R13="x",4,0))+(IF(S13="x",4,0))+U13+(COUNTIF(W13:AZ13,"x"))</f>
        <v>0</v>
      </c>
      <c r="O13" s="4"/>
      <c r="P13" s="3"/>
      <c r="Q13" s="3"/>
      <c r="R13" s="3"/>
      <c r="S13" s="3"/>
      <c r="T13" s="3"/>
      <c r="U13" s="5"/>
      <c r="V13" s="125"/>
      <c r="W13" s="8"/>
      <c r="X13" s="3"/>
      <c r="Y13" s="3"/>
      <c r="Z13" s="3"/>
      <c r="AA13" s="3"/>
      <c r="AB13" s="3"/>
      <c r="AC13" s="8"/>
      <c r="AD13" s="8"/>
      <c r="AE13" s="3"/>
      <c r="AF13" s="3"/>
      <c r="AG13" s="3"/>
      <c r="AH13" s="3"/>
      <c r="AI13" s="3"/>
      <c r="AJ13" s="8"/>
      <c r="AK13" s="8"/>
      <c r="AL13" s="3"/>
      <c r="AM13" s="3"/>
      <c r="AN13" s="3"/>
      <c r="AO13" s="3"/>
      <c r="AP13" s="3"/>
      <c r="AQ13" s="8"/>
      <c r="AR13" s="8"/>
      <c r="AS13" s="3"/>
      <c r="AT13" s="3"/>
      <c r="AU13" s="3"/>
      <c r="AV13" s="3"/>
      <c r="AW13" s="3"/>
      <c r="AX13" s="8"/>
      <c r="AY13" s="127"/>
      <c r="AZ13" s="5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GO13" s="54"/>
      <c r="GP13" s="54"/>
    </row>
    <row r="14" spans="1:198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2"/>
        <v/>
      </c>
      <c r="H14" s="100" t="str">
        <f t="shared" si="3"/>
        <v/>
      </c>
      <c r="I14" s="101">
        <f t="shared" si="0"/>
        <v>0</v>
      </c>
      <c r="J14" s="100" t="str">
        <f t="shared" si="1"/>
        <v/>
      </c>
      <c r="K14" s="6" t="str">
        <f t="shared" si="4"/>
        <v/>
      </c>
      <c r="L14" s="6" t="str">
        <f t="shared" si="4"/>
        <v/>
      </c>
      <c r="M14" s="6">
        <f t="shared" si="5"/>
        <v>0</v>
      </c>
      <c r="N14" s="7">
        <f t="shared" si="6"/>
        <v>0</v>
      </c>
      <c r="O14" s="4"/>
      <c r="P14" s="3"/>
      <c r="Q14" s="3"/>
      <c r="R14" s="3"/>
      <c r="S14" s="3"/>
      <c r="T14" s="3"/>
      <c r="U14" s="5"/>
      <c r="V14" s="125"/>
      <c r="W14" s="8"/>
      <c r="X14" s="3"/>
      <c r="Y14" s="3"/>
      <c r="Z14" s="3"/>
      <c r="AA14" s="3"/>
      <c r="AB14" s="3"/>
      <c r="AC14" s="8"/>
      <c r="AD14" s="8"/>
      <c r="AE14" s="3"/>
      <c r="AF14" s="3"/>
      <c r="AG14" s="3"/>
      <c r="AH14" s="3"/>
      <c r="AI14" s="3"/>
      <c r="AJ14" s="8"/>
      <c r="AK14" s="8"/>
      <c r="AL14" s="3"/>
      <c r="AM14" s="3"/>
      <c r="AN14" s="3"/>
      <c r="AO14" s="3"/>
      <c r="AP14" s="3"/>
      <c r="AQ14" s="8"/>
      <c r="AR14" s="8"/>
      <c r="AS14" s="3"/>
      <c r="AT14" s="3"/>
      <c r="AU14" s="3"/>
      <c r="AV14" s="3"/>
      <c r="AW14" s="3"/>
      <c r="AX14" s="8"/>
      <c r="AY14" s="127"/>
      <c r="AZ14" s="5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GO14" s="54"/>
      <c r="GP14" s="54"/>
    </row>
    <row r="15" spans="1:198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2"/>
        <v/>
      </c>
      <c r="H15" s="100" t="str">
        <f t="shared" si="3"/>
        <v/>
      </c>
      <c r="I15" s="101">
        <f t="shared" si="0"/>
        <v>0</v>
      </c>
      <c r="J15" s="100" t="str">
        <f t="shared" si="1"/>
        <v/>
      </c>
      <c r="K15" s="6" t="str">
        <f t="shared" si="4"/>
        <v/>
      </c>
      <c r="L15" s="6" t="str">
        <f t="shared" si="4"/>
        <v/>
      </c>
      <c r="M15" s="6">
        <f t="shared" si="5"/>
        <v>0</v>
      </c>
      <c r="N15" s="7">
        <f t="shared" si="6"/>
        <v>0</v>
      </c>
      <c r="O15" s="4"/>
      <c r="P15" s="3"/>
      <c r="Q15" s="3"/>
      <c r="R15" s="3"/>
      <c r="S15" s="3"/>
      <c r="T15" s="3"/>
      <c r="U15" s="5"/>
      <c r="V15" s="125"/>
      <c r="W15" s="8"/>
      <c r="X15" s="3"/>
      <c r="Y15" s="3"/>
      <c r="Z15" s="3"/>
      <c r="AA15" s="3"/>
      <c r="AB15" s="3"/>
      <c r="AC15" s="8"/>
      <c r="AD15" s="8"/>
      <c r="AE15" s="3"/>
      <c r="AF15" s="3"/>
      <c r="AG15" s="3"/>
      <c r="AH15" s="3"/>
      <c r="AI15" s="3"/>
      <c r="AJ15" s="8"/>
      <c r="AK15" s="8"/>
      <c r="AL15" s="3"/>
      <c r="AM15" s="3"/>
      <c r="AN15" s="3"/>
      <c r="AO15" s="3"/>
      <c r="AP15" s="3"/>
      <c r="AQ15" s="8"/>
      <c r="AR15" s="8"/>
      <c r="AS15" s="3"/>
      <c r="AT15" s="3"/>
      <c r="AU15" s="3"/>
      <c r="AV15" s="3"/>
      <c r="AW15" s="3"/>
      <c r="AX15" s="8"/>
      <c r="AY15" s="127"/>
      <c r="AZ15" s="5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GO15" s="54"/>
      <c r="GP15" s="54"/>
    </row>
    <row r="16" spans="1:198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2"/>
        <v/>
      </c>
      <c r="H16" s="100" t="str">
        <f t="shared" si="3"/>
        <v/>
      </c>
      <c r="I16" s="101">
        <f t="shared" si="0"/>
        <v>0</v>
      </c>
      <c r="J16" s="100" t="str">
        <f t="shared" si="1"/>
        <v/>
      </c>
      <c r="K16" s="6" t="str">
        <f t="shared" si="4"/>
        <v/>
      </c>
      <c r="L16" s="6" t="str">
        <f t="shared" si="4"/>
        <v/>
      </c>
      <c r="M16" s="6">
        <f t="shared" si="5"/>
        <v>0</v>
      </c>
      <c r="N16" s="7">
        <f t="shared" si="6"/>
        <v>0</v>
      </c>
      <c r="O16" s="4"/>
      <c r="P16" s="3"/>
      <c r="Q16" s="3"/>
      <c r="R16" s="3"/>
      <c r="S16" s="3"/>
      <c r="T16" s="3"/>
      <c r="U16" s="5"/>
      <c r="V16" s="125"/>
      <c r="W16" s="8"/>
      <c r="X16" s="3"/>
      <c r="Y16" s="3"/>
      <c r="Z16" s="3"/>
      <c r="AA16" s="3"/>
      <c r="AB16" s="3"/>
      <c r="AC16" s="8"/>
      <c r="AD16" s="8"/>
      <c r="AE16" s="3"/>
      <c r="AF16" s="3"/>
      <c r="AG16" s="3"/>
      <c r="AH16" s="3"/>
      <c r="AI16" s="3"/>
      <c r="AJ16" s="8"/>
      <c r="AK16" s="8"/>
      <c r="AL16" s="3"/>
      <c r="AM16" s="3"/>
      <c r="AN16" s="3"/>
      <c r="AO16" s="3"/>
      <c r="AP16" s="3"/>
      <c r="AQ16" s="8"/>
      <c r="AR16" s="8"/>
      <c r="AS16" s="3"/>
      <c r="AT16" s="3"/>
      <c r="AU16" s="3"/>
      <c r="AV16" s="3"/>
      <c r="AW16" s="3"/>
      <c r="AX16" s="8"/>
      <c r="AY16" s="127"/>
      <c r="AZ16" s="5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GO16" s="54"/>
      <c r="GP16" s="54"/>
    </row>
    <row r="17" spans="1:198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2"/>
        <v/>
      </c>
      <c r="H17" s="100" t="str">
        <f t="shared" si="3"/>
        <v/>
      </c>
      <c r="I17" s="101">
        <f t="shared" si="0"/>
        <v>0</v>
      </c>
      <c r="J17" s="100" t="str">
        <f t="shared" si="1"/>
        <v/>
      </c>
      <c r="K17" s="6" t="str">
        <f t="shared" si="4"/>
        <v/>
      </c>
      <c r="L17" s="6" t="str">
        <f t="shared" si="4"/>
        <v/>
      </c>
      <c r="M17" s="6">
        <f t="shared" si="5"/>
        <v>0</v>
      </c>
      <c r="N17" s="7">
        <f t="shared" si="6"/>
        <v>0</v>
      </c>
      <c r="O17" s="4"/>
      <c r="P17" s="3"/>
      <c r="Q17" s="3"/>
      <c r="R17" s="3"/>
      <c r="S17" s="3"/>
      <c r="T17" s="3"/>
      <c r="U17" s="5"/>
      <c r="V17" s="125"/>
      <c r="W17" s="8"/>
      <c r="X17" s="3"/>
      <c r="Y17" s="3"/>
      <c r="Z17" s="3"/>
      <c r="AA17" s="3"/>
      <c r="AB17" s="3"/>
      <c r="AC17" s="8"/>
      <c r="AD17" s="8"/>
      <c r="AE17" s="3"/>
      <c r="AF17" s="3"/>
      <c r="AG17" s="3"/>
      <c r="AH17" s="3"/>
      <c r="AI17" s="3"/>
      <c r="AJ17" s="8"/>
      <c r="AK17" s="8"/>
      <c r="AL17" s="3"/>
      <c r="AM17" s="3"/>
      <c r="AN17" s="3"/>
      <c r="AO17" s="3"/>
      <c r="AP17" s="3"/>
      <c r="AQ17" s="8"/>
      <c r="AR17" s="8"/>
      <c r="AS17" s="3"/>
      <c r="AT17" s="3"/>
      <c r="AU17" s="3"/>
      <c r="AV17" s="3"/>
      <c r="AW17" s="3"/>
      <c r="AX17" s="8"/>
      <c r="AY17" s="127"/>
      <c r="AZ17" s="5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GO17" s="54"/>
      <c r="GP17" s="54"/>
    </row>
    <row r="18" spans="1:198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2"/>
        <v/>
      </c>
      <c r="H18" s="100" t="str">
        <f t="shared" si="3"/>
        <v/>
      </c>
      <c r="I18" s="101">
        <f t="shared" si="0"/>
        <v>0</v>
      </c>
      <c r="J18" s="100" t="str">
        <f t="shared" si="1"/>
        <v/>
      </c>
      <c r="K18" s="6" t="str">
        <f t="shared" si="4"/>
        <v/>
      </c>
      <c r="L18" s="6" t="str">
        <f t="shared" si="4"/>
        <v/>
      </c>
      <c r="M18" s="6">
        <f t="shared" si="5"/>
        <v>0</v>
      </c>
      <c r="N18" s="7">
        <f t="shared" si="6"/>
        <v>0</v>
      </c>
      <c r="O18" s="4"/>
      <c r="P18" s="3"/>
      <c r="Q18" s="3"/>
      <c r="R18" s="3"/>
      <c r="S18" s="3"/>
      <c r="T18" s="3"/>
      <c r="U18" s="5"/>
      <c r="V18" s="125"/>
      <c r="W18" s="8"/>
      <c r="X18" s="3"/>
      <c r="Y18" s="3"/>
      <c r="Z18" s="3"/>
      <c r="AA18" s="3"/>
      <c r="AB18" s="3"/>
      <c r="AC18" s="8"/>
      <c r="AD18" s="8"/>
      <c r="AE18" s="3"/>
      <c r="AF18" s="3"/>
      <c r="AG18" s="3"/>
      <c r="AH18" s="3"/>
      <c r="AI18" s="3"/>
      <c r="AJ18" s="8"/>
      <c r="AK18" s="8"/>
      <c r="AL18" s="3"/>
      <c r="AM18" s="3"/>
      <c r="AN18" s="3"/>
      <c r="AO18" s="3"/>
      <c r="AP18" s="3"/>
      <c r="AQ18" s="8"/>
      <c r="AR18" s="8"/>
      <c r="AS18" s="3"/>
      <c r="AT18" s="3"/>
      <c r="AU18" s="3"/>
      <c r="AV18" s="3"/>
      <c r="AW18" s="3"/>
      <c r="AX18" s="8"/>
      <c r="AY18" s="127"/>
      <c r="AZ18" s="5"/>
      <c r="BA18" s="58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GO18" s="54"/>
      <c r="GP18" s="54"/>
    </row>
    <row r="19" spans="1:198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2"/>
        <v/>
      </c>
      <c r="H19" s="100" t="str">
        <f t="shared" si="3"/>
        <v/>
      </c>
      <c r="I19" s="101">
        <f t="shared" si="0"/>
        <v>0</v>
      </c>
      <c r="J19" s="100" t="str">
        <f t="shared" si="1"/>
        <v/>
      </c>
      <c r="K19" s="6" t="str">
        <f t="shared" si="4"/>
        <v/>
      </c>
      <c r="L19" s="6" t="str">
        <f t="shared" si="4"/>
        <v/>
      </c>
      <c r="M19" s="6">
        <f t="shared" si="5"/>
        <v>0</v>
      </c>
      <c r="N19" s="7">
        <f t="shared" si="6"/>
        <v>0</v>
      </c>
      <c r="O19" s="4"/>
      <c r="P19" s="3"/>
      <c r="Q19" s="3"/>
      <c r="R19" s="3"/>
      <c r="S19" s="3"/>
      <c r="T19" s="3"/>
      <c r="U19" s="5"/>
      <c r="V19" s="125"/>
      <c r="W19" s="8"/>
      <c r="X19" s="3"/>
      <c r="Y19" s="3"/>
      <c r="Z19" s="3"/>
      <c r="AA19" s="3"/>
      <c r="AB19" s="3"/>
      <c r="AC19" s="8"/>
      <c r="AD19" s="8"/>
      <c r="AE19" s="3"/>
      <c r="AF19" s="3"/>
      <c r="AG19" s="3"/>
      <c r="AH19" s="3"/>
      <c r="AI19" s="3"/>
      <c r="AJ19" s="8"/>
      <c r="AK19" s="8"/>
      <c r="AL19" s="3"/>
      <c r="AM19" s="3"/>
      <c r="AN19" s="3"/>
      <c r="AO19" s="3"/>
      <c r="AP19" s="3"/>
      <c r="AQ19" s="8"/>
      <c r="AR19" s="8"/>
      <c r="AS19" s="3"/>
      <c r="AT19" s="3"/>
      <c r="AU19" s="3"/>
      <c r="AV19" s="3"/>
      <c r="AW19" s="3"/>
      <c r="AX19" s="8"/>
      <c r="AY19" s="127"/>
      <c r="AZ19" s="5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GO19" s="54"/>
      <c r="GP19" s="54"/>
    </row>
    <row r="20" spans="1:198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2"/>
        <v/>
      </c>
      <c r="H20" s="100" t="str">
        <f t="shared" si="3"/>
        <v/>
      </c>
      <c r="I20" s="101">
        <f t="shared" si="0"/>
        <v>0</v>
      </c>
      <c r="J20" s="100" t="str">
        <f t="shared" si="1"/>
        <v/>
      </c>
      <c r="K20" s="6" t="str">
        <f t="shared" si="4"/>
        <v/>
      </c>
      <c r="L20" s="6" t="str">
        <f t="shared" si="4"/>
        <v/>
      </c>
      <c r="M20" s="6">
        <f t="shared" si="5"/>
        <v>0</v>
      </c>
      <c r="N20" s="7">
        <f t="shared" si="6"/>
        <v>0</v>
      </c>
      <c r="O20" s="4"/>
      <c r="P20" s="3"/>
      <c r="Q20" s="3"/>
      <c r="R20" s="3"/>
      <c r="S20" s="3"/>
      <c r="T20" s="3"/>
      <c r="U20" s="5"/>
      <c r="V20" s="125"/>
      <c r="W20" s="8"/>
      <c r="X20" s="3"/>
      <c r="Y20" s="3"/>
      <c r="Z20" s="3"/>
      <c r="AA20" s="3"/>
      <c r="AB20" s="3"/>
      <c r="AC20" s="8"/>
      <c r="AD20" s="8"/>
      <c r="AE20" s="3"/>
      <c r="AF20" s="3"/>
      <c r="AG20" s="3"/>
      <c r="AH20" s="3"/>
      <c r="AI20" s="3"/>
      <c r="AJ20" s="8"/>
      <c r="AK20" s="8"/>
      <c r="AL20" s="3"/>
      <c r="AM20" s="3"/>
      <c r="AN20" s="3"/>
      <c r="AO20" s="3"/>
      <c r="AP20" s="3"/>
      <c r="AQ20" s="8"/>
      <c r="AR20" s="8"/>
      <c r="AS20" s="3"/>
      <c r="AT20" s="3"/>
      <c r="AU20" s="3"/>
      <c r="AV20" s="3"/>
      <c r="AW20" s="3"/>
      <c r="AX20" s="8"/>
      <c r="AY20" s="127"/>
      <c r="AZ20" s="5"/>
      <c r="BA20" s="58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GO20" s="54"/>
      <c r="GP20" s="54"/>
    </row>
    <row r="21" spans="1:198" ht="15" customHeight="1" thickBot="1" x14ac:dyDescent="0.3">
      <c r="A21" s="97">
        <v>10</v>
      </c>
      <c r="B21" s="103"/>
      <c r="C21" s="104"/>
      <c r="D21" s="1"/>
      <c r="E21" s="105"/>
      <c r="F21" s="105"/>
      <c r="G21" s="100" t="str">
        <f t="shared" ref="G21:G76" si="7">IF(ISBLANK(E21),"",E21*10)</f>
        <v/>
      </c>
      <c r="H21" s="100" t="str">
        <f t="shared" ref="H21:H76" si="8">IF(ISBLANK(F21),"",F21*20)</f>
        <v/>
      </c>
      <c r="I21" s="101">
        <f t="shared" ref="I21:I76" si="9">SUM(G21,H21)</f>
        <v>0</v>
      </c>
      <c r="J21" s="100" t="str">
        <f t="shared" si="1"/>
        <v/>
      </c>
      <c r="K21" s="6" t="str">
        <f t="shared" ref="K21:K76" si="10">IF(M21=E21,"","X")</f>
        <v/>
      </c>
      <c r="L21" s="6" t="str">
        <f t="shared" ref="L21:L76" si="11">IF(N21=F21,"","X")</f>
        <v/>
      </c>
      <c r="M21" s="6">
        <f t="shared" si="5"/>
        <v>0</v>
      </c>
      <c r="N21" s="7">
        <f t="shared" si="6"/>
        <v>0</v>
      </c>
      <c r="O21" s="4"/>
      <c r="P21" s="3"/>
      <c r="Q21" s="3"/>
      <c r="R21" s="3"/>
      <c r="S21" s="3"/>
      <c r="T21" s="3"/>
      <c r="U21" s="5"/>
      <c r="V21" s="125"/>
      <c r="W21" s="8"/>
      <c r="X21" s="3"/>
      <c r="Y21" s="3"/>
      <c r="Z21" s="3"/>
      <c r="AA21" s="3"/>
      <c r="AB21" s="3"/>
      <c r="AC21" s="8"/>
      <c r="AD21" s="8"/>
      <c r="AE21" s="3"/>
      <c r="AF21" s="3"/>
      <c r="AG21" s="3"/>
      <c r="AH21" s="3"/>
      <c r="AI21" s="3"/>
      <c r="AJ21" s="8"/>
      <c r="AK21" s="8"/>
      <c r="AL21" s="3"/>
      <c r="AM21" s="3"/>
      <c r="AN21" s="3"/>
      <c r="AO21" s="3"/>
      <c r="AP21" s="3"/>
      <c r="AQ21" s="8"/>
      <c r="AR21" s="8"/>
      <c r="AS21" s="3"/>
      <c r="AT21" s="3"/>
      <c r="AU21" s="3"/>
      <c r="AV21" s="3"/>
      <c r="AW21" s="3"/>
      <c r="AX21" s="8"/>
      <c r="AY21" s="127"/>
      <c r="AZ21" s="5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GO21" s="54"/>
      <c r="GP21" s="54"/>
    </row>
    <row r="22" spans="1:198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5"/>
        <v>0</v>
      </c>
      <c r="N22" s="7">
        <f t="shared" si="6"/>
        <v>0</v>
      </c>
      <c r="O22" s="4"/>
      <c r="P22" s="3"/>
      <c r="Q22" s="3"/>
      <c r="R22" s="3"/>
      <c r="S22" s="3"/>
      <c r="T22" s="3"/>
      <c r="U22" s="5"/>
      <c r="V22" s="125"/>
      <c r="W22" s="8"/>
      <c r="X22" s="3"/>
      <c r="Y22" s="3"/>
      <c r="Z22" s="3"/>
      <c r="AA22" s="3"/>
      <c r="AB22" s="3"/>
      <c r="AC22" s="8"/>
      <c r="AD22" s="8"/>
      <c r="AE22" s="3"/>
      <c r="AF22" s="3"/>
      <c r="AG22" s="3"/>
      <c r="AH22" s="3"/>
      <c r="AI22" s="3"/>
      <c r="AJ22" s="8"/>
      <c r="AK22" s="8"/>
      <c r="AL22" s="3"/>
      <c r="AM22" s="3"/>
      <c r="AN22" s="3"/>
      <c r="AO22" s="3"/>
      <c r="AP22" s="3"/>
      <c r="AQ22" s="8"/>
      <c r="AR22" s="8"/>
      <c r="AS22" s="3"/>
      <c r="AT22" s="3"/>
      <c r="AU22" s="3"/>
      <c r="AV22" s="3"/>
      <c r="AW22" s="3"/>
      <c r="AX22" s="8"/>
      <c r="AY22" s="127"/>
      <c r="AZ22" s="5"/>
      <c r="BA22" s="58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GO22" s="54"/>
      <c r="GP22" s="54"/>
    </row>
    <row r="23" spans="1:198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5"/>
        <v>0</v>
      </c>
      <c r="N23" s="7">
        <f t="shared" si="6"/>
        <v>0</v>
      </c>
      <c r="O23" s="4"/>
      <c r="P23" s="3"/>
      <c r="Q23" s="3"/>
      <c r="R23" s="3"/>
      <c r="S23" s="3"/>
      <c r="T23" s="3"/>
      <c r="U23" s="5"/>
      <c r="V23" s="125"/>
      <c r="W23" s="8"/>
      <c r="X23" s="3"/>
      <c r="Y23" s="3"/>
      <c r="Z23" s="3"/>
      <c r="AA23" s="3"/>
      <c r="AB23" s="3"/>
      <c r="AC23" s="8"/>
      <c r="AD23" s="8"/>
      <c r="AE23" s="3"/>
      <c r="AF23" s="3"/>
      <c r="AG23" s="3"/>
      <c r="AH23" s="3"/>
      <c r="AI23" s="3"/>
      <c r="AJ23" s="8"/>
      <c r="AK23" s="8"/>
      <c r="AL23" s="3"/>
      <c r="AM23" s="3"/>
      <c r="AN23" s="3"/>
      <c r="AO23" s="3"/>
      <c r="AP23" s="3"/>
      <c r="AQ23" s="8"/>
      <c r="AR23" s="8"/>
      <c r="AS23" s="3"/>
      <c r="AT23" s="3"/>
      <c r="AU23" s="3"/>
      <c r="AV23" s="3"/>
      <c r="AW23" s="3"/>
      <c r="AX23" s="8"/>
      <c r="AY23" s="127"/>
      <c r="AZ23" s="5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GO23" s="54"/>
      <c r="GP23" s="54"/>
    </row>
    <row r="24" spans="1:198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5"/>
        <v>0</v>
      </c>
      <c r="N24" s="7">
        <f t="shared" si="6"/>
        <v>0</v>
      </c>
      <c r="O24" s="4"/>
      <c r="P24" s="3"/>
      <c r="Q24" s="3"/>
      <c r="R24" s="3"/>
      <c r="S24" s="3"/>
      <c r="T24" s="3"/>
      <c r="U24" s="5"/>
      <c r="V24" s="125"/>
      <c r="W24" s="8"/>
      <c r="X24" s="3"/>
      <c r="Y24" s="3"/>
      <c r="Z24" s="3"/>
      <c r="AA24" s="3"/>
      <c r="AB24" s="3"/>
      <c r="AC24" s="8"/>
      <c r="AD24" s="8"/>
      <c r="AE24" s="3"/>
      <c r="AF24" s="3"/>
      <c r="AG24" s="3"/>
      <c r="AH24" s="3"/>
      <c r="AI24" s="3"/>
      <c r="AJ24" s="8"/>
      <c r="AK24" s="8"/>
      <c r="AL24" s="3"/>
      <c r="AM24" s="3"/>
      <c r="AN24" s="3"/>
      <c r="AO24" s="3"/>
      <c r="AP24" s="3"/>
      <c r="AQ24" s="8"/>
      <c r="AR24" s="8"/>
      <c r="AS24" s="3"/>
      <c r="AT24" s="3"/>
      <c r="AU24" s="3"/>
      <c r="AV24" s="3"/>
      <c r="AW24" s="3"/>
      <c r="AX24" s="8"/>
      <c r="AY24" s="127"/>
      <c r="AZ24" s="5"/>
      <c r="BA24" s="58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GO24" s="54"/>
      <c r="GP24" s="54"/>
    </row>
    <row r="25" spans="1:198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5"/>
        <v>0</v>
      </c>
      <c r="N25" s="7">
        <f t="shared" si="6"/>
        <v>0</v>
      </c>
      <c r="O25" s="4"/>
      <c r="P25" s="3"/>
      <c r="Q25" s="3"/>
      <c r="R25" s="3"/>
      <c r="S25" s="3"/>
      <c r="T25" s="3"/>
      <c r="U25" s="5"/>
      <c r="V25" s="125"/>
      <c r="W25" s="8"/>
      <c r="X25" s="3"/>
      <c r="Y25" s="3"/>
      <c r="Z25" s="3"/>
      <c r="AA25" s="3"/>
      <c r="AB25" s="3"/>
      <c r="AC25" s="8"/>
      <c r="AD25" s="8"/>
      <c r="AE25" s="3"/>
      <c r="AF25" s="3"/>
      <c r="AG25" s="3"/>
      <c r="AH25" s="3"/>
      <c r="AI25" s="3"/>
      <c r="AJ25" s="8"/>
      <c r="AK25" s="8"/>
      <c r="AL25" s="3"/>
      <c r="AM25" s="3"/>
      <c r="AN25" s="3"/>
      <c r="AO25" s="3"/>
      <c r="AP25" s="3"/>
      <c r="AQ25" s="8"/>
      <c r="AR25" s="8"/>
      <c r="AS25" s="3"/>
      <c r="AT25" s="3"/>
      <c r="AU25" s="3"/>
      <c r="AV25" s="3"/>
      <c r="AW25" s="3"/>
      <c r="AX25" s="8"/>
      <c r="AY25" s="127"/>
      <c r="AZ25" s="5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GO25" s="54"/>
      <c r="GP25" s="54"/>
    </row>
    <row r="26" spans="1:198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5"/>
        <v>0</v>
      </c>
      <c r="N26" s="7">
        <f t="shared" si="6"/>
        <v>0</v>
      </c>
      <c r="O26" s="4"/>
      <c r="P26" s="3"/>
      <c r="Q26" s="3"/>
      <c r="R26" s="3"/>
      <c r="S26" s="3"/>
      <c r="T26" s="3"/>
      <c r="U26" s="5"/>
      <c r="V26" s="125"/>
      <c r="W26" s="8"/>
      <c r="X26" s="3"/>
      <c r="Y26" s="3"/>
      <c r="Z26" s="3"/>
      <c r="AA26" s="3"/>
      <c r="AB26" s="3"/>
      <c r="AC26" s="8"/>
      <c r="AD26" s="8"/>
      <c r="AE26" s="3"/>
      <c r="AF26" s="3"/>
      <c r="AG26" s="3"/>
      <c r="AH26" s="3"/>
      <c r="AI26" s="3"/>
      <c r="AJ26" s="8"/>
      <c r="AK26" s="8"/>
      <c r="AL26" s="3"/>
      <c r="AM26" s="3"/>
      <c r="AN26" s="3"/>
      <c r="AO26" s="3"/>
      <c r="AP26" s="3"/>
      <c r="AQ26" s="8"/>
      <c r="AR26" s="8"/>
      <c r="AS26" s="3"/>
      <c r="AT26" s="3"/>
      <c r="AU26" s="3"/>
      <c r="AV26" s="3"/>
      <c r="AW26" s="3"/>
      <c r="AX26" s="8"/>
      <c r="AY26" s="127"/>
      <c r="AZ26" s="5"/>
      <c r="BA26" s="58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GO26" s="54"/>
      <c r="GP26" s="54"/>
    </row>
    <row r="27" spans="1:198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5"/>
        <v>0</v>
      </c>
      <c r="N27" s="7">
        <f t="shared" si="6"/>
        <v>0</v>
      </c>
      <c r="O27" s="4"/>
      <c r="P27" s="3"/>
      <c r="Q27" s="3"/>
      <c r="R27" s="3"/>
      <c r="S27" s="3"/>
      <c r="T27" s="3"/>
      <c r="U27" s="5"/>
      <c r="V27" s="125"/>
      <c r="W27" s="8"/>
      <c r="X27" s="3"/>
      <c r="Y27" s="3"/>
      <c r="Z27" s="3"/>
      <c r="AA27" s="3"/>
      <c r="AB27" s="3"/>
      <c r="AC27" s="8"/>
      <c r="AD27" s="8"/>
      <c r="AE27" s="3"/>
      <c r="AF27" s="3"/>
      <c r="AG27" s="3"/>
      <c r="AH27" s="3"/>
      <c r="AI27" s="3"/>
      <c r="AJ27" s="8"/>
      <c r="AK27" s="8"/>
      <c r="AL27" s="3"/>
      <c r="AM27" s="3"/>
      <c r="AN27" s="3"/>
      <c r="AO27" s="3"/>
      <c r="AP27" s="3"/>
      <c r="AQ27" s="8"/>
      <c r="AR27" s="8"/>
      <c r="AS27" s="3"/>
      <c r="AT27" s="3"/>
      <c r="AU27" s="3"/>
      <c r="AV27" s="3"/>
      <c r="AW27" s="3"/>
      <c r="AX27" s="8"/>
      <c r="AY27" s="127"/>
      <c r="AZ27" s="5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GO27" s="54"/>
      <c r="GP27" s="54"/>
    </row>
    <row r="28" spans="1:198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5"/>
        <v>0</v>
      </c>
      <c r="N28" s="7">
        <f t="shared" si="6"/>
        <v>0</v>
      </c>
      <c r="O28" s="4"/>
      <c r="P28" s="3"/>
      <c r="Q28" s="3"/>
      <c r="R28" s="3"/>
      <c r="S28" s="3"/>
      <c r="T28" s="3"/>
      <c r="U28" s="5"/>
      <c r="V28" s="125"/>
      <c r="W28" s="8"/>
      <c r="X28" s="3"/>
      <c r="Y28" s="3"/>
      <c r="Z28" s="3"/>
      <c r="AA28" s="3"/>
      <c r="AB28" s="3"/>
      <c r="AC28" s="8"/>
      <c r="AD28" s="8"/>
      <c r="AE28" s="3"/>
      <c r="AF28" s="3"/>
      <c r="AG28" s="3"/>
      <c r="AH28" s="3"/>
      <c r="AI28" s="3"/>
      <c r="AJ28" s="8"/>
      <c r="AK28" s="8"/>
      <c r="AL28" s="3"/>
      <c r="AM28" s="3"/>
      <c r="AN28" s="3"/>
      <c r="AO28" s="3"/>
      <c r="AP28" s="3"/>
      <c r="AQ28" s="8"/>
      <c r="AR28" s="8"/>
      <c r="AS28" s="3"/>
      <c r="AT28" s="3"/>
      <c r="AU28" s="3"/>
      <c r="AV28" s="3"/>
      <c r="AW28" s="3"/>
      <c r="AX28" s="8"/>
      <c r="AY28" s="127"/>
      <c r="AZ28" s="5"/>
      <c r="BA28" s="58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GO28" s="54"/>
      <c r="GP28" s="54"/>
    </row>
    <row r="29" spans="1:198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5"/>
        <v>0</v>
      </c>
      <c r="N29" s="7">
        <f t="shared" si="6"/>
        <v>0</v>
      </c>
      <c r="O29" s="4"/>
      <c r="P29" s="3"/>
      <c r="Q29" s="3"/>
      <c r="R29" s="3"/>
      <c r="S29" s="3"/>
      <c r="T29" s="3"/>
      <c r="U29" s="5"/>
      <c r="V29" s="125"/>
      <c r="W29" s="8"/>
      <c r="X29" s="3"/>
      <c r="Y29" s="3"/>
      <c r="Z29" s="3"/>
      <c r="AA29" s="3"/>
      <c r="AB29" s="3"/>
      <c r="AC29" s="8"/>
      <c r="AD29" s="8"/>
      <c r="AE29" s="3"/>
      <c r="AF29" s="3"/>
      <c r="AG29" s="3"/>
      <c r="AH29" s="3"/>
      <c r="AI29" s="3"/>
      <c r="AJ29" s="8"/>
      <c r="AK29" s="8"/>
      <c r="AL29" s="3"/>
      <c r="AM29" s="3"/>
      <c r="AN29" s="3"/>
      <c r="AO29" s="3"/>
      <c r="AP29" s="3"/>
      <c r="AQ29" s="8"/>
      <c r="AR29" s="8"/>
      <c r="AS29" s="3"/>
      <c r="AT29" s="3"/>
      <c r="AU29" s="3"/>
      <c r="AV29" s="3"/>
      <c r="AW29" s="3"/>
      <c r="AX29" s="8"/>
      <c r="AY29" s="127"/>
      <c r="AZ29" s="5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GO29" s="54"/>
      <c r="GP29" s="54"/>
    </row>
    <row r="30" spans="1:198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5"/>
        <v>0</v>
      </c>
      <c r="N30" s="7">
        <f t="shared" si="6"/>
        <v>0</v>
      </c>
      <c r="O30" s="4"/>
      <c r="P30" s="3"/>
      <c r="Q30" s="3"/>
      <c r="R30" s="3"/>
      <c r="S30" s="3"/>
      <c r="T30" s="3"/>
      <c r="U30" s="5"/>
      <c r="V30" s="125"/>
      <c r="W30" s="8"/>
      <c r="X30" s="3"/>
      <c r="Y30" s="3"/>
      <c r="Z30" s="3"/>
      <c r="AA30" s="3"/>
      <c r="AB30" s="3"/>
      <c r="AC30" s="8"/>
      <c r="AD30" s="8"/>
      <c r="AE30" s="3"/>
      <c r="AF30" s="3"/>
      <c r="AG30" s="3"/>
      <c r="AH30" s="3"/>
      <c r="AI30" s="3"/>
      <c r="AJ30" s="8"/>
      <c r="AK30" s="8"/>
      <c r="AL30" s="3"/>
      <c r="AM30" s="3"/>
      <c r="AN30" s="3"/>
      <c r="AO30" s="3"/>
      <c r="AP30" s="3"/>
      <c r="AQ30" s="8"/>
      <c r="AR30" s="8"/>
      <c r="AS30" s="3"/>
      <c r="AT30" s="3"/>
      <c r="AU30" s="3"/>
      <c r="AV30" s="3"/>
      <c r="AW30" s="3"/>
      <c r="AX30" s="8"/>
      <c r="AY30" s="127"/>
      <c r="AZ30" s="5"/>
      <c r="BA30" s="58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GO30" s="54"/>
      <c r="GP30" s="54"/>
    </row>
    <row r="31" spans="1:198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5"/>
        <v>0</v>
      </c>
      <c r="N31" s="7">
        <f t="shared" si="6"/>
        <v>0</v>
      </c>
      <c r="O31" s="4"/>
      <c r="P31" s="3"/>
      <c r="Q31" s="3"/>
      <c r="R31" s="3"/>
      <c r="S31" s="3"/>
      <c r="T31" s="3"/>
      <c r="U31" s="5"/>
      <c r="V31" s="125"/>
      <c r="W31" s="8"/>
      <c r="X31" s="3"/>
      <c r="Y31" s="3"/>
      <c r="Z31" s="3"/>
      <c r="AA31" s="3"/>
      <c r="AB31" s="3"/>
      <c r="AC31" s="8"/>
      <c r="AD31" s="8"/>
      <c r="AE31" s="3"/>
      <c r="AF31" s="3"/>
      <c r="AG31" s="3"/>
      <c r="AH31" s="3"/>
      <c r="AI31" s="3"/>
      <c r="AJ31" s="8"/>
      <c r="AK31" s="8"/>
      <c r="AL31" s="3"/>
      <c r="AM31" s="3"/>
      <c r="AN31" s="3"/>
      <c r="AO31" s="3"/>
      <c r="AP31" s="3"/>
      <c r="AQ31" s="8"/>
      <c r="AR31" s="8"/>
      <c r="AS31" s="3"/>
      <c r="AT31" s="3"/>
      <c r="AU31" s="3"/>
      <c r="AV31" s="3"/>
      <c r="AW31" s="3"/>
      <c r="AX31" s="8"/>
      <c r="AY31" s="127"/>
      <c r="AZ31" s="5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GO31" s="54"/>
      <c r="GP31" s="54"/>
    </row>
    <row r="32" spans="1:198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5"/>
        <v>0</v>
      </c>
      <c r="N32" s="7">
        <f t="shared" si="6"/>
        <v>0</v>
      </c>
      <c r="O32" s="4"/>
      <c r="P32" s="3"/>
      <c r="Q32" s="3"/>
      <c r="R32" s="3"/>
      <c r="S32" s="3"/>
      <c r="T32" s="3"/>
      <c r="U32" s="5"/>
      <c r="V32" s="125"/>
      <c r="W32" s="8"/>
      <c r="X32" s="3"/>
      <c r="Y32" s="3"/>
      <c r="Z32" s="3"/>
      <c r="AA32" s="3"/>
      <c r="AB32" s="3"/>
      <c r="AC32" s="8"/>
      <c r="AD32" s="8"/>
      <c r="AE32" s="3"/>
      <c r="AF32" s="3"/>
      <c r="AG32" s="3"/>
      <c r="AH32" s="3"/>
      <c r="AI32" s="3"/>
      <c r="AJ32" s="8"/>
      <c r="AK32" s="8"/>
      <c r="AL32" s="3"/>
      <c r="AM32" s="3"/>
      <c r="AN32" s="3"/>
      <c r="AO32" s="3"/>
      <c r="AP32" s="3"/>
      <c r="AQ32" s="8"/>
      <c r="AR32" s="8"/>
      <c r="AS32" s="3"/>
      <c r="AT32" s="3"/>
      <c r="AU32" s="3"/>
      <c r="AV32" s="3"/>
      <c r="AW32" s="3"/>
      <c r="AX32" s="8"/>
      <c r="AY32" s="127"/>
      <c r="AZ32" s="5"/>
      <c r="BA32" s="58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GO32" s="54"/>
      <c r="GP32" s="54"/>
    </row>
    <row r="33" spans="1:198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5"/>
        <v>0</v>
      </c>
      <c r="N33" s="7">
        <f t="shared" si="6"/>
        <v>0</v>
      </c>
      <c r="O33" s="4"/>
      <c r="P33" s="3"/>
      <c r="Q33" s="3"/>
      <c r="R33" s="3"/>
      <c r="S33" s="3"/>
      <c r="T33" s="3"/>
      <c r="U33" s="5"/>
      <c r="V33" s="125"/>
      <c r="W33" s="8"/>
      <c r="X33" s="3"/>
      <c r="Y33" s="3"/>
      <c r="Z33" s="3"/>
      <c r="AA33" s="3"/>
      <c r="AB33" s="3"/>
      <c r="AC33" s="8"/>
      <c r="AD33" s="8"/>
      <c r="AE33" s="3"/>
      <c r="AF33" s="3"/>
      <c r="AG33" s="3"/>
      <c r="AH33" s="3"/>
      <c r="AI33" s="3"/>
      <c r="AJ33" s="8"/>
      <c r="AK33" s="8"/>
      <c r="AL33" s="3"/>
      <c r="AM33" s="3"/>
      <c r="AN33" s="3"/>
      <c r="AO33" s="3"/>
      <c r="AP33" s="3"/>
      <c r="AQ33" s="8"/>
      <c r="AR33" s="8"/>
      <c r="AS33" s="3"/>
      <c r="AT33" s="3"/>
      <c r="AU33" s="3"/>
      <c r="AV33" s="3"/>
      <c r="AW33" s="3"/>
      <c r="AX33" s="8"/>
      <c r="AY33" s="127"/>
      <c r="AZ33" s="5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GO33" s="54"/>
      <c r="GP33" s="54"/>
    </row>
    <row r="34" spans="1:198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5"/>
        <v>0</v>
      </c>
      <c r="N34" s="7">
        <f t="shared" si="6"/>
        <v>0</v>
      </c>
      <c r="O34" s="4"/>
      <c r="P34" s="3"/>
      <c r="Q34" s="3"/>
      <c r="R34" s="3"/>
      <c r="S34" s="3"/>
      <c r="T34" s="3"/>
      <c r="U34" s="5"/>
      <c r="V34" s="125"/>
      <c r="W34" s="8"/>
      <c r="X34" s="3"/>
      <c r="Y34" s="3"/>
      <c r="Z34" s="3"/>
      <c r="AA34" s="3"/>
      <c r="AB34" s="3"/>
      <c r="AC34" s="8"/>
      <c r="AD34" s="8"/>
      <c r="AE34" s="3"/>
      <c r="AF34" s="3"/>
      <c r="AG34" s="3"/>
      <c r="AH34" s="3"/>
      <c r="AI34" s="3"/>
      <c r="AJ34" s="8"/>
      <c r="AK34" s="8"/>
      <c r="AL34" s="3"/>
      <c r="AM34" s="3"/>
      <c r="AN34" s="3"/>
      <c r="AO34" s="3"/>
      <c r="AP34" s="3"/>
      <c r="AQ34" s="8"/>
      <c r="AR34" s="8"/>
      <c r="AS34" s="3"/>
      <c r="AT34" s="3"/>
      <c r="AU34" s="3"/>
      <c r="AV34" s="3"/>
      <c r="AW34" s="3"/>
      <c r="AX34" s="8"/>
      <c r="AY34" s="127"/>
      <c r="AZ34" s="5"/>
      <c r="BA34" s="58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GO34" s="54"/>
      <c r="GP34" s="54"/>
    </row>
    <row r="35" spans="1:198" ht="15" hidden="1" customHeight="1" x14ac:dyDescent="0.25">
      <c r="A35" s="97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5"/>
        <v>0</v>
      </c>
      <c r="N35" s="7">
        <f t="shared" si="6"/>
        <v>0</v>
      </c>
      <c r="O35" s="4"/>
      <c r="P35" s="3"/>
      <c r="Q35" s="3"/>
      <c r="R35" s="3"/>
      <c r="S35" s="3"/>
      <c r="T35" s="3"/>
      <c r="U35" s="5"/>
      <c r="V35" s="125"/>
      <c r="W35" s="8"/>
      <c r="X35" s="3"/>
      <c r="Y35" s="3"/>
      <c r="Z35" s="3"/>
      <c r="AA35" s="3"/>
      <c r="AB35" s="3"/>
      <c r="AC35" s="8"/>
      <c r="AD35" s="8"/>
      <c r="AE35" s="3"/>
      <c r="AF35" s="3"/>
      <c r="AG35" s="3"/>
      <c r="AH35" s="3"/>
      <c r="AI35" s="3"/>
      <c r="AJ35" s="8"/>
      <c r="AK35" s="8"/>
      <c r="AL35" s="3"/>
      <c r="AM35" s="3"/>
      <c r="AN35" s="3"/>
      <c r="AO35" s="3"/>
      <c r="AP35" s="3"/>
      <c r="AQ35" s="8"/>
      <c r="AR35" s="8"/>
      <c r="AS35" s="3"/>
      <c r="AT35" s="3"/>
      <c r="AU35" s="3"/>
      <c r="AV35" s="3"/>
      <c r="AW35" s="3"/>
      <c r="AX35" s="8"/>
      <c r="AY35" s="127"/>
      <c r="AZ35" s="5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GO35" s="54"/>
      <c r="GP35" s="54"/>
    </row>
    <row r="36" spans="1:198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5"/>
        <v>0</v>
      </c>
      <c r="N36" s="7">
        <f t="shared" si="6"/>
        <v>0</v>
      </c>
      <c r="O36" s="4"/>
      <c r="P36" s="3"/>
      <c r="Q36" s="3"/>
      <c r="R36" s="3"/>
      <c r="S36" s="3"/>
      <c r="T36" s="3"/>
      <c r="U36" s="5"/>
      <c r="V36" s="125"/>
      <c r="W36" s="8"/>
      <c r="X36" s="3"/>
      <c r="Y36" s="3"/>
      <c r="Z36" s="3"/>
      <c r="AA36" s="3"/>
      <c r="AB36" s="3"/>
      <c r="AC36" s="8"/>
      <c r="AD36" s="8"/>
      <c r="AE36" s="3"/>
      <c r="AF36" s="3"/>
      <c r="AG36" s="3"/>
      <c r="AH36" s="3"/>
      <c r="AI36" s="3"/>
      <c r="AJ36" s="8"/>
      <c r="AK36" s="8"/>
      <c r="AL36" s="3"/>
      <c r="AM36" s="3"/>
      <c r="AN36" s="3"/>
      <c r="AO36" s="3"/>
      <c r="AP36" s="3"/>
      <c r="AQ36" s="8"/>
      <c r="AR36" s="8"/>
      <c r="AS36" s="3"/>
      <c r="AT36" s="3"/>
      <c r="AU36" s="3"/>
      <c r="AV36" s="3"/>
      <c r="AW36" s="3"/>
      <c r="AX36" s="8"/>
      <c r="AY36" s="127"/>
      <c r="AZ36" s="5"/>
      <c r="BA36" s="58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GO36" s="54"/>
      <c r="GP36" s="54"/>
    </row>
    <row r="37" spans="1:198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5"/>
        <v>0</v>
      </c>
      <c r="N37" s="7">
        <f t="shared" si="6"/>
        <v>0</v>
      </c>
      <c r="O37" s="4"/>
      <c r="P37" s="3"/>
      <c r="Q37" s="3"/>
      <c r="R37" s="3"/>
      <c r="S37" s="3"/>
      <c r="T37" s="3"/>
      <c r="U37" s="5"/>
      <c r="V37" s="125"/>
      <c r="W37" s="8"/>
      <c r="X37" s="3"/>
      <c r="Y37" s="3"/>
      <c r="Z37" s="3"/>
      <c r="AA37" s="3"/>
      <c r="AB37" s="3"/>
      <c r="AC37" s="8"/>
      <c r="AD37" s="8"/>
      <c r="AE37" s="3"/>
      <c r="AF37" s="3"/>
      <c r="AG37" s="3"/>
      <c r="AH37" s="3"/>
      <c r="AI37" s="3"/>
      <c r="AJ37" s="8"/>
      <c r="AK37" s="8"/>
      <c r="AL37" s="3"/>
      <c r="AM37" s="3"/>
      <c r="AN37" s="3"/>
      <c r="AO37" s="3"/>
      <c r="AP37" s="3"/>
      <c r="AQ37" s="8"/>
      <c r="AR37" s="8"/>
      <c r="AS37" s="3"/>
      <c r="AT37" s="3"/>
      <c r="AU37" s="3"/>
      <c r="AV37" s="3"/>
      <c r="AW37" s="3"/>
      <c r="AX37" s="8"/>
      <c r="AY37" s="127"/>
      <c r="AZ37" s="5"/>
      <c r="BA37" s="58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GO37" s="54"/>
      <c r="GP37" s="54"/>
    </row>
    <row r="38" spans="1:198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5"/>
        <v>0</v>
      </c>
      <c r="N38" s="7">
        <f t="shared" si="6"/>
        <v>0</v>
      </c>
      <c r="O38" s="4"/>
      <c r="P38" s="3"/>
      <c r="Q38" s="3"/>
      <c r="R38" s="3"/>
      <c r="S38" s="3"/>
      <c r="T38" s="3"/>
      <c r="U38" s="5"/>
      <c r="V38" s="125"/>
      <c r="W38" s="8"/>
      <c r="X38" s="3"/>
      <c r="Y38" s="3"/>
      <c r="Z38" s="3"/>
      <c r="AA38" s="3"/>
      <c r="AB38" s="3"/>
      <c r="AC38" s="8"/>
      <c r="AD38" s="8"/>
      <c r="AE38" s="3"/>
      <c r="AF38" s="3"/>
      <c r="AG38" s="3"/>
      <c r="AH38" s="3"/>
      <c r="AI38" s="3"/>
      <c r="AJ38" s="8"/>
      <c r="AK38" s="8"/>
      <c r="AL38" s="3"/>
      <c r="AM38" s="3"/>
      <c r="AN38" s="3"/>
      <c r="AO38" s="3"/>
      <c r="AP38" s="3"/>
      <c r="AQ38" s="8"/>
      <c r="AR38" s="8"/>
      <c r="AS38" s="3"/>
      <c r="AT38" s="3"/>
      <c r="AU38" s="3"/>
      <c r="AV38" s="3"/>
      <c r="AW38" s="3"/>
      <c r="AX38" s="8"/>
      <c r="AY38" s="127"/>
      <c r="AZ38" s="5"/>
      <c r="BA38" s="58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GO38" s="54"/>
      <c r="GP38" s="54"/>
    </row>
    <row r="39" spans="1:198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5"/>
        <v>0</v>
      </c>
      <c r="N39" s="7">
        <f t="shared" si="6"/>
        <v>0</v>
      </c>
      <c r="O39" s="4"/>
      <c r="P39" s="3"/>
      <c r="Q39" s="3"/>
      <c r="R39" s="3"/>
      <c r="S39" s="3"/>
      <c r="T39" s="3"/>
      <c r="U39" s="5"/>
      <c r="V39" s="125"/>
      <c r="W39" s="8"/>
      <c r="X39" s="3"/>
      <c r="Y39" s="3"/>
      <c r="Z39" s="3"/>
      <c r="AA39" s="3"/>
      <c r="AB39" s="3"/>
      <c r="AC39" s="8"/>
      <c r="AD39" s="8"/>
      <c r="AE39" s="3"/>
      <c r="AF39" s="3"/>
      <c r="AG39" s="3"/>
      <c r="AH39" s="3"/>
      <c r="AI39" s="3"/>
      <c r="AJ39" s="8"/>
      <c r="AK39" s="8"/>
      <c r="AL39" s="3"/>
      <c r="AM39" s="3"/>
      <c r="AN39" s="3"/>
      <c r="AO39" s="3"/>
      <c r="AP39" s="3"/>
      <c r="AQ39" s="8"/>
      <c r="AR39" s="8"/>
      <c r="AS39" s="3"/>
      <c r="AT39" s="3"/>
      <c r="AU39" s="3"/>
      <c r="AV39" s="3"/>
      <c r="AW39" s="3"/>
      <c r="AX39" s="8"/>
      <c r="AY39" s="127"/>
      <c r="AZ39" s="5"/>
      <c r="BA39" s="58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GO39" s="54"/>
      <c r="GP39" s="54"/>
    </row>
    <row r="40" spans="1:198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5"/>
        <v>0</v>
      </c>
      <c r="N40" s="7">
        <f t="shared" si="6"/>
        <v>0</v>
      </c>
      <c r="O40" s="4"/>
      <c r="P40" s="3"/>
      <c r="Q40" s="3"/>
      <c r="R40" s="3"/>
      <c r="S40" s="3"/>
      <c r="T40" s="3"/>
      <c r="U40" s="5"/>
      <c r="V40" s="125"/>
      <c r="W40" s="8"/>
      <c r="X40" s="3"/>
      <c r="Y40" s="3"/>
      <c r="Z40" s="3"/>
      <c r="AA40" s="3"/>
      <c r="AB40" s="3"/>
      <c r="AC40" s="8"/>
      <c r="AD40" s="8"/>
      <c r="AE40" s="3"/>
      <c r="AF40" s="3"/>
      <c r="AG40" s="3"/>
      <c r="AH40" s="3"/>
      <c r="AI40" s="3"/>
      <c r="AJ40" s="8"/>
      <c r="AK40" s="8"/>
      <c r="AL40" s="3"/>
      <c r="AM40" s="3"/>
      <c r="AN40" s="3"/>
      <c r="AO40" s="3"/>
      <c r="AP40" s="3"/>
      <c r="AQ40" s="8"/>
      <c r="AR40" s="8"/>
      <c r="AS40" s="3"/>
      <c r="AT40" s="3"/>
      <c r="AU40" s="3"/>
      <c r="AV40" s="3"/>
      <c r="AW40" s="3"/>
      <c r="AX40" s="8"/>
      <c r="AY40" s="127"/>
      <c r="AZ40" s="5"/>
      <c r="BA40" s="58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GO40" s="54"/>
      <c r="GP40" s="54"/>
    </row>
    <row r="41" spans="1:198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5"/>
        <v>0</v>
      </c>
      <c r="N41" s="7">
        <f t="shared" si="6"/>
        <v>0</v>
      </c>
      <c r="O41" s="4"/>
      <c r="P41" s="3"/>
      <c r="Q41" s="3"/>
      <c r="R41" s="3"/>
      <c r="S41" s="3"/>
      <c r="T41" s="3"/>
      <c r="U41" s="5"/>
      <c r="V41" s="125"/>
      <c r="W41" s="8"/>
      <c r="X41" s="3"/>
      <c r="Y41" s="3"/>
      <c r="Z41" s="3"/>
      <c r="AA41" s="3"/>
      <c r="AB41" s="3"/>
      <c r="AC41" s="8"/>
      <c r="AD41" s="8"/>
      <c r="AE41" s="3"/>
      <c r="AF41" s="3"/>
      <c r="AG41" s="3"/>
      <c r="AH41" s="3"/>
      <c r="AI41" s="3"/>
      <c r="AJ41" s="8"/>
      <c r="AK41" s="8"/>
      <c r="AL41" s="3"/>
      <c r="AM41" s="3"/>
      <c r="AN41" s="3"/>
      <c r="AO41" s="3"/>
      <c r="AP41" s="3"/>
      <c r="AQ41" s="8"/>
      <c r="AR41" s="8"/>
      <c r="AS41" s="3"/>
      <c r="AT41" s="3"/>
      <c r="AU41" s="3"/>
      <c r="AV41" s="3"/>
      <c r="AW41" s="3"/>
      <c r="AX41" s="8"/>
      <c r="AY41" s="127"/>
      <c r="AZ41" s="5"/>
      <c r="BA41" s="58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GO41" s="54"/>
      <c r="GP41" s="54"/>
    </row>
    <row r="42" spans="1:198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5"/>
        <v>0</v>
      </c>
      <c r="N42" s="7">
        <f t="shared" si="6"/>
        <v>0</v>
      </c>
      <c r="O42" s="4"/>
      <c r="P42" s="3"/>
      <c r="Q42" s="3"/>
      <c r="R42" s="3"/>
      <c r="S42" s="3"/>
      <c r="T42" s="3"/>
      <c r="U42" s="5"/>
      <c r="V42" s="125"/>
      <c r="W42" s="8"/>
      <c r="X42" s="3"/>
      <c r="Y42" s="3"/>
      <c r="Z42" s="3"/>
      <c r="AA42" s="3"/>
      <c r="AB42" s="3"/>
      <c r="AC42" s="8"/>
      <c r="AD42" s="8"/>
      <c r="AE42" s="3"/>
      <c r="AF42" s="3"/>
      <c r="AG42" s="3"/>
      <c r="AH42" s="3"/>
      <c r="AI42" s="3"/>
      <c r="AJ42" s="8"/>
      <c r="AK42" s="8"/>
      <c r="AL42" s="3"/>
      <c r="AM42" s="3"/>
      <c r="AN42" s="3"/>
      <c r="AO42" s="3"/>
      <c r="AP42" s="3"/>
      <c r="AQ42" s="8"/>
      <c r="AR42" s="8"/>
      <c r="AS42" s="3"/>
      <c r="AT42" s="3"/>
      <c r="AU42" s="3"/>
      <c r="AV42" s="3"/>
      <c r="AW42" s="3"/>
      <c r="AX42" s="8"/>
      <c r="AY42" s="127"/>
      <c r="AZ42" s="5"/>
      <c r="BA42" s="58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GO42" s="54"/>
      <c r="GP42" s="54"/>
    </row>
    <row r="43" spans="1:198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5"/>
        <v>0</v>
      </c>
      <c r="N43" s="7">
        <f t="shared" si="6"/>
        <v>0</v>
      </c>
      <c r="O43" s="4"/>
      <c r="P43" s="3"/>
      <c r="Q43" s="3"/>
      <c r="R43" s="3"/>
      <c r="S43" s="3"/>
      <c r="T43" s="3"/>
      <c r="U43" s="5"/>
      <c r="V43" s="125"/>
      <c r="W43" s="8"/>
      <c r="X43" s="3"/>
      <c r="Y43" s="3"/>
      <c r="Z43" s="3"/>
      <c r="AA43" s="3"/>
      <c r="AB43" s="3"/>
      <c r="AC43" s="8"/>
      <c r="AD43" s="8"/>
      <c r="AE43" s="3"/>
      <c r="AF43" s="3"/>
      <c r="AG43" s="3"/>
      <c r="AH43" s="3"/>
      <c r="AI43" s="3"/>
      <c r="AJ43" s="8"/>
      <c r="AK43" s="8"/>
      <c r="AL43" s="3"/>
      <c r="AM43" s="3"/>
      <c r="AN43" s="3"/>
      <c r="AO43" s="3"/>
      <c r="AP43" s="3"/>
      <c r="AQ43" s="8"/>
      <c r="AR43" s="8"/>
      <c r="AS43" s="3"/>
      <c r="AT43" s="3"/>
      <c r="AU43" s="3"/>
      <c r="AV43" s="3"/>
      <c r="AW43" s="3"/>
      <c r="AX43" s="8"/>
      <c r="AY43" s="127"/>
      <c r="AZ43" s="5"/>
      <c r="BA43" s="58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GO43" s="54"/>
      <c r="GP43" s="54"/>
    </row>
    <row r="44" spans="1:198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si="5"/>
        <v>0</v>
      </c>
      <c r="N44" s="7">
        <f t="shared" si="6"/>
        <v>0</v>
      </c>
      <c r="O44" s="4"/>
      <c r="P44" s="3"/>
      <c r="Q44" s="3"/>
      <c r="R44" s="3"/>
      <c r="S44" s="3"/>
      <c r="T44" s="3"/>
      <c r="U44" s="5"/>
      <c r="V44" s="125"/>
      <c r="W44" s="8"/>
      <c r="X44" s="3"/>
      <c r="Y44" s="3"/>
      <c r="Z44" s="3"/>
      <c r="AA44" s="3"/>
      <c r="AB44" s="3"/>
      <c r="AC44" s="8"/>
      <c r="AD44" s="8"/>
      <c r="AE44" s="3"/>
      <c r="AF44" s="3"/>
      <c r="AG44" s="3"/>
      <c r="AH44" s="3"/>
      <c r="AI44" s="3"/>
      <c r="AJ44" s="8"/>
      <c r="AK44" s="8"/>
      <c r="AL44" s="3"/>
      <c r="AM44" s="3"/>
      <c r="AN44" s="3"/>
      <c r="AO44" s="3"/>
      <c r="AP44" s="3"/>
      <c r="AQ44" s="8"/>
      <c r="AR44" s="8"/>
      <c r="AS44" s="3"/>
      <c r="AT44" s="3"/>
      <c r="AU44" s="3"/>
      <c r="AV44" s="3"/>
      <c r="AW44" s="3"/>
      <c r="AX44" s="8"/>
      <c r="AY44" s="127"/>
      <c r="AZ44" s="5"/>
      <c r="BA44" s="58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GO44" s="54"/>
      <c r="GP44" s="54"/>
    </row>
    <row r="45" spans="1:198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5"/>
        <v>0</v>
      </c>
      <c r="N45" s="7">
        <f t="shared" si="6"/>
        <v>0</v>
      </c>
      <c r="O45" s="4"/>
      <c r="P45" s="3"/>
      <c r="Q45" s="3"/>
      <c r="R45" s="3"/>
      <c r="S45" s="3"/>
      <c r="T45" s="3"/>
      <c r="U45" s="5"/>
      <c r="V45" s="125"/>
      <c r="W45" s="8"/>
      <c r="X45" s="3"/>
      <c r="Y45" s="3"/>
      <c r="Z45" s="3"/>
      <c r="AA45" s="3"/>
      <c r="AB45" s="3"/>
      <c r="AC45" s="8"/>
      <c r="AD45" s="8"/>
      <c r="AE45" s="3"/>
      <c r="AF45" s="3"/>
      <c r="AG45" s="3"/>
      <c r="AH45" s="3"/>
      <c r="AI45" s="3"/>
      <c r="AJ45" s="8"/>
      <c r="AK45" s="8"/>
      <c r="AL45" s="3"/>
      <c r="AM45" s="3"/>
      <c r="AN45" s="3"/>
      <c r="AO45" s="3"/>
      <c r="AP45" s="3"/>
      <c r="AQ45" s="8"/>
      <c r="AR45" s="8"/>
      <c r="AS45" s="3"/>
      <c r="AT45" s="3"/>
      <c r="AU45" s="3"/>
      <c r="AV45" s="3"/>
      <c r="AW45" s="3"/>
      <c r="AX45" s="8"/>
      <c r="AY45" s="127"/>
      <c r="AZ45" s="5"/>
      <c r="BA45" s="58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GO45" s="54"/>
      <c r="GP45" s="54"/>
    </row>
    <row r="46" spans="1:198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5"/>
        <v>0</v>
      </c>
      <c r="N46" s="7">
        <f t="shared" si="6"/>
        <v>0</v>
      </c>
      <c r="O46" s="4"/>
      <c r="P46" s="3"/>
      <c r="Q46" s="3"/>
      <c r="R46" s="3"/>
      <c r="S46" s="3"/>
      <c r="T46" s="3"/>
      <c r="U46" s="5"/>
      <c r="V46" s="125"/>
      <c r="W46" s="8"/>
      <c r="X46" s="3"/>
      <c r="Y46" s="3"/>
      <c r="Z46" s="3"/>
      <c r="AA46" s="3"/>
      <c r="AB46" s="3"/>
      <c r="AC46" s="8"/>
      <c r="AD46" s="8"/>
      <c r="AE46" s="3"/>
      <c r="AF46" s="3"/>
      <c r="AG46" s="3"/>
      <c r="AH46" s="3"/>
      <c r="AI46" s="3"/>
      <c r="AJ46" s="8"/>
      <c r="AK46" s="8"/>
      <c r="AL46" s="3"/>
      <c r="AM46" s="3"/>
      <c r="AN46" s="3"/>
      <c r="AO46" s="3"/>
      <c r="AP46" s="3"/>
      <c r="AQ46" s="8"/>
      <c r="AR46" s="8"/>
      <c r="AS46" s="3"/>
      <c r="AT46" s="3"/>
      <c r="AU46" s="3"/>
      <c r="AV46" s="3"/>
      <c r="AW46" s="3"/>
      <c r="AX46" s="8"/>
      <c r="AY46" s="127"/>
      <c r="AZ46" s="5"/>
      <c r="BA46" s="58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GO46" s="54"/>
      <c r="GP46" s="54"/>
    </row>
    <row r="47" spans="1:198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5"/>
        <v>0</v>
      </c>
      <c r="N47" s="7">
        <f t="shared" si="6"/>
        <v>0</v>
      </c>
      <c r="O47" s="4"/>
      <c r="P47" s="3"/>
      <c r="Q47" s="3"/>
      <c r="R47" s="3"/>
      <c r="S47" s="3"/>
      <c r="T47" s="3"/>
      <c r="U47" s="5"/>
      <c r="V47" s="125"/>
      <c r="W47" s="8"/>
      <c r="X47" s="3"/>
      <c r="Y47" s="3"/>
      <c r="Z47" s="3"/>
      <c r="AA47" s="3"/>
      <c r="AB47" s="3"/>
      <c r="AC47" s="8"/>
      <c r="AD47" s="8"/>
      <c r="AE47" s="3"/>
      <c r="AF47" s="3"/>
      <c r="AG47" s="3"/>
      <c r="AH47" s="3"/>
      <c r="AI47" s="3"/>
      <c r="AJ47" s="8"/>
      <c r="AK47" s="8"/>
      <c r="AL47" s="3"/>
      <c r="AM47" s="3"/>
      <c r="AN47" s="3"/>
      <c r="AO47" s="3"/>
      <c r="AP47" s="3"/>
      <c r="AQ47" s="8"/>
      <c r="AR47" s="8"/>
      <c r="AS47" s="3"/>
      <c r="AT47" s="3"/>
      <c r="AU47" s="3"/>
      <c r="AV47" s="3"/>
      <c r="AW47" s="3"/>
      <c r="AX47" s="8"/>
      <c r="AY47" s="127"/>
      <c r="AZ47" s="5"/>
      <c r="BA47" s="58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GO47" s="54"/>
      <c r="GP47" s="54"/>
    </row>
    <row r="48" spans="1:198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5"/>
        <v>0</v>
      </c>
      <c r="N48" s="7">
        <f t="shared" si="6"/>
        <v>0</v>
      </c>
      <c r="O48" s="4"/>
      <c r="P48" s="3"/>
      <c r="Q48" s="3"/>
      <c r="R48" s="3"/>
      <c r="S48" s="3"/>
      <c r="T48" s="3"/>
      <c r="U48" s="5"/>
      <c r="V48" s="125"/>
      <c r="W48" s="8"/>
      <c r="X48" s="3"/>
      <c r="Y48" s="3"/>
      <c r="Z48" s="3"/>
      <c r="AA48" s="3"/>
      <c r="AB48" s="3"/>
      <c r="AC48" s="8"/>
      <c r="AD48" s="8"/>
      <c r="AE48" s="3"/>
      <c r="AF48" s="3"/>
      <c r="AG48" s="3"/>
      <c r="AH48" s="3"/>
      <c r="AI48" s="3"/>
      <c r="AJ48" s="8"/>
      <c r="AK48" s="8"/>
      <c r="AL48" s="3"/>
      <c r="AM48" s="3"/>
      <c r="AN48" s="3"/>
      <c r="AO48" s="3"/>
      <c r="AP48" s="3"/>
      <c r="AQ48" s="8"/>
      <c r="AR48" s="8"/>
      <c r="AS48" s="3"/>
      <c r="AT48" s="3"/>
      <c r="AU48" s="3"/>
      <c r="AV48" s="3"/>
      <c r="AW48" s="3"/>
      <c r="AX48" s="8"/>
      <c r="AY48" s="127"/>
      <c r="AZ48" s="5"/>
      <c r="BA48" s="58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GO48" s="54"/>
      <c r="GP48" s="54"/>
    </row>
    <row r="49" spans="1:198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5"/>
        <v>0</v>
      </c>
      <c r="N49" s="7">
        <f t="shared" si="6"/>
        <v>0</v>
      </c>
      <c r="O49" s="4"/>
      <c r="P49" s="3"/>
      <c r="Q49" s="3"/>
      <c r="R49" s="3"/>
      <c r="S49" s="3"/>
      <c r="T49" s="3"/>
      <c r="U49" s="5"/>
      <c r="V49" s="125"/>
      <c r="W49" s="8"/>
      <c r="X49" s="3"/>
      <c r="Y49" s="3"/>
      <c r="Z49" s="3"/>
      <c r="AA49" s="3"/>
      <c r="AB49" s="3"/>
      <c r="AC49" s="8"/>
      <c r="AD49" s="8"/>
      <c r="AE49" s="3"/>
      <c r="AF49" s="3"/>
      <c r="AG49" s="3"/>
      <c r="AH49" s="3"/>
      <c r="AI49" s="3"/>
      <c r="AJ49" s="8"/>
      <c r="AK49" s="8"/>
      <c r="AL49" s="3"/>
      <c r="AM49" s="3"/>
      <c r="AN49" s="3"/>
      <c r="AO49" s="3"/>
      <c r="AP49" s="3"/>
      <c r="AQ49" s="8"/>
      <c r="AR49" s="8"/>
      <c r="AS49" s="3"/>
      <c r="AT49" s="3"/>
      <c r="AU49" s="3"/>
      <c r="AV49" s="3"/>
      <c r="AW49" s="3"/>
      <c r="AX49" s="8"/>
      <c r="AY49" s="127"/>
      <c r="AZ49" s="5"/>
      <c r="BA49" s="58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GO49" s="54"/>
      <c r="GP49" s="54"/>
    </row>
    <row r="50" spans="1:198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5"/>
        <v>0</v>
      </c>
      <c r="N50" s="7">
        <f t="shared" si="6"/>
        <v>0</v>
      </c>
      <c r="O50" s="4"/>
      <c r="P50" s="3"/>
      <c r="Q50" s="3"/>
      <c r="R50" s="3"/>
      <c r="S50" s="3"/>
      <c r="T50" s="3"/>
      <c r="U50" s="5"/>
      <c r="V50" s="125"/>
      <c r="W50" s="8"/>
      <c r="X50" s="3"/>
      <c r="Y50" s="3"/>
      <c r="Z50" s="3"/>
      <c r="AA50" s="3"/>
      <c r="AB50" s="3"/>
      <c r="AC50" s="8"/>
      <c r="AD50" s="8"/>
      <c r="AE50" s="3"/>
      <c r="AF50" s="3"/>
      <c r="AG50" s="3"/>
      <c r="AH50" s="3"/>
      <c r="AI50" s="3"/>
      <c r="AJ50" s="8"/>
      <c r="AK50" s="8"/>
      <c r="AL50" s="3"/>
      <c r="AM50" s="3"/>
      <c r="AN50" s="3"/>
      <c r="AO50" s="3"/>
      <c r="AP50" s="3"/>
      <c r="AQ50" s="8"/>
      <c r="AR50" s="8"/>
      <c r="AS50" s="3"/>
      <c r="AT50" s="3"/>
      <c r="AU50" s="3"/>
      <c r="AV50" s="3"/>
      <c r="AW50" s="3"/>
      <c r="AX50" s="8"/>
      <c r="AY50" s="127"/>
      <c r="AZ50" s="5"/>
      <c r="BA50" s="58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GO50" s="54"/>
      <c r="GP50" s="54"/>
    </row>
    <row r="51" spans="1:198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5"/>
        <v>0</v>
      </c>
      <c r="N51" s="7">
        <f t="shared" si="6"/>
        <v>0</v>
      </c>
      <c r="O51" s="4"/>
      <c r="P51" s="3"/>
      <c r="Q51" s="3"/>
      <c r="R51" s="3"/>
      <c r="S51" s="3"/>
      <c r="T51" s="3"/>
      <c r="U51" s="5"/>
      <c r="V51" s="125"/>
      <c r="W51" s="8"/>
      <c r="X51" s="3"/>
      <c r="Y51" s="3"/>
      <c r="Z51" s="3"/>
      <c r="AA51" s="3"/>
      <c r="AB51" s="3"/>
      <c r="AC51" s="8"/>
      <c r="AD51" s="8"/>
      <c r="AE51" s="3"/>
      <c r="AF51" s="3"/>
      <c r="AG51" s="3"/>
      <c r="AH51" s="3"/>
      <c r="AI51" s="3"/>
      <c r="AJ51" s="8"/>
      <c r="AK51" s="8"/>
      <c r="AL51" s="3"/>
      <c r="AM51" s="3"/>
      <c r="AN51" s="3"/>
      <c r="AO51" s="3"/>
      <c r="AP51" s="3"/>
      <c r="AQ51" s="8"/>
      <c r="AR51" s="8"/>
      <c r="AS51" s="3"/>
      <c r="AT51" s="3"/>
      <c r="AU51" s="3"/>
      <c r="AV51" s="3"/>
      <c r="AW51" s="3"/>
      <c r="AX51" s="8"/>
      <c r="AY51" s="127"/>
      <c r="AZ51" s="5"/>
      <c r="BA51" s="58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GO51" s="54"/>
      <c r="GP51" s="54"/>
    </row>
    <row r="52" spans="1:198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5"/>
        <v>0</v>
      </c>
      <c r="N52" s="7">
        <f t="shared" si="6"/>
        <v>0</v>
      </c>
      <c r="O52" s="4"/>
      <c r="P52" s="3"/>
      <c r="Q52" s="3"/>
      <c r="R52" s="3"/>
      <c r="S52" s="3"/>
      <c r="T52" s="3"/>
      <c r="U52" s="5"/>
      <c r="V52" s="125"/>
      <c r="W52" s="8"/>
      <c r="X52" s="3"/>
      <c r="Y52" s="3"/>
      <c r="Z52" s="3"/>
      <c r="AA52" s="3"/>
      <c r="AB52" s="3"/>
      <c r="AC52" s="8"/>
      <c r="AD52" s="8"/>
      <c r="AE52" s="3"/>
      <c r="AF52" s="3"/>
      <c r="AG52" s="3"/>
      <c r="AH52" s="3"/>
      <c r="AI52" s="3"/>
      <c r="AJ52" s="8"/>
      <c r="AK52" s="8"/>
      <c r="AL52" s="3"/>
      <c r="AM52" s="3"/>
      <c r="AN52" s="3"/>
      <c r="AO52" s="3"/>
      <c r="AP52" s="3"/>
      <c r="AQ52" s="8"/>
      <c r="AR52" s="8"/>
      <c r="AS52" s="3"/>
      <c r="AT52" s="3"/>
      <c r="AU52" s="3"/>
      <c r="AV52" s="3"/>
      <c r="AW52" s="3"/>
      <c r="AX52" s="8"/>
      <c r="AY52" s="127"/>
      <c r="AZ52" s="5"/>
      <c r="BA52" s="58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GO52" s="54"/>
      <c r="GP52" s="54"/>
    </row>
    <row r="53" spans="1:198" ht="15" hidden="1" customHeight="1" x14ac:dyDescent="0.25">
      <c r="A53" s="97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5"/>
        <v>0</v>
      </c>
      <c r="N53" s="7">
        <f t="shared" si="6"/>
        <v>0</v>
      </c>
      <c r="O53" s="4"/>
      <c r="P53" s="3"/>
      <c r="Q53" s="3"/>
      <c r="R53" s="3"/>
      <c r="S53" s="3"/>
      <c r="T53" s="3"/>
      <c r="U53" s="5"/>
      <c r="V53" s="125"/>
      <c r="W53" s="8"/>
      <c r="X53" s="3"/>
      <c r="Y53" s="3"/>
      <c r="Z53" s="3"/>
      <c r="AA53" s="3"/>
      <c r="AB53" s="3"/>
      <c r="AC53" s="8"/>
      <c r="AD53" s="8"/>
      <c r="AE53" s="3"/>
      <c r="AF53" s="3"/>
      <c r="AG53" s="3"/>
      <c r="AH53" s="3"/>
      <c r="AI53" s="3"/>
      <c r="AJ53" s="8"/>
      <c r="AK53" s="8"/>
      <c r="AL53" s="3"/>
      <c r="AM53" s="3"/>
      <c r="AN53" s="3"/>
      <c r="AO53" s="3"/>
      <c r="AP53" s="3"/>
      <c r="AQ53" s="8"/>
      <c r="AR53" s="8"/>
      <c r="AS53" s="3"/>
      <c r="AT53" s="3"/>
      <c r="AU53" s="3"/>
      <c r="AV53" s="3"/>
      <c r="AW53" s="3"/>
      <c r="AX53" s="8"/>
      <c r="AY53" s="127"/>
      <c r="AZ53" s="5"/>
      <c r="BA53" s="58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GO53" s="54"/>
      <c r="GP53" s="54"/>
    </row>
    <row r="54" spans="1:198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5"/>
        <v>0</v>
      </c>
      <c r="N54" s="7">
        <f t="shared" si="6"/>
        <v>0</v>
      </c>
      <c r="O54" s="4"/>
      <c r="P54" s="3"/>
      <c r="Q54" s="3"/>
      <c r="R54" s="3"/>
      <c r="S54" s="3"/>
      <c r="T54" s="3"/>
      <c r="U54" s="5"/>
      <c r="V54" s="125"/>
      <c r="W54" s="8"/>
      <c r="X54" s="3"/>
      <c r="Y54" s="3"/>
      <c r="Z54" s="3"/>
      <c r="AA54" s="3"/>
      <c r="AB54" s="3"/>
      <c r="AC54" s="8"/>
      <c r="AD54" s="8"/>
      <c r="AE54" s="3"/>
      <c r="AF54" s="3"/>
      <c r="AG54" s="3"/>
      <c r="AH54" s="3"/>
      <c r="AI54" s="3"/>
      <c r="AJ54" s="8"/>
      <c r="AK54" s="8"/>
      <c r="AL54" s="3"/>
      <c r="AM54" s="3"/>
      <c r="AN54" s="3"/>
      <c r="AO54" s="3"/>
      <c r="AP54" s="3"/>
      <c r="AQ54" s="8"/>
      <c r="AR54" s="8"/>
      <c r="AS54" s="3"/>
      <c r="AT54" s="3"/>
      <c r="AU54" s="3"/>
      <c r="AV54" s="3"/>
      <c r="AW54" s="3"/>
      <c r="AX54" s="8"/>
      <c r="AY54" s="127"/>
      <c r="AZ54" s="5"/>
      <c r="BA54" s="58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GO54" s="54"/>
      <c r="GP54" s="54"/>
    </row>
    <row r="55" spans="1:198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5"/>
        <v>0</v>
      </c>
      <c r="N55" s="7">
        <f t="shared" si="6"/>
        <v>0</v>
      </c>
      <c r="O55" s="4"/>
      <c r="P55" s="3"/>
      <c r="Q55" s="3"/>
      <c r="R55" s="3"/>
      <c r="S55" s="3"/>
      <c r="T55" s="3"/>
      <c r="U55" s="5"/>
      <c r="V55" s="125"/>
      <c r="W55" s="8"/>
      <c r="X55" s="3"/>
      <c r="Y55" s="3"/>
      <c r="Z55" s="3"/>
      <c r="AA55" s="3"/>
      <c r="AB55" s="3"/>
      <c r="AC55" s="8"/>
      <c r="AD55" s="8"/>
      <c r="AE55" s="3"/>
      <c r="AF55" s="3"/>
      <c r="AG55" s="3"/>
      <c r="AH55" s="3"/>
      <c r="AI55" s="3"/>
      <c r="AJ55" s="8"/>
      <c r="AK55" s="8"/>
      <c r="AL55" s="3"/>
      <c r="AM55" s="3"/>
      <c r="AN55" s="3"/>
      <c r="AO55" s="3"/>
      <c r="AP55" s="3"/>
      <c r="AQ55" s="8"/>
      <c r="AR55" s="8"/>
      <c r="AS55" s="3"/>
      <c r="AT55" s="3"/>
      <c r="AU55" s="3"/>
      <c r="AV55" s="3"/>
      <c r="AW55" s="3"/>
      <c r="AX55" s="8"/>
      <c r="AY55" s="127"/>
      <c r="AZ55" s="5"/>
      <c r="BA55" s="58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GO55" s="54"/>
      <c r="GP55" s="54"/>
    </row>
    <row r="56" spans="1:198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5"/>
        <v>0</v>
      </c>
      <c r="N56" s="7">
        <f t="shared" si="6"/>
        <v>0</v>
      </c>
      <c r="O56" s="4"/>
      <c r="P56" s="3"/>
      <c r="Q56" s="3"/>
      <c r="R56" s="3"/>
      <c r="S56" s="3"/>
      <c r="T56" s="3"/>
      <c r="U56" s="5"/>
      <c r="V56" s="125"/>
      <c r="W56" s="8"/>
      <c r="X56" s="3"/>
      <c r="Y56" s="3"/>
      <c r="Z56" s="3"/>
      <c r="AA56" s="3"/>
      <c r="AB56" s="3"/>
      <c r="AC56" s="8"/>
      <c r="AD56" s="8"/>
      <c r="AE56" s="3"/>
      <c r="AF56" s="3"/>
      <c r="AG56" s="3"/>
      <c r="AH56" s="3"/>
      <c r="AI56" s="3"/>
      <c r="AJ56" s="8"/>
      <c r="AK56" s="8"/>
      <c r="AL56" s="3"/>
      <c r="AM56" s="3"/>
      <c r="AN56" s="3"/>
      <c r="AO56" s="3"/>
      <c r="AP56" s="3"/>
      <c r="AQ56" s="8"/>
      <c r="AR56" s="8"/>
      <c r="AS56" s="3"/>
      <c r="AT56" s="3"/>
      <c r="AU56" s="3"/>
      <c r="AV56" s="3"/>
      <c r="AW56" s="3"/>
      <c r="AX56" s="8"/>
      <c r="AY56" s="127"/>
      <c r="AZ56" s="5"/>
      <c r="BA56" s="58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GO56" s="54"/>
      <c r="GP56" s="54"/>
    </row>
    <row r="57" spans="1:198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5"/>
        <v>0</v>
      </c>
      <c r="N57" s="7">
        <f t="shared" si="6"/>
        <v>0</v>
      </c>
      <c r="O57" s="4"/>
      <c r="P57" s="3"/>
      <c r="Q57" s="3"/>
      <c r="R57" s="3"/>
      <c r="S57" s="3"/>
      <c r="T57" s="3"/>
      <c r="U57" s="5"/>
      <c r="V57" s="125"/>
      <c r="W57" s="8"/>
      <c r="X57" s="3"/>
      <c r="Y57" s="3"/>
      <c r="Z57" s="3"/>
      <c r="AA57" s="3"/>
      <c r="AB57" s="3"/>
      <c r="AC57" s="8"/>
      <c r="AD57" s="8"/>
      <c r="AE57" s="3"/>
      <c r="AF57" s="3"/>
      <c r="AG57" s="3"/>
      <c r="AH57" s="3"/>
      <c r="AI57" s="3"/>
      <c r="AJ57" s="8"/>
      <c r="AK57" s="8"/>
      <c r="AL57" s="3"/>
      <c r="AM57" s="3"/>
      <c r="AN57" s="3"/>
      <c r="AO57" s="3"/>
      <c r="AP57" s="3"/>
      <c r="AQ57" s="8"/>
      <c r="AR57" s="8"/>
      <c r="AS57" s="3"/>
      <c r="AT57" s="3"/>
      <c r="AU57" s="3"/>
      <c r="AV57" s="3"/>
      <c r="AW57" s="3"/>
      <c r="AX57" s="8"/>
      <c r="AY57" s="127"/>
      <c r="AZ57" s="5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GO57" s="54"/>
      <c r="GP57" s="54"/>
    </row>
    <row r="58" spans="1:198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5"/>
        <v>0</v>
      </c>
      <c r="N58" s="7">
        <f t="shared" si="6"/>
        <v>0</v>
      </c>
      <c r="O58" s="4"/>
      <c r="P58" s="3"/>
      <c r="Q58" s="3"/>
      <c r="R58" s="3"/>
      <c r="S58" s="3"/>
      <c r="T58" s="3"/>
      <c r="U58" s="5"/>
      <c r="V58" s="125"/>
      <c r="W58" s="8"/>
      <c r="X58" s="3"/>
      <c r="Y58" s="3"/>
      <c r="Z58" s="3"/>
      <c r="AA58" s="3"/>
      <c r="AB58" s="3"/>
      <c r="AC58" s="8"/>
      <c r="AD58" s="8"/>
      <c r="AE58" s="3"/>
      <c r="AF58" s="3"/>
      <c r="AG58" s="3"/>
      <c r="AH58" s="3"/>
      <c r="AI58" s="3"/>
      <c r="AJ58" s="8"/>
      <c r="AK58" s="8"/>
      <c r="AL58" s="3"/>
      <c r="AM58" s="3"/>
      <c r="AN58" s="3"/>
      <c r="AO58" s="3"/>
      <c r="AP58" s="3"/>
      <c r="AQ58" s="8"/>
      <c r="AR58" s="8"/>
      <c r="AS58" s="3"/>
      <c r="AT58" s="3"/>
      <c r="AU58" s="3"/>
      <c r="AV58" s="3"/>
      <c r="AW58" s="3"/>
      <c r="AX58" s="8"/>
      <c r="AY58" s="127"/>
      <c r="AZ58" s="5"/>
      <c r="BA58" s="58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GO58" s="54"/>
      <c r="GP58" s="54"/>
    </row>
    <row r="59" spans="1:198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5"/>
        <v>0</v>
      </c>
      <c r="N59" s="7">
        <f t="shared" si="6"/>
        <v>0</v>
      </c>
      <c r="O59" s="4"/>
      <c r="P59" s="3"/>
      <c r="Q59" s="3"/>
      <c r="R59" s="3"/>
      <c r="S59" s="3"/>
      <c r="T59" s="3"/>
      <c r="U59" s="5"/>
      <c r="V59" s="125"/>
      <c r="W59" s="8"/>
      <c r="X59" s="3"/>
      <c r="Y59" s="3"/>
      <c r="Z59" s="3"/>
      <c r="AA59" s="3"/>
      <c r="AB59" s="3"/>
      <c r="AC59" s="8"/>
      <c r="AD59" s="8"/>
      <c r="AE59" s="3"/>
      <c r="AF59" s="3"/>
      <c r="AG59" s="3"/>
      <c r="AH59" s="3"/>
      <c r="AI59" s="3"/>
      <c r="AJ59" s="8"/>
      <c r="AK59" s="8"/>
      <c r="AL59" s="3"/>
      <c r="AM59" s="3"/>
      <c r="AN59" s="3"/>
      <c r="AO59" s="3"/>
      <c r="AP59" s="3"/>
      <c r="AQ59" s="8"/>
      <c r="AR59" s="8"/>
      <c r="AS59" s="3"/>
      <c r="AT59" s="3"/>
      <c r="AU59" s="3"/>
      <c r="AV59" s="3"/>
      <c r="AW59" s="3"/>
      <c r="AX59" s="8"/>
      <c r="AY59" s="127"/>
      <c r="AZ59" s="5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GO59" s="54"/>
      <c r="GP59" s="54"/>
    </row>
    <row r="60" spans="1:198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5"/>
        <v>0</v>
      </c>
      <c r="N60" s="7">
        <f t="shared" si="6"/>
        <v>0</v>
      </c>
      <c r="O60" s="4"/>
      <c r="P60" s="3"/>
      <c r="Q60" s="3"/>
      <c r="R60" s="3"/>
      <c r="S60" s="3"/>
      <c r="T60" s="3"/>
      <c r="U60" s="5"/>
      <c r="V60" s="125"/>
      <c r="W60" s="8"/>
      <c r="X60" s="3"/>
      <c r="Y60" s="3"/>
      <c r="Z60" s="3"/>
      <c r="AA60" s="3"/>
      <c r="AB60" s="3"/>
      <c r="AC60" s="8"/>
      <c r="AD60" s="8"/>
      <c r="AE60" s="3"/>
      <c r="AF60" s="3"/>
      <c r="AG60" s="3"/>
      <c r="AH60" s="3"/>
      <c r="AI60" s="3"/>
      <c r="AJ60" s="8"/>
      <c r="AK60" s="8"/>
      <c r="AL60" s="3"/>
      <c r="AM60" s="3"/>
      <c r="AN60" s="3"/>
      <c r="AO60" s="3"/>
      <c r="AP60" s="3"/>
      <c r="AQ60" s="8"/>
      <c r="AR60" s="8"/>
      <c r="AS60" s="3"/>
      <c r="AT60" s="3"/>
      <c r="AU60" s="3"/>
      <c r="AV60" s="3"/>
      <c r="AW60" s="3"/>
      <c r="AX60" s="8"/>
      <c r="AY60" s="127"/>
      <c r="AZ60" s="5"/>
      <c r="BA60" s="58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GO60" s="54"/>
      <c r="GP60" s="54"/>
    </row>
    <row r="61" spans="1:198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5"/>
        <v>0</v>
      </c>
      <c r="N61" s="7">
        <f t="shared" si="6"/>
        <v>0</v>
      </c>
      <c r="O61" s="4"/>
      <c r="P61" s="3"/>
      <c r="Q61" s="3"/>
      <c r="R61" s="3"/>
      <c r="S61" s="3"/>
      <c r="T61" s="3"/>
      <c r="U61" s="5"/>
      <c r="V61" s="125"/>
      <c r="W61" s="8"/>
      <c r="X61" s="3"/>
      <c r="Y61" s="3"/>
      <c r="Z61" s="3"/>
      <c r="AA61" s="3"/>
      <c r="AB61" s="3"/>
      <c r="AC61" s="8"/>
      <c r="AD61" s="8"/>
      <c r="AE61" s="3"/>
      <c r="AF61" s="3"/>
      <c r="AG61" s="3"/>
      <c r="AH61" s="3"/>
      <c r="AI61" s="3"/>
      <c r="AJ61" s="8"/>
      <c r="AK61" s="8"/>
      <c r="AL61" s="3"/>
      <c r="AM61" s="3"/>
      <c r="AN61" s="3"/>
      <c r="AO61" s="3"/>
      <c r="AP61" s="3"/>
      <c r="AQ61" s="8"/>
      <c r="AR61" s="8"/>
      <c r="AS61" s="3"/>
      <c r="AT61" s="3"/>
      <c r="AU61" s="3"/>
      <c r="AV61" s="3"/>
      <c r="AW61" s="3"/>
      <c r="AX61" s="8"/>
      <c r="AY61" s="127"/>
      <c r="AZ61" s="5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GO61" s="54"/>
      <c r="GP61" s="54"/>
    </row>
    <row r="62" spans="1:198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5"/>
        <v>0</v>
      </c>
      <c r="N62" s="7">
        <f t="shared" si="6"/>
        <v>0</v>
      </c>
      <c r="O62" s="4"/>
      <c r="P62" s="3"/>
      <c r="Q62" s="3"/>
      <c r="R62" s="3"/>
      <c r="S62" s="3"/>
      <c r="T62" s="3"/>
      <c r="U62" s="5"/>
      <c r="V62" s="125"/>
      <c r="W62" s="8"/>
      <c r="X62" s="3"/>
      <c r="Y62" s="3"/>
      <c r="Z62" s="3"/>
      <c r="AA62" s="3"/>
      <c r="AB62" s="3"/>
      <c r="AC62" s="8"/>
      <c r="AD62" s="8"/>
      <c r="AE62" s="3"/>
      <c r="AF62" s="3"/>
      <c r="AG62" s="3"/>
      <c r="AH62" s="3"/>
      <c r="AI62" s="3"/>
      <c r="AJ62" s="8"/>
      <c r="AK62" s="8"/>
      <c r="AL62" s="3"/>
      <c r="AM62" s="3"/>
      <c r="AN62" s="3"/>
      <c r="AO62" s="3"/>
      <c r="AP62" s="3"/>
      <c r="AQ62" s="8"/>
      <c r="AR62" s="8"/>
      <c r="AS62" s="3"/>
      <c r="AT62" s="3"/>
      <c r="AU62" s="3"/>
      <c r="AV62" s="3"/>
      <c r="AW62" s="3"/>
      <c r="AX62" s="8"/>
      <c r="AY62" s="127"/>
      <c r="AZ62" s="5"/>
      <c r="BA62" s="58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GO62" s="54"/>
      <c r="GP62" s="54"/>
    </row>
    <row r="63" spans="1:198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5"/>
        <v>0</v>
      </c>
      <c r="N63" s="7">
        <f t="shared" si="6"/>
        <v>0</v>
      </c>
      <c r="O63" s="4"/>
      <c r="P63" s="3"/>
      <c r="Q63" s="3"/>
      <c r="R63" s="3"/>
      <c r="S63" s="3"/>
      <c r="T63" s="3"/>
      <c r="U63" s="5"/>
      <c r="V63" s="125"/>
      <c r="W63" s="8"/>
      <c r="X63" s="3"/>
      <c r="Y63" s="3"/>
      <c r="Z63" s="3"/>
      <c r="AA63" s="3"/>
      <c r="AB63" s="3"/>
      <c r="AC63" s="8"/>
      <c r="AD63" s="8"/>
      <c r="AE63" s="3"/>
      <c r="AF63" s="3"/>
      <c r="AG63" s="3"/>
      <c r="AH63" s="3"/>
      <c r="AI63" s="3"/>
      <c r="AJ63" s="8"/>
      <c r="AK63" s="8"/>
      <c r="AL63" s="3"/>
      <c r="AM63" s="3"/>
      <c r="AN63" s="3"/>
      <c r="AO63" s="3"/>
      <c r="AP63" s="3"/>
      <c r="AQ63" s="8"/>
      <c r="AR63" s="8"/>
      <c r="AS63" s="3"/>
      <c r="AT63" s="3"/>
      <c r="AU63" s="3"/>
      <c r="AV63" s="3"/>
      <c r="AW63" s="3"/>
      <c r="AX63" s="8"/>
      <c r="AY63" s="127"/>
      <c r="AZ63" s="5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GO63" s="54"/>
      <c r="GP63" s="54"/>
    </row>
    <row r="64" spans="1:198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5"/>
        <v>0</v>
      </c>
      <c r="N64" s="7">
        <f t="shared" si="6"/>
        <v>0</v>
      </c>
      <c r="O64" s="4"/>
      <c r="P64" s="3"/>
      <c r="Q64" s="3"/>
      <c r="R64" s="3"/>
      <c r="S64" s="3"/>
      <c r="T64" s="3"/>
      <c r="U64" s="5"/>
      <c r="V64" s="125"/>
      <c r="W64" s="8"/>
      <c r="X64" s="3"/>
      <c r="Y64" s="3"/>
      <c r="Z64" s="3"/>
      <c r="AA64" s="3"/>
      <c r="AB64" s="3"/>
      <c r="AC64" s="8"/>
      <c r="AD64" s="8"/>
      <c r="AE64" s="3"/>
      <c r="AF64" s="3"/>
      <c r="AG64" s="3"/>
      <c r="AH64" s="3"/>
      <c r="AI64" s="3"/>
      <c r="AJ64" s="8"/>
      <c r="AK64" s="8"/>
      <c r="AL64" s="3"/>
      <c r="AM64" s="3"/>
      <c r="AN64" s="3"/>
      <c r="AO64" s="3"/>
      <c r="AP64" s="3"/>
      <c r="AQ64" s="8"/>
      <c r="AR64" s="8"/>
      <c r="AS64" s="3"/>
      <c r="AT64" s="3"/>
      <c r="AU64" s="3"/>
      <c r="AV64" s="3"/>
      <c r="AW64" s="3"/>
      <c r="AX64" s="8"/>
      <c r="AY64" s="127"/>
      <c r="AZ64" s="5"/>
      <c r="BA64" s="58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GO64" s="54"/>
      <c r="GP64" s="54"/>
    </row>
    <row r="65" spans="1:198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5"/>
        <v>0</v>
      </c>
      <c r="N65" s="7">
        <f t="shared" si="6"/>
        <v>0</v>
      </c>
      <c r="O65" s="4"/>
      <c r="P65" s="3"/>
      <c r="Q65" s="3"/>
      <c r="R65" s="3"/>
      <c r="S65" s="3"/>
      <c r="T65" s="3"/>
      <c r="U65" s="5"/>
      <c r="V65" s="125"/>
      <c r="W65" s="8"/>
      <c r="X65" s="3"/>
      <c r="Y65" s="3"/>
      <c r="Z65" s="3"/>
      <c r="AA65" s="3"/>
      <c r="AB65" s="3"/>
      <c r="AC65" s="8"/>
      <c r="AD65" s="8"/>
      <c r="AE65" s="3"/>
      <c r="AF65" s="3"/>
      <c r="AG65" s="3"/>
      <c r="AH65" s="3"/>
      <c r="AI65" s="3"/>
      <c r="AJ65" s="8"/>
      <c r="AK65" s="8"/>
      <c r="AL65" s="3"/>
      <c r="AM65" s="3"/>
      <c r="AN65" s="3"/>
      <c r="AO65" s="3"/>
      <c r="AP65" s="3"/>
      <c r="AQ65" s="8"/>
      <c r="AR65" s="8"/>
      <c r="AS65" s="3"/>
      <c r="AT65" s="3"/>
      <c r="AU65" s="3"/>
      <c r="AV65" s="3"/>
      <c r="AW65" s="3"/>
      <c r="AX65" s="8"/>
      <c r="AY65" s="127"/>
      <c r="AZ65" s="5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GO65" s="54"/>
      <c r="GP65" s="54"/>
    </row>
    <row r="66" spans="1:198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5"/>
        <v>0</v>
      </c>
      <c r="N66" s="7">
        <f t="shared" si="6"/>
        <v>0</v>
      </c>
      <c r="O66" s="4"/>
      <c r="P66" s="3"/>
      <c r="Q66" s="3"/>
      <c r="R66" s="3"/>
      <c r="S66" s="3"/>
      <c r="T66" s="3"/>
      <c r="U66" s="5"/>
      <c r="V66" s="125"/>
      <c r="W66" s="8"/>
      <c r="X66" s="3"/>
      <c r="Y66" s="3"/>
      <c r="Z66" s="3"/>
      <c r="AA66" s="3"/>
      <c r="AB66" s="3"/>
      <c r="AC66" s="8"/>
      <c r="AD66" s="8"/>
      <c r="AE66" s="3"/>
      <c r="AF66" s="3"/>
      <c r="AG66" s="3"/>
      <c r="AH66" s="3"/>
      <c r="AI66" s="3"/>
      <c r="AJ66" s="8"/>
      <c r="AK66" s="8"/>
      <c r="AL66" s="3"/>
      <c r="AM66" s="3"/>
      <c r="AN66" s="3"/>
      <c r="AO66" s="3"/>
      <c r="AP66" s="3"/>
      <c r="AQ66" s="8"/>
      <c r="AR66" s="8"/>
      <c r="AS66" s="3"/>
      <c r="AT66" s="3"/>
      <c r="AU66" s="3"/>
      <c r="AV66" s="3"/>
      <c r="AW66" s="3"/>
      <c r="AX66" s="8"/>
      <c r="AY66" s="127"/>
      <c r="AZ66" s="5"/>
      <c r="BA66" s="58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GO66" s="54"/>
      <c r="GP66" s="54"/>
    </row>
    <row r="67" spans="1:198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5"/>
        <v>0</v>
      </c>
      <c r="N67" s="7">
        <f t="shared" si="6"/>
        <v>0</v>
      </c>
      <c r="O67" s="4"/>
      <c r="P67" s="3"/>
      <c r="Q67" s="3"/>
      <c r="R67" s="3"/>
      <c r="S67" s="3"/>
      <c r="T67" s="3"/>
      <c r="U67" s="5"/>
      <c r="V67" s="125"/>
      <c r="W67" s="8"/>
      <c r="X67" s="3"/>
      <c r="Y67" s="3"/>
      <c r="Z67" s="3"/>
      <c r="AA67" s="3"/>
      <c r="AB67" s="3"/>
      <c r="AC67" s="8"/>
      <c r="AD67" s="8"/>
      <c r="AE67" s="3"/>
      <c r="AF67" s="3"/>
      <c r="AG67" s="3"/>
      <c r="AH67" s="3"/>
      <c r="AI67" s="3"/>
      <c r="AJ67" s="8"/>
      <c r="AK67" s="8"/>
      <c r="AL67" s="3"/>
      <c r="AM67" s="3"/>
      <c r="AN67" s="3"/>
      <c r="AO67" s="3"/>
      <c r="AP67" s="3"/>
      <c r="AQ67" s="8"/>
      <c r="AR67" s="8"/>
      <c r="AS67" s="3"/>
      <c r="AT67" s="3"/>
      <c r="AU67" s="3"/>
      <c r="AV67" s="3"/>
      <c r="AW67" s="3"/>
      <c r="AX67" s="8"/>
      <c r="AY67" s="127"/>
      <c r="AZ67" s="5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GO67" s="54"/>
      <c r="GP67" s="54"/>
    </row>
    <row r="68" spans="1:198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5"/>
        <v>0</v>
      </c>
      <c r="N68" s="7">
        <f t="shared" si="6"/>
        <v>0</v>
      </c>
      <c r="O68" s="4"/>
      <c r="P68" s="3"/>
      <c r="Q68" s="3"/>
      <c r="R68" s="3"/>
      <c r="S68" s="3"/>
      <c r="T68" s="3"/>
      <c r="U68" s="5"/>
      <c r="V68" s="125"/>
      <c r="W68" s="8"/>
      <c r="X68" s="3"/>
      <c r="Y68" s="3"/>
      <c r="Z68" s="3"/>
      <c r="AA68" s="3"/>
      <c r="AB68" s="3"/>
      <c r="AC68" s="8"/>
      <c r="AD68" s="8"/>
      <c r="AE68" s="3"/>
      <c r="AF68" s="3"/>
      <c r="AG68" s="3"/>
      <c r="AH68" s="3"/>
      <c r="AI68" s="3"/>
      <c r="AJ68" s="8"/>
      <c r="AK68" s="8"/>
      <c r="AL68" s="3"/>
      <c r="AM68" s="3"/>
      <c r="AN68" s="3"/>
      <c r="AO68" s="3"/>
      <c r="AP68" s="3"/>
      <c r="AQ68" s="8"/>
      <c r="AR68" s="8"/>
      <c r="AS68" s="3"/>
      <c r="AT68" s="3"/>
      <c r="AU68" s="3"/>
      <c r="AV68" s="3"/>
      <c r="AW68" s="3"/>
      <c r="AX68" s="8"/>
      <c r="AY68" s="127"/>
      <c r="AZ68" s="5"/>
      <c r="BA68" s="58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GO68" s="54"/>
      <c r="GP68" s="54"/>
    </row>
    <row r="69" spans="1:198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5"/>
        <v>0</v>
      </c>
      <c r="N69" s="7">
        <f t="shared" si="6"/>
        <v>0</v>
      </c>
      <c r="O69" s="4"/>
      <c r="P69" s="3"/>
      <c r="Q69" s="3"/>
      <c r="R69" s="3"/>
      <c r="S69" s="3"/>
      <c r="T69" s="3"/>
      <c r="U69" s="5"/>
      <c r="V69" s="125"/>
      <c r="W69" s="8"/>
      <c r="X69" s="3"/>
      <c r="Y69" s="3"/>
      <c r="Z69" s="3"/>
      <c r="AA69" s="3"/>
      <c r="AB69" s="3"/>
      <c r="AC69" s="8"/>
      <c r="AD69" s="8"/>
      <c r="AE69" s="3"/>
      <c r="AF69" s="3"/>
      <c r="AG69" s="3"/>
      <c r="AH69" s="3"/>
      <c r="AI69" s="3"/>
      <c r="AJ69" s="8"/>
      <c r="AK69" s="8"/>
      <c r="AL69" s="3"/>
      <c r="AM69" s="3"/>
      <c r="AN69" s="3"/>
      <c r="AO69" s="3"/>
      <c r="AP69" s="3"/>
      <c r="AQ69" s="8"/>
      <c r="AR69" s="8"/>
      <c r="AS69" s="3"/>
      <c r="AT69" s="3"/>
      <c r="AU69" s="3"/>
      <c r="AV69" s="3"/>
      <c r="AW69" s="3"/>
      <c r="AX69" s="8"/>
      <c r="AY69" s="127"/>
      <c r="AZ69" s="5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GO69" s="54"/>
      <c r="GP69" s="54"/>
    </row>
    <row r="70" spans="1:198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5"/>
        <v>0</v>
      </c>
      <c r="N70" s="7">
        <f t="shared" si="6"/>
        <v>0</v>
      </c>
      <c r="O70" s="4"/>
      <c r="P70" s="3"/>
      <c r="Q70" s="3"/>
      <c r="R70" s="3"/>
      <c r="S70" s="3"/>
      <c r="T70" s="3"/>
      <c r="U70" s="5"/>
      <c r="V70" s="125"/>
      <c r="W70" s="8"/>
      <c r="X70" s="3"/>
      <c r="Y70" s="3"/>
      <c r="Z70" s="3"/>
      <c r="AA70" s="3"/>
      <c r="AB70" s="3"/>
      <c r="AC70" s="8"/>
      <c r="AD70" s="8"/>
      <c r="AE70" s="3"/>
      <c r="AF70" s="3"/>
      <c r="AG70" s="3"/>
      <c r="AH70" s="3"/>
      <c r="AI70" s="3"/>
      <c r="AJ70" s="8"/>
      <c r="AK70" s="8"/>
      <c r="AL70" s="3"/>
      <c r="AM70" s="3"/>
      <c r="AN70" s="3"/>
      <c r="AO70" s="3"/>
      <c r="AP70" s="3"/>
      <c r="AQ70" s="8"/>
      <c r="AR70" s="8"/>
      <c r="AS70" s="3"/>
      <c r="AT70" s="3"/>
      <c r="AU70" s="3"/>
      <c r="AV70" s="3"/>
      <c r="AW70" s="3"/>
      <c r="AX70" s="8"/>
      <c r="AY70" s="127"/>
      <c r="AZ70" s="5"/>
      <c r="BA70" s="58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GO70" s="54"/>
      <c r="GP70" s="54"/>
    </row>
    <row r="71" spans="1:198" ht="15" hidden="1" customHeight="1" x14ac:dyDescent="0.25">
      <c r="A71" s="97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5"/>
        <v>0</v>
      </c>
      <c r="N71" s="7">
        <f t="shared" si="6"/>
        <v>0</v>
      </c>
      <c r="O71" s="4"/>
      <c r="P71" s="3"/>
      <c r="Q71" s="3"/>
      <c r="R71" s="3"/>
      <c r="S71" s="3"/>
      <c r="T71" s="3"/>
      <c r="U71" s="5"/>
      <c r="V71" s="125"/>
      <c r="W71" s="8"/>
      <c r="X71" s="3"/>
      <c r="Y71" s="3"/>
      <c r="Z71" s="3"/>
      <c r="AA71" s="3"/>
      <c r="AB71" s="3"/>
      <c r="AC71" s="8"/>
      <c r="AD71" s="8"/>
      <c r="AE71" s="3"/>
      <c r="AF71" s="3"/>
      <c r="AG71" s="3"/>
      <c r="AH71" s="3"/>
      <c r="AI71" s="3"/>
      <c r="AJ71" s="8"/>
      <c r="AK71" s="8"/>
      <c r="AL71" s="3"/>
      <c r="AM71" s="3"/>
      <c r="AN71" s="3"/>
      <c r="AO71" s="3"/>
      <c r="AP71" s="3"/>
      <c r="AQ71" s="8"/>
      <c r="AR71" s="8"/>
      <c r="AS71" s="3"/>
      <c r="AT71" s="3"/>
      <c r="AU71" s="3"/>
      <c r="AV71" s="3"/>
      <c r="AW71" s="3"/>
      <c r="AX71" s="8"/>
      <c r="AY71" s="127"/>
      <c r="AZ71" s="5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GO71" s="54"/>
      <c r="GP71" s="54"/>
    </row>
    <row r="72" spans="1:198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5"/>
        <v>0</v>
      </c>
      <c r="N72" s="7">
        <f t="shared" si="6"/>
        <v>0</v>
      </c>
      <c r="O72" s="4"/>
      <c r="P72" s="3"/>
      <c r="Q72" s="3"/>
      <c r="R72" s="3"/>
      <c r="S72" s="3"/>
      <c r="T72" s="3"/>
      <c r="U72" s="5"/>
      <c r="V72" s="125"/>
      <c r="W72" s="8"/>
      <c r="X72" s="3"/>
      <c r="Y72" s="3"/>
      <c r="Z72" s="3"/>
      <c r="AA72" s="3"/>
      <c r="AB72" s="3"/>
      <c r="AC72" s="8"/>
      <c r="AD72" s="8"/>
      <c r="AE72" s="3"/>
      <c r="AF72" s="3"/>
      <c r="AG72" s="3"/>
      <c r="AH72" s="3"/>
      <c r="AI72" s="3"/>
      <c r="AJ72" s="8"/>
      <c r="AK72" s="8"/>
      <c r="AL72" s="3"/>
      <c r="AM72" s="3"/>
      <c r="AN72" s="3"/>
      <c r="AO72" s="3"/>
      <c r="AP72" s="3"/>
      <c r="AQ72" s="8"/>
      <c r="AR72" s="8"/>
      <c r="AS72" s="3"/>
      <c r="AT72" s="3"/>
      <c r="AU72" s="3"/>
      <c r="AV72" s="3"/>
      <c r="AW72" s="3"/>
      <c r="AX72" s="8"/>
      <c r="AY72" s="127"/>
      <c r="AZ72" s="5"/>
      <c r="BA72" s="58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GO72" s="54"/>
      <c r="GP72" s="54"/>
    </row>
    <row r="73" spans="1:198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5"/>
        <v>0</v>
      </c>
      <c r="N73" s="7">
        <f t="shared" si="6"/>
        <v>0</v>
      </c>
      <c r="O73" s="4"/>
      <c r="P73" s="3"/>
      <c r="Q73" s="3"/>
      <c r="R73" s="3"/>
      <c r="S73" s="3"/>
      <c r="T73" s="3"/>
      <c r="U73" s="5"/>
      <c r="V73" s="125"/>
      <c r="W73" s="8"/>
      <c r="X73" s="3"/>
      <c r="Y73" s="3"/>
      <c r="Z73" s="3"/>
      <c r="AA73" s="3"/>
      <c r="AB73" s="3"/>
      <c r="AC73" s="8"/>
      <c r="AD73" s="8"/>
      <c r="AE73" s="3"/>
      <c r="AF73" s="3"/>
      <c r="AG73" s="3"/>
      <c r="AH73" s="3"/>
      <c r="AI73" s="3"/>
      <c r="AJ73" s="8"/>
      <c r="AK73" s="8"/>
      <c r="AL73" s="3"/>
      <c r="AM73" s="3"/>
      <c r="AN73" s="3"/>
      <c r="AO73" s="3"/>
      <c r="AP73" s="3"/>
      <c r="AQ73" s="8"/>
      <c r="AR73" s="8"/>
      <c r="AS73" s="3"/>
      <c r="AT73" s="3"/>
      <c r="AU73" s="3"/>
      <c r="AV73" s="3"/>
      <c r="AW73" s="3"/>
      <c r="AX73" s="8"/>
      <c r="AY73" s="127"/>
      <c r="AZ73" s="5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GO73" s="54"/>
      <c r="GP73" s="54"/>
    </row>
    <row r="74" spans="1:198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5"/>
        <v>0</v>
      </c>
      <c r="N74" s="7">
        <f t="shared" si="6"/>
        <v>0</v>
      </c>
      <c r="O74" s="4"/>
      <c r="P74" s="3"/>
      <c r="Q74" s="3"/>
      <c r="R74" s="3"/>
      <c r="S74" s="3"/>
      <c r="T74" s="3"/>
      <c r="U74" s="5"/>
      <c r="V74" s="125"/>
      <c r="W74" s="8"/>
      <c r="X74" s="3"/>
      <c r="Y74" s="3"/>
      <c r="Z74" s="3"/>
      <c r="AA74" s="3"/>
      <c r="AB74" s="3"/>
      <c r="AC74" s="8"/>
      <c r="AD74" s="8"/>
      <c r="AE74" s="3"/>
      <c r="AF74" s="3"/>
      <c r="AG74" s="3"/>
      <c r="AH74" s="3"/>
      <c r="AI74" s="3"/>
      <c r="AJ74" s="8"/>
      <c r="AK74" s="8"/>
      <c r="AL74" s="3"/>
      <c r="AM74" s="3"/>
      <c r="AN74" s="3"/>
      <c r="AO74" s="3"/>
      <c r="AP74" s="3"/>
      <c r="AQ74" s="8"/>
      <c r="AR74" s="8"/>
      <c r="AS74" s="3"/>
      <c r="AT74" s="3"/>
      <c r="AU74" s="3"/>
      <c r="AV74" s="3"/>
      <c r="AW74" s="3"/>
      <c r="AX74" s="8"/>
      <c r="AY74" s="127"/>
      <c r="AZ74" s="5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GO74" s="54"/>
      <c r="GP74" s="54"/>
    </row>
    <row r="75" spans="1:198" ht="15" hidden="1" customHeight="1" x14ac:dyDescent="0.25">
      <c r="A75" s="97">
        <v>64</v>
      </c>
      <c r="B75" s="103"/>
      <c r="C75" s="104"/>
      <c r="D75" s="2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5"/>
        <v>0</v>
      </c>
      <c r="N75" s="7">
        <f t="shared" si="6"/>
        <v>0</v>
      </c>
      <c r="O75" s="4"/>
      <c r="P75" s="3"/>
      <c r="Q75" s="3"/>
      <c r="R75" s="3"/>
      <c r="S75" s="3"/>
      <c r="T75" s="3"/>
      <c r="U75" s="5"/>
      <c r="V75" s="125"/>
      <c r="W75" s="8"/>
      <c r="X75" s="3"/>
      <c r="Y75" s="3"/>
      <c r="Z75" s="3"/>
      <c r="AA75" s="3"/>
      <c r="AB75" s="3"/>
      <c r="AC75" s="8"/>
      <c r="AD75" s="8"/>
      <c r="AE75" s="3"/>
      <c r="AF75" s="3"/>
      <c r="AG75" s="3"/>
      <c r="AH75" s="3"/>
      <c r="AI75" s="3"/>
      <c r="AJ75" s="8"/>
      <c r="AK75" s="8"/>
      <c r="AL75" s="3"/>
      <c r="AM75" s="3"/>
      <c r="AN75" s="3"/>
      <c r="AO75" s="3"/>
      <c r="AP75" s="3"/>
      <c r="AQ75" s="8"/>
      <c r="AR75" s="8"/>
      <c r="AS75" s="3"/>
      <c r="AT75" s="3"/>
      <c r="AU75" s="3"/>
      <c r="AV75" s="3"/>
      <c r="AW75" s="3"/>
      <c r="AX75" s="8"/>
      <c r="AY75" s="127"/>
      <c r="AZ75" s="5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GO75" s="54"/>
      <c r="GP75" s="54"/>
    </row>
    <row r="76" spans="1:198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2">IF(I76&gt;0,12,"")</f>
        <v/>
      </c>
      <c r="K76" s="6" t="str">
        <f t="shared" si="10"/>
        <v/>
      </c>
      <c r="L76" s="6" t="str">
        <f t="shared" si="11"/>
        <v/>
      </c>
      <c r="M76" s="6">
        <f t="shared" si="5"/>
        <v>0</v>
      </c>
      <c r="N76" s="7">
        <f t="shared" si="6"/>
        <v>0</v>
      </c>
      <c r="O76" s="4"/>
      <c r="P76" s="3"/>
      <c r="Q76" s="3"/>
      <c r="R76" s="3"/>
      <c r="S76" s="3"/>
      <c r="T76" s="3"/>
      <c r="U76" s="5"/>
      <c r="V76" s="125"/>
      <c r="W76" s="8"/>
      <c r="X76" s="3"/>
      <c r="Y76" s="3"/>
      <c r="Z76" s="3"/>
      <c r="AA76" s="3"/>
      <c r="AB76" s="3"/>
      <c r="AC76" s="8"/>
      <c r="AD76" s="8"/>
      <c r="AE76" s="3"/>
      <c r="AF76" s="3"/>
      <c r="AG76" s="3"/>
      <c r="AH76" s="3"/>
      <c r="AI76" s="3"/>
      <c r="AJ76" s="8"/>
      <c r="AK76" s="8"/>
      <c r="AL76" s="3"/>
      <c r="AM76" s="3"/>
      <c r="AN76" s="3"/>
      <c r="AO76" s="3"/>
      <c r="AP76" s="3"/>
      <c r="AQ76" s="8"/>
      <c r="AR76" s="8"/>
      <c r="AS76" s="3"/>
      <c r="AT76" s="3"/>
      <c r="AU76" s="3"/>
      <c r="AV76" s="3"/>
      <c r="AW76" s="3"/>
      <c r="AX76" s="8"/>
      <c r="AY76" s="127"/>
      <c r="AZ76" s="5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GO76" s="54"/>
      <c r="GP76" s="54"/>
    </row>
    <row r="77" spans="1:198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2"/>
        <v/>
      </c>
      <c r="H77" s="100" t="str">
        <f t="shared" si="3"/>
        <v/>
      </c>
      <c r="I77" s="101">
        <f t="shared" si="0"/>
        <v>0</v>
      </c>
      <c r="J77" s="100" t="str">
        <f t="shared" si="12"/>
        <v/>
      </c>
      <c r="K77" s="6" t="str">
        <f t="shared" si="4"/>
        <v/>
      </c>
      <c r="L77" s="6" t="str">
        <f t="shared" si="4"/>
        <v/>
      </c>
      <c r="M77" s="6">
        <f t="shared" ref="M77:M111" si="13">(IF(O77="hT",4,0))+(IF(P77="hT",4,0))+(IF(Q77="hT",4,0))+(IF(R77="hT",4,0))+(IF(S77="hT",4,0))+T77+(COUNTIF(W77:AZ77,"hT"))</f>
        <v>0</v>
      </c>
      <c r="N77" s="7">
        <f t="shared" ref="N77:N111" si="14">(IF(O77="x",4,0))+(IF(P77="x",4,0))+(IF(Q77="x",4,0))+(IF(R77="x",4,0))+(IF(S77="x",4,0))+U77+(COUNTIF(W77:AZ77,"x"))</f>
        <v>0</v>
      </c>
      <c r="O77" s="4"/>
      <c r="P77" s="3"/>
      <c r="Q77" s="3"/>
      <c r="R77" s="3"/>
      <c r="S77" s="3"/>
      <c r="T77" s="3"/>
      <c r="U77" s="5"/>
      <c r="V77" s="125"/>
      <c r="W77" s="8"/>
      <c r="X77" s="3"/>
      <c r="Y77" s="3"/>
      <c r="Z77" s="3"/>
      <c r="AA77" s="3"/>
      <c r="AB77" s="3"/>
      <c r="AC77" s="8"/>
      <c r="AD77" s="8"/>
      <c r="AE77" s="3"/>
      <c r="AF77" s="3"/>
      <c r="AG77" s="3"/>
      <c r="AH77" s="3"/>
      <c r="AI77" s="3"/>
      <c r="AJ77" s="8"/>
      <c r="AK77" s="8"/>
      <c r="AL77" s="3"/>
      <c r="AM77" s="3"/>
      <c r="AN77" s="3"/>
      <c r="AO77" s="3"/>
      <c r="AP77" s="3"/>
      <c r="AQ77" s="8"/>
      <c r="AR77" s="8"/>
      <c r="AS77" s="3"/>
      <c r="AT77" s="3"/>
      <c r="AU77" s="3"/>
      <c r="AV77" s="3"/>
      <c r="AW77" s="3"/>
      <c r="AX77" s="8"/>
      <c r="AY77" s="127"/>
      <c r="AZ77" s="5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GO77" s="54"/>
      <c r="GP77" s="54"/>
    </row>
    <row r="78" spans="1:198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2"/>
        <v/>
      </c>
      <c r="H78" s="100" t="str">
        <f t="shared" si="3"/>
        <v/>
      </c>
      <c r="I78" s="101">
        <f t="shared" si="0"/>
        <v>0</v>
      </c>
      <c r="J78" s="100" t="str">
        <f t="shared" si="12"/>
        <v/>
      </c>
      <c r="K78" s="6" t="str">
        <f t="shared" si="4"/>
        <v/>
      </c>
      <c r="L78" s="6" t="str">
        <f t="shared" si="4"/>
        <v/>
      </c>
      <c r="M78" s="6">
        <f t="shared" si="13"/>
        <v>0</v>
      </c>
      <c r="N78" s="7">
        <f t="shared" si="14"/>
        <v>0</v>
      </c>
      <c r="O78" s="4"/>
      <c r="P78" s="3"/>
      <c r="Q78" s="3"/>
      <c r="R78" s="3"/>
      <c r="S78" s="3"/>
      <c r="T78" s="3"/>
      <c r="U78" s="5"/>
      <c r="V78" s="125"/>
      <c r="W78" s="8"/>
      <c r="X78" s="3"/>
      <c r="Y78" s="3"/>
      <c r="Z78" s="3"/>
      <c r="AA78" s="3"/>
      <c r="AB78" s="3"/>
      <c r="AC78" s="8"/>
      <c r="AD78" s="8"/>
      <c r="AE78" s="3"/>
      <c r="AF78" s="3"/>
      <c r="AG78" s="3"/>
      <c r="AH78" s="3"/>
      <c r="AI78" s="3"/>
      <c r="AJ78" s="8"/>
      <c r="AK78" s="8"/>
      <c r="AL78" s="3"/>
      <c r="AM78" s="3"/>
      <c r="AN78" s="3"/>
      <c r="AO78" s="3"/>
      <c r="AP78" s="3"/>
      <c r="AQ78" s="8"/>
      <c r="AR78" s="8"/>
      <c r="AS78" s="3"/>
      <c r="AT78" s="3"/>
      <c r="AU78" s="3"/>
      <c r="AV78" s="3"/>
      <c r="AW78" s="3"/>
      <c r="AX78" s="8"/>
      <c r="AY78" s="127"/>
      <c r="AZ78" s="5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GO78" s="54"/>
      <c r="GP78" s="54"/>
    </row>
    <row r="79" spans="1:198" ht="15" hidden="1" customHeight="1" x14ac:dyDescent="0.25">
      <c r="A79" s="102">
        <v>68</v>
      </c>
      <c r="B79" s="103"/>
      <c r="C79" s="104"/>
      <c r="D79" s="2"/>
      <c r="E79" s="105"/>
      <c r="F79" s="105"/>
      <c r="G79" s="100" t="str">
        <f t="shared" si="2"/>
        <v/>
      </c>
      <c r="H79" s="100" t="str">
        <f t="shared" si="3"/>
        <v/>
      </c>
      <c r="I79" s="101">
        <f t="shared" si="0"/>
        <v>0</v>
      </c>
      <c r="J79" s="100" t="str">
        <f t="shared" si="12"/>
        <v/>
      </c>
      <c r="K79" s="6" t="str">
        <f t="shared" si="4"/>
        <v/>
      </c>
      <c r="L79" s="6" t="str">
        <f t="shared" si="4"/>
        <v/>
      </c>
      <c r="M79" s="6">
        <f t="shared" si="13"/>
        <v>0</v>
      </c>
      <c r="N79" s="7">
        <f t="shared" si="14"/>
        <v>0</v>
      </c>
      <c r="O79" s="4"/>
      <c r="P79" s="3"/>
      <c r="Q79" s="3"/>
      <c r="R79" s="3"/>
      <c r="S79" s="3"/>
      <c r="T79" s="3"/>
      <c r="U79" s="5"/>
      <c r="V79" s="125"/>
      <c r="W79" s="8"/>
      <c r="X79" s="3"/>
      <c r="Y79" s="3"/>
      <c r="Z79" s="3"/>
      <c r="AA79" s="3"/>
      <c r="AB79" s="3"/>
      <c r="AC79" s="8"/>
      <c r="AD79" s="8"/>
      <c r="AE79" s="3"/>
      <c r="AF79" s="3"/>
      <c r="AG79" s="3"/>
      <c r="AH79" s="3"/>
      <c r="AI79" s="3"/>
      <c r="AJ79" s="8"/>
      <c r="AK79" s="8"/>
      <c r="AL79" s="3"/>
      <c r="AM79" s="3"/>
      <c r="AN79" s="3"/>
      <c r="AO79" s="3"/>
      <c r="AP79" s="3"/>
      <c r="AQ79" s="8"/>
      <c r="AR79" s="8"/>
      <c r="AS79" s="3"/>
      <c r="AT79" s="3"/>
      <c r="AU79" s="3"/>
      <c r="AV79" s="3"/>
      <c r="AW79" s="3"/>
      <c r="AX79" s="8"/>
      <c r="AY79" s="127"/>
      <c r="AZ79" s="5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GO79" s="54"/>
      <c r="GP79" s="54"/>
    </row>
    <row r="80" spans="1:198" ht="15" hidden="1" customHeight="1" x14ac:dyDescent="0.25">
      <c r="A80" s="97">
        <v>69</v>
      </c>
      <c r="B80" s="103"/>
      <c r="C80" s="104"/>
      <c r="D80" s="1"/>
      <c r="E80" s="105"/>
      <c r="F80" s="105"/>
      <c r="G80" s="100" t="str">
        <f t="shared" si="2"/>
        <v/>
      </c>
      <c r="H80" s="100" t="str">
        <f t="shared" si="3"/>
        <v/>
      </c>
      <c r="I80" s="101">
        <f t="shared" si="0"/>
        <v>0</v>
      </c>
      <c r="J80" s="100" t="str">
        <f t="shared" si="12"/>
        <v/>
      </c>
      <c r="K80" s="6" t="str">
        <f t="shared" si="4"/>
        <v/>
      </c>
      <c r="L80" s="6" t="str">
        <f t="shared" si="4"/>
        <v/>
      </c>
      <c r="M80" s="6">
        <f t="shared" si="13"/>
        <v>0</v>
      </c>
      <c r="N80" s="7">
        <f t="shared" si="14"/>
        <v>0</v>
      </c>
      <c r="O80" s="4"/>
      <c r="P80" s="3"/>
      <c r="Q80" s="3"/>
      <c r="R80" s="3"/>
      <c r="S80" s="3"/>
      <c r="T80" s="3"/>
      <c r="U80" s="5"/>
      <c r="V80" s="125"/>
      <c r="W80" s="8"/>
      <c r="X80" s="3"/>
      <c r="Y80" s="3"/>
      <c r="Z80" s="3"/>
      <c r="AA80" s="3"/>
      <c r="AB80" s="3"/>
      <c r="AC80" s="8"/>
      <c r="AD80" s="8"/>
      <c r="AE80" s="3"/>
      <c r="AF80" s="3"/>
      <c r="AG80" s="3"/>
      <c r="AH80" s="3"/>
      <c r="AI80" s="3"/>
      <c r="AJ80" s="8"/>
      <c r="AK80" s="8"/>
      <c r="AL80" s="3"/>
      <c r="AM80" s="3"/>
      <c r="AN80" s="3"/>
      <c r="AO80" s="3"/>
      <c r="AP80" s="3"/>
      <c r="AQ80" s="8"/>
      <c r="AR80" s="8"/>
      <c r="AS80" s="3"/>
      <c r="AT80" s="3"/>
      <c r="AU80" s="3"/>
      <c r="AV80" s="3"/>
      <c r="AW80" s="3"/>
      <c r="AX80" s="8"/>
      <c r="AY80" s="127"/>
      <c r="AZ80" s="5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GO80" s="54"/>
      <c r="GP80" s="54"/>
    </row>
    <row r="81" spans="1:198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2"/>
        <v/>
      </c>
      <c r="H81" s="100" t="str">
        <f t="shared" si="3"/>
        <v/>
      </c>
      <c r="I81" s="101">
        <f t="shared" si="0"/>
        <v>0</v>
      </c>
      <c r="J81" s="100" t="str">
        <f t="shared" si="12"/>
        <v/>
      </c>
      <c r="K81" s="6" t="str">
        <f t="shared" si="4"/>
        <v/>
      </c>
      <c r="L81" s="6" t="str">
        <f t="shared" si="4"/>
        <v/>
      </c>
      <c r="M81" s="6">
        <f t="shared" si="13"/>
        <v>0</v>
      </c>
      <c r="N81" s="7">
        <f t="shared" si="14"/>
        <v>0</v>
      </c>
      <c r="O81" s="4"/>
      <c r="P81" s="3"/>
      <c r="Q81" s="3"/>
      <c r="R81" s="3"/>
      <c r="S81" s="3"/>
      <c r="T81" s="3"/>
      <c r="U81" s="5"/>
      <c r="V81" s="125"/>
      <c r="W81" s="8"/>
      <c r="X81" s="3"/>
      <c r="Y81" s="3"/>
      <c r="Z81" s="3"/>
      <c r="AA81" s="3"/>
      <c r="AB81" s="3"/>
      <c r="AC81" s="8"/>
      <c r="AD81" s="8"/>
      <c r="AE81" s="3"/>
      <c r="AF81" s="3"/>
      <c r="AG81" s="3"/>
      <c r="AH81" s="3"/>
      <c r="AI81" s="3"/>
      <c r="AJ81" s="8"/>
      <c r="AK81" s="8"/>
      <c r="AL81" s="3"/>
      <c r="AM81" s="3"/>
      <c r="AN81" s="3"/>
      <c r="AO81" s="3"/>
      <c r="AP81" s="3"/>
      <c r="AQ81" s="8"/>
      <c r="AR81" s="8"/>
      <c r="AS81" s="3"/>
      <c r="AT81" s="3"/>
      <c r="AU81" s="3"/>
      <c r="AV81" s="3"/>
      <c r="AW81" s="3"/>
      <c r="AX81" s="8"/>
      <c r="AY81" s="127"/>
      <c r="AZ81" s="5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GO81" s="54"/>
      <c r="GP81" s="54"/>
    </row>
    <row r="82" spans="1:198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2"/>
        <v/>
      </c>
      <c r="H82" s="100" t="str">
        <f t="shared" si="3"/>
        <v/>
      </c>
      <c r="I82" s="101">
        <f t="shared" si="0"/>
        <v>0</v>
      </c>
      <c r="J82" s="100" t="str">
        <f t="shared" si="12"/>
        <v/>
      </c>
      <c r="K82" s="6" t="str">
        <f t="shared" si="4"/>
        <v/>
      </c>
      <c r="L82" s="6" t="str">
        <f t="shared" si="4"/>
        <v/>
      </c>
      <c r="M82" s="6">
        <f t="shared" si="13"/>
        <v>0</v>
      </c>
      <c r="N82" s="7">
        <f t="shared" si="14"/>
        <v>0</v>
      </c>
      <c r="O82" s="4"/>
      <c r="P82" s="3"/>
      <c r="Q82" s="3"/>
      <c r="R82" s="3"/>
      <c r="S82" s="3"/>
      <c r="T82" s="3"/>
      <c r="U82" s="5"/>
      <c r="V82" s="125"/>
      <c r="W82" s="8"/>
      <c r="X82" s="3"/>
      <c r="Y82" s="3"/>
      <c r="Z82" s="3"/>
      <c r="AA82" s="3"/>
      <c r="AB82" s="3"/>
      <c r="AC82" s="8"/>
      <c r="AD82" s="8"/>
      <c r="AE82" s="3"/>
      <c r="AF82" s="3"/>
      <c r="AG82" s="3"/>
      <c r="AH82" s="3"/>
      <c r="AI82" s="3"/>
      <c r="AJ82" s="8"/>
      <c r="AK82" s="8"/>
      <c r="AL82" s="3"/>
      <c r="AM82" s="3"/>
      <c r="AN82" s="3"/>
      <c r="AO82" s="3"/>
      <c r="AP82" s="3"/>
      <c r="AQ82" s="8"/>
      <c r="AR82" s="8"/>
      <c r="AS82" s="3"/>
      <c r="AT82" s="3"/>
      <c r="AU82" s="3"/>
      <c r="AV82" s="3"/>
      <c r="AW82" s="3"/>
      <c r="AX82" s="8"/>
      <c r="AY82" s="127"/>
      <c r="AZ82" s="5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GO82" s="54"/>
      <c r="GP82" s="54"/>
    </row>
    <row r="83" spans="1:198" ht="15" hidden="1" customHeight="1" x14ac:dyDescent="0.25">
      <c r="A83" s="102">
        <v>72</v>
      </c>
      <c r="B83" s="103"/>
      <c r="C83" s="104"/>
      <c r="D83" s="1"/>
      <c r="E83" s="105"/>
      <c r="F83" s="105"/>
      <c r="G83" s="100" t="str">
        <f t="shared" si="2"/>
        <v/>
      </c>
      <c r="H83" s="100" t="str">
        <f t="shared" si="3"/>
        <v/>
      </c>
      <c r="I83" s="101">
        <f t="shared" si="0"/>
        <v>0</v>
      </c>
      <c r="J83" s="100" t="str">
        <f t="shared" si="12"/>
        <v/>
      </c>
      <c r="K83" s="6" t="str">
        <f t="shared" si="4"/>
        <v/>
      </c>
      <c r="L83" s="6" t="str">
        <f t="shared" si="4"/>
        <v/>
      </c>
      <c r="M83" s="6">
        <f t="shared" si="13"/>
        <v>0</v>
      </c>
      <c r="N83" s="7">
        <f t="shared" si="14"/>
        <v>0</v>
      </c>
      <c r="O83" s="4"/>
      <c r="P83" s="3"/>
      <c r="Q83" s="3"/>
      <c r="R83" s="3"/>
      <c r="S83" s="3"/>
      <c r="T83" s="3"/>
      <c r="U83" s="5"/>
      <c r="V83" s="125"/>
      <c r="W83" s="8"/>
      <c r="X83" s="3"/>
      <c r="Y83" s="3"/>
      <c r="Z83" s="3"/>
      <c r="AA83" s="3"/>
      <c r="AB83" s="3"/>
      <c r="AC83" s="8"/>
      <c r="AD83" s="8"/>
      <c r="AE83" s="3"/>
      <c r="AF83" s="3"/>
      <c r="AG83" s="3"/>
      <c r="AH83" s="3"/>
      <c r="AI83" s="3"/>
      <c r="AJ83" s="8"/>
      <c r="AK83" s="8"/>
      <c r="AL83" s="3"/>
      <c r="AM83" s="3"/>
      <c r="AN83" s="3"/>
      <c r="AO83" s="3"/>
      <c r="AP83" s="3"/>
      <c r="AQ83" s="8"/>
      <c r="AR83" s="8"/>
      <c r="AS83" s="3"/>
      <c r="AT83" s="3"/>
      <c r="AU83" s="3"/>
      <c r="AV83" s="3"/>
      <c r="AW83" s="3"/>
      <c r="AX83" s="8"/>
      <c r="AY83" s="127"/>
      <c r="AZ83" s="5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GO83" s="54"/>
      <c r="GP83" s="54"/>
    </row>
    <row r="84" spans="1:198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2"/>
        <v/>
      </c>
      <c r="H84" s="100" t="str">
        <f t="shared" si="3"/>
        <v/>
      </c>
      <c r="I84" s="101">
        <f t="shared" si="0"/>
        <v>0</v>
      </c>
      <c r="J84" s="100" t="str">
        <f t="shared" si="12"/>
        <v/>
      </c>
      <c r="K84" s="6" t="str">
        <f t="shared" si="4"/>
        <v/>
      </c>
      <c r="L84" s="6" t="str">
        <f t="shared" si="4"/>
        <v/>
      </c>
      <c r="M84" s="6">
        <f t="shared" si="13"/>
        <v>0</v>
      </c>
      <c r="N84" s="7">
        <f t="shared" si="14"/>
        <v>0</v>
      </c>
      <c r="O84" s="4"/>
      <c r="P84" s="3"/>
      <c r="Q84" s="3"/>
      <c r="R84" s="3"/>
      <c r="S84" s="3"/>
      <c r="T84" s="3"/>
      <c r="U84" s="5"/>
      <c r="V84" s="125"/>
      <c r="W84" s="8"/>
      <c r="X84" s="3"/>
      <c r="Y84" s="3"/>
      <c r="Z84" s="3"/>
      <c r="AA84" s="3"/>
      <c r="AB84" s="3"/>
      <c r="AC84" s="8"/>
      <c r="AD84" s="8"/>
      <c r="AE84" s="3"/>
      <c r="AF84" s="3"/>
      <c r="AG84" s="3"/>
      <c r="AH84" s="3"/>
      <c r="AI84" s="3"/>
      <c r="AJ84" s="8"/>
      <c r="AK84" s="8"/>
      <c r="AL84" s="3"/>
      <c r="AM84" s="3"/>
      <c r="AN84" s="3"/>
      <c r="AO84" s="3"/>
      <c r="AP84" s="3"/>
      <c r="AQ84" s="8"/>
      <c r="AR84" s="8"/>
      <c r="AS84" s="3"/>
      <c r="AT84" s="3"/>
      <c r="AU84" s="3"/>
      <c r="AV84" s="3"/>
      <c r="AW84" s="3"/>
      <c r="AX84" s="8"/>
      <c r="AY84" s="127"/>
      <c r="AZ84" s="5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GO84" s="54"/>
      <c r="GP84" s="54"/>
    </row>
    <row r="85" spans="1:198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2"/>
        <v/>
      </c>
      <c r="H85" s="100" t="str">
        <f t="shared" si="3"/>
        <v/>
      </c>
      <c r="I85" s="101">
        <f t="shared" si="0"/>
        <v>0</v>
      </c>
      <c r="J85" s="100" t="str">
        <f t="shared" si="12"/>
        <v/>
      </c>
      <c r="K85" s="6" t="str">
        <f t="shared" si="4"/>
        <v/>
      </c>
      <c r="L85" s="6" t="str">
        <f t="shared" si="4"/>
        <v/>
      </c>
      <c r="M85" s="6">
        <f t="shared" si="13"/>
        <v>0</v>
      </c>
      <c r="N85" s="7">
        <f t="shared" si="14"/>
        <v>0</v>
      </c>
      <c r="O85" s="4"/>
      <c r="P85" s="3"/>
      <c r="Q85" s="3"/>
      <c r="R85" s="3"/>
      <c r="S85" s="3"/>
      <c r="T85" s="3"/>
      <c r="U85" s="5"/>
      <c r="V85" s="125"/>
      <c r="W85" s="8"/>
      <c r="X85" s="3"/>
      <c r="Y85" s="3"/>
      <c r="Z85" s="3"/>
      <c r="AA85" s="3"/>
      <c r="AB85" s="3"/>
      <c r="AC85" s="8"/>
      <c r="AD85" s="8"/>
      <c r="AE85" s="3"/>
      <c r="AF85" s="3"/>
      <c r="AG85" s="3"/>
      <c r="AH85" s="3"/>
      <c r="AI85" s="3"/>
      <c r="AJ85" s="8"/>
      <c r="AK85" s="8"/>
      <c r="AL85" s="3"/>
      <c r="AM85" s="3"/>
      <c r="AN85" s="3"/>
      <c r="AO85" s="3"/>
      <c r="AP85" s="3"/>
      <c r="AQ85" s="8"/>
      <c r="AR85" s="8"/>
      <c r="AS85" s="3"/>
      <c r="AT85" s="3"/>
      <c r="AU85" s="3"/>
      <c r="AV85" s="3"/>
      <c r="AW85" s="3"/>
      <c r="AX85" s="8"/>
      <c r="AY85" s="127"/>
      <c r="AZ85" s="5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GO85" s="54"/>
      <c r="GP85" s="54"/>
    </row>
    <row r="86" spans="1:198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2"/>
        <v/>
      </c>
      <c r="H86" s="100" t="str">
        <f t="shared" si="3"/>
        <v/>
      </c>
      <c r="I86" s="101">
        <f t="shared" si="0"/>
        <v>0</v>
      </c>
      <c r="J86" s="100" t="str">
        <f t="shared" si="12"/>
        <v/>
      </c>
      <c r="K86" s="6" t="str">
        <f t="shared" si="4"/>
        <v/>
      </c>
      <c r="L86" s="6" t="str">
        <f t="shared" si="4"/>
        <v/>
      </c>
      <c r="M86" s="6">
        <f t="shared" si="13"/>
        <v>0</v>
      </c>
      <c r="N86" s="7">
        <f t="shared" si="14"/>
        <v>0</v>
      </c>
      <c r="O86" s="4"/>
      <c r="P86" s="3"/>
      <c r="Q86" s="3"/>
      <c r="R86" s="3"/>
      <c r="S86" s="3"/>
      <c r="T86" s="3"/>
      <c r="U86" s="5"/>
      <c r="V86" s="125"/>
      <c r="W86" s="8"/>
      <c r="X86" s="3"/>
      <c r="Y86" s="3"/>
      <c r="Z86" s="3"/>
      <c r="AA86" s="3"/>
      <c r="AB86" s="3"/>
      <c r="AC86" s="8"/>
      <c r="AD86" s="8"/>
      <c r="AE86" s="3"/>
      <c r="AF86" s="3"/>
      <c r="AG86" s="3"/>
      <c r="AH86" s="3"/>
      <c r="AI86" s="3"/>
      <c r="AJ86" s="8"/>
      <c r="AK86" s="8"/>
      <c r="AL86" s="3"/>
      <c r="AM86" s="3"/>
      <c r="AN86" s="3"/>
      <c r="AO86" s="3"/>
      <c r="AP86" s="3"/>
      <c r="AQ86" s="8"/>
      <c r="AR86" s="8"/>
      <c r="AS86" s="3"/>
      <c r="AT86" s="3"/>
      <c r="AU86" s="3"/>
      <c r="AV86" s="3"/>
      <c r="AW86" s="3"/>
      <c r="AX86" s="8"/>
      <c r="AY86" s="127"/>
      <c r="AZ86" s="5"/>
      <c r="BA86" s="59"/>
      <c r="BB86" s="59"/>
      <c r="GO86" s="54"/>
      <c r="GP86" s="54"/>
    </row>
    <row r="87" spans="1:198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2"/>
        <v/>
      </c>
      <c r="H87" s="100" t="str">
        <f t="shared" si="3"/>
        <v/>
      </c>
      <c r="I87" s="101">
        <f t="shared" si="0"/>
        <v>0</v>
      </c>
      <c r="J87" s="100" t="str">
        <f t="shared" si="12"/>
        <v/>
      </c>
      <c r="K87" s="6" t="str">
        <f t="shared" si="4"/>
        <v/>
      </c>
      <c r="L87" s="6" t="str">
        <f t="shared" si="4"/>
        <v/>
      </c>
      <c r="M87" s="6">
        <f t="shared" si="13"/>
        <v>0</v>
      </c>
      <c r="N87" s="7">
        <f t="shared" si="14"/>
        <v>0</v>
      </c>
      <c r="O87" s="4"/>
      <c r="P87" s="3"/>
      <c r="Q87" s="3"/>
      <c r="R87" s="3"/>
      <c r="S87" s="3"/>
      <c r="T87" s="3"/>
      <c r="U87" s="5"/>
      <c r="V87" s="125"/>
      <c r="W87" s="8"/>
      <c r="X87" s="3"/>
      <c r="Y87" s="3"/>
      <c r="Z87" s="3"/>
      <c r="AA87" s="3"/>
      <c r="AB87" s="3"/>
      <c r="AC87" s="8"/>
      <c r="AD87" s="8"/>
      <c r="AE87" s="3"/>
      <c r="AF87" s="3"/>
      <c r="AG87" s="3"/>
      <c r="AH87" s="3"/>
      <c r="AI87" s="3"/>
      <c r="AJ87" s="8"/>
      <c r="AK87" s="8"/>
      <c r="AL87" s="3"/>
      <c r="AM87" s="3"/>
      <c r="AN87" s="3"/>
      <c r="AO87" s="3"/>
      <c r="AP87" s="3"/>
      <c r="AQ87" s="8"/>
      <c r="AR87" s="8"/>
      <c r="AS87" s="3"/>
      <c r="AT87" s="3"/>
      <c r="AU87" s="3"/>
      <c r="AV87" s="3"/>
      <c r="AW87" s="3"/>
      <c r="AX87" s="8"/>
      <c r="AY87" s="127"/>
      <c r="AZ87" s="5"/>
      <c r="BA87" s="59"/>
      <c r="BB87" s="59"/>
      <c r="GO87" s="54"/>
      <c r="GP87" s="54"/>
    </row>
    <row r="88" spans="1:198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2"/>
        <v/>
      </c>
      <c r="H88" s="100" t="str">
        <f t="shared" si="3"/>
        <v/>
      </c>
      <c r="I88" s="101">
        <f t="shared" si="0"/>
        <v>0</v>
      </c>
      <c r="J88" s="100" t="str">
        <f t="shared" si="12"/>
        <v/>
      </c>
      <c r="K88" s="6" t="str">
        <f t="shared" si="4"/>
        <v/>
      </c>
      <c r="L88" s="6" t="str">
        <f t="shared" si="4"/>
        <v/>
      </c>
      <c r="M88" s="6">
        <f t="shared" si="13"/>
        <v>0</v>
      </c>
      <c r="N88" s="7">
        <f t="shared" si="14"/>
        <v>0</v>
      </c>
      <c r="O88" s="4"/>
      <c r="P88" s="3"/>
      <c r="Q88" s="3"/>
      <c r="R88" s="3"/>
      <c r="S88" s="3"/>
      <c r="T88" s="3"/>
      <c r="U88" s="5"/>
      <c r="V88" s="125"/>
      <c r="W88" s="8"/>
      <c r="X88" s="3"/>
      <c r="Y88" s="3"/>
      <c r="Z88" s="3"/>
      <c r="AA88" s="3"/>
      <c r="AB88" s="3"/>
      <c r="AC88" s="8"/>
      <c r="AD88" s="8"/>
      <c r="AE88" s="3"/>
      <c r="AF88" s="3"/>
      <c r="AG88" s="3"/>
      <c r="AH88" s="3"/>
      <c r="AI88" s="3"/>
      <c r="AJ88" s="8"/>
      <c r="AK88" s="8"/>
      <c r="AL88" s="3"/>
      <c r="AM88" s="3"/>
      <c r="AN88" s="3"/>
      <c r="AO88" s="3"/>
      <c r="AP88" s="3"/>
      <c r="AQ88" s="8"/>
      <c r="AR88" s="8"/>
      <c r="AS88" s="3"/>
      <c r="AT88" s="3"/>
      <c r="AU88" s="3"/>
      <c r="AV88" s="3"/>
      <c r="AW88" s="3"/>
      <c r="AX88" s="8"/>
      <c r="AY88" s="127"/>
      <c r="AZ88" s="5"/>
      <c r="BA88" s="59"/>
      <c r="BB88" s="59"/>
      <c r="GO88" s="54"/>
      <c r="GP88" s="54"/>
    </row>
    <row r="89" spans="1:198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2"/>
        <v/>
      </c>
      <c r="H89" s="100" t="str">
        <f t="shared" si="3"/>
        <v/>
      </c>
      <c r="I89" s="101">
        <f t="shared" si="0"/>
        <v>0</v>
      </c>
      <c r="J89" s="100" t="str">
        <f t="shared" si="12"/>
        <v/>
      </c>
      <c r="K89" s="6" t="str">
        <f t="shared" si="4"/>
        <v/>
      </c>
      <c r="L89" s="6" t="str">
        <f t="shared" si="4"/>
        <v/>
      </c>
      <c r="M89" s="6">
        <f t="shared" si="13"/>
        <v>0</v>
      </c>
      <c r="N89" s="7">
        <f t="shared" si="14"/>
        <v>0</v>
      </c>
      <c r="O89" s="4"/>
      <c r="P89" s="3"/>
      <c r="Q89" s="3"/>
      <c r="R89" s="3"/>
      <c r="S89" s="3"/>
      <c r="T89" s="3"/>
      <c r="U89" s="5"/>
      <c r="V89" s="125"/>
      <c r="W89" s="8"/>
      <c r="X89" s="3"/>
      <c r="Y89" s="3"/>
      <c r="Z89" s="3"/>
      <c r="AA89" s="3"/>
      <c r="AB89" s="3"/>
      <c r="AC89" s="8"/>
      <c r="AD89" s="8"/>
      <c r="AE89" s="3"/>
      <c r="AF89" s="3"/>
      <c r="AG89" s="3"/>
      <c r="AH89" s="3"/>
      <c r="AI89" s="3"/>
      <c r="AJ89" s="8"/>
      <c r="AK89" s="8"/>
      <c r="AL89" s="3"/>
      <c r="AM89" s="3"/>
      <c r="AN89" s="3"/>
      <c r="AO89" s="3"/>
      <c r="AP89" s="3"/>
      <c r="AQ89" s="8"/>
      <c r="AR89" s="8"/>
      <c r="AS89" s="3"/>
      <c r="AT89" s="3"/>
      <c r="AU89" s="3"/>
      <c r="AV89" s="3"/>
      <c r="AW89" s="3"/>
      <c r="AX89" s="8"/>
      <c r="AY89" s="127"/>
      <c r="AZ89" s="5"/>
      <c r="BA89" s="58"/>
      <c r="BB89" s="59"/>
      <c r="GO89" s="54"/>
      <c r="GP89" s="54"/>
    </row>
    <row r="90" spans="1:198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2"/>
        <v/>
      </c>
      <c r="H90" s="100" t="str">
        <f t="shared" si="3"/>
        <v/>
      </c>
      <c r="I90" s="101">
        <f t="shared" si="0"/>
        <v>0</v>
      </c>
      <c r="J90" s="100" t="str">
        <f t="shared" si="12"/>
        <v/>
      </c>
      <c r="K90" s="6" t="str">
        <f t="shared" si="4"/>
        <v/>
      </c>
      <c r="L90" s="6" t="str">
        <f t="shared" si="4"/>
        <v/>
      </c>
      <c r="M90" s="6">
        <f t="shared" si="13"/>
        <v>0</v>
      </c>
      <c r="N90" s="7">
        <f t="shared" si="14"/>
        <v>0</v>
      </c>
      <c r="O90" s="4"/>
      <c r="P90" s="3"/>
      <c r="Q90" s="3"/>
      <c r="R90" s="3"/>
      <c r="S90" s="3"/>
      <c r="T90" s="3"/>
      <c r="U90" s="5"/>
      <c r="V90" s="125"/>
      <c r="W90" s="8"/>
      <c r="X90" s="3"/>
      <c r="Y90" s="3"/>
      <c r="Z90" s="3"/>
      <c r="AA90" s="3"/>
      <c r="AB90" s="3"/>
      <c r="AC90" s="8"/>
      <c r="AD90" s="8"/>
      <c r="AE90" s="3"/>
      <c r="AF90" s="3"/>
      <c r="AG90" s="3"/>
      <c r="AH90" s="3"/>
      <c r="AI90" s="3"/>
      <c r="AJ90" s="8"/>
      <c r="AK90" s="8"/>
      <c r="AL90" s="3"/>
      <c r="AM90" s="3"/>
      <c r="AN90" s="3"/>
      <c r="AO90" s="3"/>
      <c r="AP90" s="3"/>
      <c r="AQ90" s="8"/>
      <c r="AR90" s="8"/>
      <c r="AS90" s="3"/>
      <c r="AT90" s="3"/>
      <c r="AU90" s="3"/>
      <c r="AV90" s="3"/>
      <c r="AW90" s="3"/>
      <c r="AX90" s="8"/>
      <c r="AY90" s="127"/>
      <c r="AZ90" s="5"/>
      <c r="BA90" s="58"/>
      <c r="BB90" s="59"/>
      <c r="GO90" s="54"/>
      <c r="GP90" s="54"/>
    </row>
    <row r="91" spans="1:198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2"/>
        <v/>
      </c>
      <c r="H91" s="100" t="str">
        <f t="shared" si="3"/>
        <v/>
      </c>
      <c r="I91" s="101">
        <f t="shared" si="0"/>
        <v>0</v>
      </c>
      <c r="J91" s="100" t="str">
        <f t="shared" si="12"/>
        <v/>
      </c>
      <c r="K91" s="6" t="str">
        <f t="shared" si="4"/>
        <v/>
      </c>
      <c r="L91" s="6" t="str">
        <f t="shared" si="4"/>
        <v/>
      </c>
      <c r="M91" s="6">
        <f t="shared" si="13"/>
        <v>0</v>
      </c>
      <c r="N91" s="7">
        <f t="shared" si="14"/>
        <v>0</v>
      </c>
      <c r="O91" s="4"/>
      <c r="P91" s="3"/>
      <c r="Q91" s="3"/>
      <c r="R91" s="3"/>
      <c r="S91" s="3"/>
      <c r="T91" s="3"/>
      <c r="U91" s="5"/>
      <c r="V91" s="125"/>
      <c r="W91" s="8"/>
      <c r="X91" s="3"/>
      <c r="Y91" s="3"/>
      <c r="Z91" s="3"/>
      <c r="AA91" s="3"/>
      <c r="AB91" s="3"/>
      <c r="AC91" s="8"/>
      <c r="AD91" s="8"/>
      <c r="AE91" s="3"/>
      <c r="AF91" s="3"/>
      <c r="AG91" s="3"/>
      <c r="AH91" s="3"/>
      <c r="AI91" s="3"/>
      <c r="AJ91" s="8"/>
      <c r="AK91" s="8"/>
      <c r="AL91" s="3"/>
      <c r="AM91" s="3"/>
      <c r="AN91" s="3"/>
      <c r="AO91" s="3"/>
      <c r="AP91" s="3"/>
      <c r="AQ91" s="8"/>
      <c r="AR91" s="8"/>
      <c r="AS91" s="3"/>
      <c r="AT91" s="3"/>
      <c r="AU91" s="3"/>
      <c r="AV91" s="3"/>
      <c r="AW91" s="3"/>
      <c r="AX91" s="8"/>
      <c r="AY91" s="127"/>
      <c r="AZ91" s="5"/>
      <c r="BA91" s="59"/>
      <c r="BB91" s="59"/>
      <c r="GO91" s="54"/>
      <c r="GP91" s="54"/>
    </row>
    <row r="92" spans="1:198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2"/>
        <v/>
      </c>
      <c r="H92" s="100" t="str">
        <f t="shared" si="3"/>
        <v/>
      </c>
      <c r="I92" s="101">
        <f t="shared" si="0"/>
        <v>0</v>
      </c>
      <c r="J92" s="100" t="str">
        <f t="shared" si="12"/>
        <v/>
      </c>
      <c r="K92" s="6" t="str">
        <f t="shared" si="4"/>
        <v/>
      </c>
      <c r="L92" s="6" t="str">
        <f t="shared" si="4"/>
        <v/>
      </c>
      <c r="M92" s="6">
        <f t="shared" si="13"/>
        <v>0</v>
      </c>
      <c r="N92" s="7">
        <f t="shared" si="14"/>
        <v>0</v>
      </c>
      <c r="O92" s="4"/>
      <c r="P92" s="3"/>
      <c r="Q92" s="3"/>
      <c r="R92" s="3"/>
      <c r="S92" s="3"/>
      <c r="T92" s="3"/>
      <c r="U92" s="5"/>
      <c r="V92" s="125"/>
      <c r="W92" s="8"/>
      <c r="X92" s="3"/>
      <c r="Y92" s="3"/>
      <c r="Z92" s="3"/>
      <c r="AA92" s="3"/>
      <c r="AB92" s="3"/>
      <c r="AC92" s="8"/>
      <c r="AD92" s="8"/>
      <c r="AE92" s="3"/>
      <c r="AF92" s="3"/>
      <c r="AG92" s="3"/>
      <c r="AH92" s="3"/>
      <c r="AI92" s="3"/>
      <c r="AJ92" s="8"/>
      <c r="AK92" s="8"/>
      <c r="AL92" s="3"/>
      <c r="AM92" s="3"/>
      <c r="AN92" s="3"/>
      <c r="AO92" s="3"/>
      <c r="AP92" s="3"/>
      <c r="AQ92" s="8"/>
      <c r="AR92" s="8"/>
      <c r="AS92" s="3"/>
      <c r="AT92" s="3"/>
      <c r="AU92" s="3"/>
      <c r="AV92" s="3"/>
      <c r="AW92" s="3"/>
      <c r="AX92" s="8"/>
      <c r="AY92" s="127"/>
      <c r="AZ92" s="5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GO92" s="54"/>
      <c r="GP92" s="54"/>
    </row>
    <row r="93" spans="1:198" ht="15" hidden="1" customHeight="1" x14ac:dyDescent="0.25">
      <c r="A93" s="97">
        <v>82</v>
      </c>
      <c r="B93" s="103"/>
      <c r="C93" s="104"/>
      <c r="D93" s="1"/>
      <c r="E93" s="105"/>
      <c r="F93" s="105"/>
      <c r="G93" s="100" t="str">
        <f t="shared" si="2"/>
        <v/>
      </c>
      <c r="H93" s="100" t="str">
        <f t="shared" si="3"/>
        <v/>
      </c>
      <c r="I93" s="101">
        <f t="shared" si="0"/>
        <v>0</v>
      </c>
      <c r="J93" s="100" t="str">
        <f t="shared" si="12"/>
        <v/>
      </c>
      <c r="K93" s="6" t="str">
        <f t="shared" si="4"/>
        <v/>
      </c>
      <c r="L93" s="6" t="str">
        <f t="shared" si="4"/>
        <v/>
      </c>
      <c r="M93" s="6">
        <f t="shared" si="13"/>
        <v>0</v>
      </c>
      <c r="N93" s="7">
        <f t="shared" si="14"/>
        <v>0</v>
      </c>
      <c r="O93" s="4"/>
      <c r="P93" s="3"/>
      <c r="Q93" s="3"/>
      <c r="R93" s="3"/>
      <c r="S93" s="3"/>
      <c r="T93" s="3"/>
      <c r="U93" s="5"/>
      <c r="V93" s="125"/>
      <c r="W93" s="8"/>
      <c r="X93" s="3"/>
      <c r="Y93" s="3"/>
      <c r="Z93" s="3"/>
      <c r="AA93" s="3"/>
      <c r="AB93" s="3"/>
      <c r="AC93" s="8"/>
      <c r="AD93" s="8"/>
      <c r="AE93" s="3"/>
      <c r="AF93" s="3"/>
      <c r="AG93" s="3"/>
      <c r="AH93" s="3"/>
      <c r="AI93" s="3"/>
      <c r="AJ93" s="8"/>
      <c r="AK93" s="8"/>
      <c r="AL93" s="3"/>
      <c r="AM93" s="3"/>
      <c r="AN93" s="3"/>
      <c r="AO93" s="3"/>
      <c r="AP93" s="3"/>
      <c r="AQ93" s="8"/>
      <c r="AR93" s="8"/>
      <c r="AS93" s="3"/>
      <c r="AT93" s="3"/>
      <c r="AU93" s="3"/>
      <c r="AV93" s="3"/>
      <c r="AW93" s="3"/>
      <c r="AX93" s="8"/>
      <c r="AY93" s="127"/>
      <c r="AZ93" s="5"/>
      <c r="BA93" s="106"/>
      <c r="BB93" s="59"/>
      <c r="GO93" s="54"/>
      <c r="GP93" s="54"/>
    </row>
    <row r="94" spans="1:198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2"/>
        <v/>
      </c>
      <c r="H94" s="100" t="str">
        <f t="shared" si="3"/>
        <v/>
      </c>
      <c r="I94" s="101">
        <f t="shared" si="0"/>
        <v>0</v>
      </c>
      <c r="J94" s="100" t="str">
        <f t="shared" si="12"/>
        <v/>
      </c>
      <c r="K94" s="6" t="str">
        <f t="shared" si="4"/>
        <v/>
      </c>
      <c r="L94" s="6" t="str">
        <f t="shared" si="4"/>
        <v/>
      </c>
      <c r="M94" s="6">
        <f t="shared" si="13"/>
        <v>0</v>
      </c>
      <c r="N94" s="7">
        <f t="shared" si="14"/>
        <v>0</v>
      </c>
      <c r="O94" s="4"/>
      <c r="P94" s="3"/>
      <c r="Q94" s="3"/>
      <c r="R94" s="3"/>
      <c r="S94" s="3"/>
      <c r="T94" s="3"/>
      <c r="U94" s="5"/>
      <c r="V94" s="125"/>
      <c r="W94" s="8"/>
      <c r="X94" s="3"/>
      <c r="Y94" s="3"/>
      <c r="Z94" s="3"/>
      <c r="AA94" s="3"/>
      <c r="AB94" s="3"/>
      <c r="AC94" s="8"/>
      <c r="AD94" s="8"/>
      <c r="AE94" s="3"/>
      <c r="AF94" s="3"/>
      <c r="AG94" s="3"/>
      <c r="AH94" s="3"/>
      <c r="AI94" s="3"/>
      <c r="AJ94" s="8"/>
      <c r="AK94" s="8"/>
      <c r="AL94" s="3"/>
      <c r="AM94" s="3"/>
      <c r="AN94" s="3"/>
      <c r="AO94" s="3"/>
      <c r="AP94" s="3"/>
      <c r="AQ94" s="8"/>
      <c r="AR94" s="8"/>
      <c r="AS94" s="3"/>
      <c r="AT94" s="3"/>
      <c r="AU94" s="3"/>
      <c r="AV94" s="3"/>
      <c r="AW94" s="3"/>
      <c r="AX94" s="8"/>
      <c r="AY94" s="127"/>
      <c r="AZ94" s="5"/>
      <c r="BA94" s="59"/>
      <c r="BB94" s="59"/>
      <c r="GO94" s="54"/>
      <c r="GP94" s="54"/>
    </row>
    <row r="95" spans="1:198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2"/>
        <v/>
      </c>
      <c r="H95" s="100" t="str">
        <f t="shared" si="3"/>
        <v/>
      </c>
      <c r="I95" s="101">
        <f t="shared" si="0"/>
        <v>0</v>
      </c>
      <c r="J95" s="100" t="str">
        <f t="shared" si="12"/>
        <v/>
      </c>
      <c r="K95" s="6" t="str">
        <f t="shared" si="4"/>
        <v/>
      </c>
      <c r="L95" s="6" t="str">
        <f t="shared" si="4"/>
        <v/>
      </c>
      <c r="M95" s="6">
        <f t="shared" si="13"/>
        <v>0</v>
      </c>
      <c r="N95" s="7">
        <f t="shared" si="14"/>
        <v>0</v>
      </c>
      <c r="O95" s="4"/>
      <c r="P95" s="3"/>
      <c r="Q95" s="3"/>
      <c r="R95" s="3"/>
      <c r="S95" s="3"/>
      <c r="T95" s="3"/>
      <c r="U95" s="5"/>
      <c r="V95" s="125"/>
      <c r="W95" s="8"/>
      <c r="X95" s="3"/>
      <c r="Y95" s="3"/>
      <c r="Z95" s="3"/>
      <c r="AA95" s="3"/>
      <c r="AB95" s="3"/>
      <c r="AC95" s="8"/>
      <c r="AD95" s="8"/>
      <c r="AE95" s="3"/>
      <c r="AF95" s="3"/>
      <c r="AG95" s="3"/>
      <c r="AH95" s="3"/>
      <c r="AI95" s="3"/>
      <c r="AJ95" s="8"/>
      <c r="AK95" s="8"/>
      <c r="AL95" s="3"/>
      <c r="AM95" s="3"/>
      <c r="AN95" s="3"/>
      <c r="AO95" s="3"/>
      <c r="AP95" s="3"/>
      <c r="AQ95" s="8"/>
      <c r="AR95" s="8"/>
      <c r="AS95" s="3"/>
      <c r="AT95" s="3"/>
      <c r="AU95" s="3"/>
      <c r="AV95" s="3"/>
      <c r="AW95" s="3"/>
      <c r="AX95" s="8"/>
      <c r="AY95" s="127"/>
      <c r="AZ95" s="5"/>
      <c r="BA95" s="59"/>
      <c r="BB95" s="59"/>
      <c r="GO95" s="54"/>
      <c r="GP95" s="54"/>
    </row>
    <row r="96" spans="1:198" ht="15" hidden="1" customHeight="1" x14ac:dyDescent="0.25">
      <c r="A96" s="102">
        <v>85</v>
      </c>
      <c r="B96" s="103"/>
      <c r="C96" s="104"/>
      <c r="D96" s="2"/>
      <c r="E96" s="105"/>
      <c r="F96" s="105"/>
      <c r="G96" s="100" t="str">
        <f t="shared" si="2"/>
        <v/>
      </c>
      <c r="H96" s="100" t="str">
        <f t="shared" si="3"/>
        <v/>
      </c>
      <c r="I96" s="101">
        <f t="shared" si="0"/>
        <v>0</v>
      </c>
      <c r="J96" s="100" t="str">
        <f t="shared" si="12"/>
        <v/>
      </c>
      <c r="K96" s="6" t="str">
        <f t="shared" si="4"/>
        <v/>
      </c>
      <c r="L96" s="6" t="str">
        <f t="shared" si="4"/>
        <v/>
      </c>
      <c r="M96" s="6">
        <f t="shared" si="13"/>
        <v>0</v>
      </c>
      <c r="N96" s="7">
        <f t="shared" si="14"/>
        <v>0</v>
      </c>
      <c r="O96" s="4"/>
      <c r="P96" s="3"/>
      <c r="Q96" s="3"/>
      <c r="R96" s="3"/>
      <c r="S96" s="3"/>
      <c r="T96" s="3"/>
      <c r="U96" s="5"/>
      <c r="V96" s="125"/>
      <c r="W96" s="8"/>
      <c r="X96" s="3"/>
      <c r="Y96" s="3"/>
      <c r="Z96" s="3"/>
      <c r="AA96" s="3"/>
      <c r="AB96" s="3"/>
      <c r="AC96" s="8"/>
      <c r="AD96" s="8"/>
      <c r="AE96" s="3"/>
      <c r="AF96" s="3"/>
      <c r="AG96" s="3"/>
      <c r="AH96" s="3"/>
      <c r="AI96" s="3"/>
      <c r="AJ96" s="8"/>
      <c r="AK96" s="8"/>
      <c r="AL96" s="3"/>
      <c r="AM96" s="3"/>
      <c r="AN96" s="3"/>
      <c r="AO96" s="3"/>
      <c r="AP96" s="3"/>
      <c r="AQ96" s="8"/>
      <c r="AR96" s="8"/>
      <c r="AS96" s="3"/>
      <c r="AT96" s="3"/>
      <c r="AU96" s="3"/>
      <c r="AV96" s="3"/>
      <c r="AW96" s="3"/>
      <c r="AX96" s="8"/>
      <c r="AY96" s="127"/>
      <c r="AZ96" s="5"/>
      <c r="BA96" s="59"/>
      <c r="BB96" s="59"/>
      <c r="GO96" s="54"/>
      <c r="GP96" s="54"/>
    </row>
    <row r="97" spans="1:198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2"/>
        <v/>
      </c>
      <c r="H97" s="100" t="str">
        <f t="shared" si="3"/>
        <v/>
      </c>
      <c r="I97" s="101">
        <f t="shared" si="0"/>
        <v>0</v>
      </c>
      <c r="J97" s="100" t="str">
        <f t="shared" si="12"/>
        <v/>
      </c>
      <c r="K97" s="6" t="str">
        <f t="shared" si="4"/>
        <v/>
      </c>
      <c r="L97" s="6" t="str">
        <f t="shared" si="4"/>
        <v/>
      </c>
      <c r="M97" s="6">
        <f t="shared" si="13"/>
        <v>0</v>
      </c>
      <c r="N97" s="7">
        <f t="shared" si="14"/>
        <v>0</v>
      </c>
      <c r="O97" s="4"/>
      <c r="P97" s="3"/>
      <c r="Q97" s="3"/>
      <c r="R97" s="3"/>
      <c r="S97" s="3"/>
      <c r="T97" s="3"/>
      <c r="U97" s="5"/>
      <c r="V97" s="125"/>
      <c r="W97" s="8"/>
      <c r="X97" s="3"/>
      <c r="Y97" s="3"/>
      <c r="Z97" s="3"/>
      <c r="AA97" s="3"/>
      <c r="AB97" s="3"/>
      <c r="AC97" s="8"/>
      <c r="AD97" s="8"/>
      <c r="AE97" s="3"/>
      <c r="AF97" s="3"/>
      <c r="AG97" s="3"/>
      <c r="AH97" s="3"/>
      <c r="AI97" s="3"/>
      <c r="AJ97" s="8"/>
      <c r="AK97" s="8"/>
      <c r="AL97" s="3"/>
      <c r="AM97" s="3"/>
      <c r="AN97" s="3"/>
      <c r="AO97" s="3"/>
      <c r="AP97" s="3"/>
      <c r="AQ97" s="8"/>
      <c r="AR97" s="8"/>
      <c r="AS97" s="3"/>
      <c r="AT97" s="3"/>
      <c r="AU97" s="3"/>
      <c r="AV97" s="3"/>
      <c r="AW97" s="3"/>
      <c r="AX97" s="8"/>
      <c r="AY97" s="127"/>
      <c r="AZ97" s="5"/>
      <c r="BA97" s="59"/>
      <c r="BB97" s="59"/>
      <c r="GO97" s="54"/>
      <c r="GP97" s="54"/>
    </row>
    <row r="98" spans="1:198" ht="15" hidden="1" customHeight="1" x14ac:dyDescent="0.25">
      <c r="A98" s="97">
        <v>87</v>
      </c>
      <c r="B98" s="103"/>
      <c r="C98" s="104"/>
      <c r="D98" s="1"/>
      <c r="E98" s="105"/>
      <c r="F98" s="105"/>
      <c r="G98" s="100" t="str">
        <f t="shared" si="2"/>
        <v/>
      </c>
      <c r="H98" s="100" t="str">
        <f t="shared" si="3"/>
        <v/>
      </c>
      <c r="I98" s="101">
        <f t="shared" si="0"/>
        <v>0</v>
      </c>
      <c r="J98" s="100" t="str">
        <f t="shared" si="12"/>
        <v/>
      </c>
      <c r="K98" s="6" t="str">
        <f t="shared" si="4"/>
        <v/>
      </c>
      <c r="L98" s="6" t="str">
        <f t="shared" si="4"/>
        <v/>
      </c>
      <c r="M98" s="6">
        <f t="shared" si="13"/>
        <v>0</v>
      </c>
      <c r="N98" s="7">
        <f t="shared" si="14"/>
        <v>0</v>
      </c>
      <c r="O98" s="4"/>
      <c r="P98" s="3"/>
      <c r="Q98" s="3"/>
      <c r="R98" s="3"/>
      <c r="S98" s="3"/>
      <c r="T98" s="3"/>
      <c r="U98" s="5"/>
      <c r="V98" s="125"/>
      <c r="W98" s="8"/>
      <c r="X98" s="3"/>
      <c r="Y98" s="3"/>
      <c r="Z98" s="3"/>
      <c r="AA98" s="3"/>
      <c r="AB98" s="3"/>
      <c r="AC98" s="8"/>
      <c r="AD98" s="8"/>
      <c r="AE98" s="3"/>
      <c r="AF98" s="3"/>
      <c r="AG98" s="3"/>
      <c r="AH98" s="3"/>
      <c r="AI98" s="3"/>
      <c r="AJ98" s="8"/>
      <c r="AK98" s="8"/>
      <c r="AL98" s="3"/>
      <c r="AM98" s="3"/>
      <c r="AN98" s="3"/>
      <c r="AO98" s="3"/>
      <c r="AP98" s="3"/>
      <c r="AQ98" s="8"/>
      <c r="AR98" s="8"/>
      <c r="AS98" s="3"/>
      <c r="AT98" s="3"/>
      <c r="AU98" s="3"/>
      <c r="AV98" s="3"/>
      <c r="AW98" s="3"/>
      <c r="AX98" s="8"/>
      <c r="AY98" s="127"/>
      <c r="AZ98" s="5"/>
      <c r="BA98" s="59"/>
      <c r="BB98" s="59"/>
      <c r="GO98" s="54"/>
      <c r="GP98" s="54"/>
    </row>
    <row r="99" spans="1:198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2"/>
        <v/>
      </c>
      <c r="H99" s="100" t="str">
        <f t="shared" si="3"/>
        <v/>
      </c>
      <c r="I99" s="101">
        <f t="shared" si="0"/>
        <v>0</v>
      </c>
      <c r="J99" s="100" t="str">
        <f t="shared" si="12"/>
        <v/>
      </c>
      <c r="K99" s="6" t="str">
        <f t="shared" si="4"/>
        <v/>
      </c>
      <c r="L99" s="6" t="str">
        <f t="shared" si="4"/>
        <v/>
      </c>
      <c r="M99" s="6">
        <f t="shared" si="13"/>
        <v>0</v>
      </c>
      <c r="N99" s="7">
        <f t="shared" si="14"/>
        <v>0</v>
      </c>
      <c r="O99" s="4"/>
      <c r="P99" s="3"/>
      <c r="Q99" s="3"/>
      <c r="R99" s="3"/>
      <c r="S99" s="3"/>
      <c r="T99" s="3"/>
      <c r="U99" s="5"/>
      <c r="V99" s="125"/>
      <c r="W99" s="8"/>
      <c r="X99" s="3"/>
      <c r="Y99" s="3"/>
      <c r="Z99" s="3"/>
      <c r="AA99" s="3"/>
      <c r="AB99" s="3"/>
      <c r="AC99" s="8"/>
      <c r="AD99" s="8"/>
      <c r="AE99" s="3"/>
      <c r="AF99" s="3"/>
      <c r="AG99" s="3"/>
      <c r="AH99" s="3"/>
      <c r="AI99" s="3"/>
      <c r="AJ99" s="8"/>
      <c r="AK99" s="8"/>
      <c r="AL99" s="3"/>
      <c r="AM99" s="3"/>
      <c r="AN99" s="3"/>
      <c r="AO99" s="3"/>
      <c r="AP99" s="3"/>
      <c r="AQ99" s="8"/>
      <c r="AR99" s="8"/>
      <c r="AS99" s="3"/>
      <c r="AT99" s="3"/>
      <c r="AU99" s="3"/>
      <c r="AV99" s="3"/>
      <c r="AW99" s="3"/>
      <c r="AX99" s="8"/>
      <c r="AY99" s="127"/>
      <c r="AZ99" s="5"/>
      <c r="BA99" s="59"/>
      <c r="BB99" s="59"/>
      <c r="GO99" s="54"/>
      <c r="GP99" s="54"/>
    </row>
    <row r="100" spans="1:198" ht="15" hidden="1" customHeight="1" x14ac:dyDescent="0.25">
      <c r="A100" s="102">
        <v>89</v>
      </c>
      <c r="B100" s="103"/>
      <c r="C100" s="104"/>
      <c r="D100" s="1"/>
      <c r="E100" s="105"/>
      <c r="F100" s="105"/>
      <c r="G100" s="100" t="str">
        <f t="shared" si="2"/>
        <v/>
      </c>
      <c r="H100" s="100" t="str">
        <f t="shared" si="3"/>
        <v/>
      </c>
      <c r="I100" s="101">
        <f t="shared" si="0"/>
        <v>0</v>
      </c>
      <c r="J100" s="100" t="str">
        <f t="shared" si="12"/>
        <v/>
      </c>
      <c r="K100" s="6" t="str">
        <f t="shared" si="4"/>
        <v/>
      </c>
      <c r="L100" s="6" t="str">
        <f t="shared" si="4"/>
        <v/>
      </c>
      <c r="M100" s="6">
        <f t="shared" si="13"/>
        <v>0</v>
      </c>
      <c r="N100" s="7">
        <f t="shared" si="14"/>
        <v>0</v>
      </c>
      <c r="O100" s="4"/>
      <c r="P100" s="3"/>
      <c r="Q100" s="3"/>
      <c r="R100" s="3"/>
      <c r="S100" s="3"/>
      <c r="T100" s="3"/>
      <c r="U100" s="5"/>
      <c r="V100" s="125"/>
      <c r="W100" s="8"/>
      <c r="X100" s="3"/>
      <c r="Y100" s="3"/>
      <c r="Z100" s="3"/>
      <c r="AA100" s="3"/>
      <c r="AB100" s="3"/>
      <c r="AC100" s="8"/>
      <c r="AD100" s="8"/>
      <c r="AE100" s="3"/>
      <c r="AF100" s="3"/>
      <c r="AG100" s="3"/>
      <c r="AH100" s="3"/>
      <c r="AI100" s="3"/>
      <c r="AJ100" s="8"/>
      <c r="AK100" s="8"/>
      <c r="AL100" s="3"/>
      <c r="AM100" s="3"/>
      <c r="AN100" s="3"/>
      <c r="AO100" s="3"/>
      <c r="AP100" s="3"/>
      <c r="AQ100" s="8"/>
      <c r="AR100" s="8"/>
      <c r="AS100" s="3"/>
      <c r="AT100" s="3"/>
      <c r="AU100" s="3"/>
      <c r="AV100" s="3"/>
      <c r="AW100" s="3"/>
      <c r="AX100" s="8"/>
      <c r="AY100" s="127"/>
      <c r="AZ100" s="5"/>
      <c r="BA100" s="59"/>
      <c r="BB100" s="59"/>
      <c r="GO100" s="54"/>
      <c r="GP100" s="54"/>
    </row>
    <row r="101" spans="1:198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2"/>
        <v/>
      </c>
      <c r="H101" s="100" t="str">
        <f t="shared" si="3"/>
        <v/>
      </c>
      <c r="I101" s="101">
        <f t="shared" si="0"/>
        <v>0</v>
      </c>
      <c r="J101" s="100" t="str">
        <f t="shared" si="12"/>
        <v/>
      </c>
      <c r="K101" s="6" t="str">
        <f t="shared" si="4"/>
        <v/>
      </c>
      <c r="L101" s="6" t="str">
        <f t="shared" si="4"/>
        <v/>
      </c>
      <c r="M101" s="6">
        <f t="shared" si="13"/>
        <v>0</v>
      </c>
      <c r="N101" s="7">
        <f t="shared" si="14"/>
        <v>0</v>
      </c>
      <c r="O101" s="4"/>
      <c r="P101" s="3"/>
      <c r="Q101" s="3"/>
      <c r="R101" s="3"/>
      <c r="S101" s="3"/>
      <c r="T101" s="3"/>
      <c r="U101" s="5"/>
      <c r="V101" s="125"/>
      <c r="W101" s="8"/>
      <c r="X101" s="3"/>
      <c r="Y101" s="3"/>
      <c r="Z101" s="3"/>
      <c r="AA101" s="3"/>
      <c r="AB101" s="3"/>
      <c r="AC101" s="8"/>
      <c r="AD101" s="8"/>
      <c r="AE101" s="3"/>
      <c r="AF101" s="3"/>
      <c r="AG101" s="3"/>
      <c r="AH101" s="3"/>
      <c r="AI101" s="3"/>
      <c r="AJ101" s="8"/>
      <c r="AK101" s="8"/>
      <c r="AL101" s="3"/>
      <c r="AM101" s="3"/>
      <c r="AN101" s="3"/>
      <c r="AO101" s="3"/>
      <c r="AP101" s="3"/>
      <c r="AQ101" s="8"/>
      <c r="AR101" s="8"/>
      <c r="AS101" s="3"/>
      <c r="AT101" s="3"/>
      <c r="AU101" s="3"/>
      <c r="AV101" s="3"/>
      <c r="AW101" s="3"/>
      <c r="AX101" s="8"/>
      <c r="AY101" s="127"/>
      <c r="AZ101" s="5"/>
      <c r="BA101" s="59"/>
      <c r="BB101" s="59"/>
      <c r="GO101" s="54"/>
      <c r="GP101" s="54"/>
    </row>
    <row r="102" spans="1:198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2"/>
        <v/>
      </c>
      <c r="H102" s="100" t="str">
        <f t="shared" si="3"/>
        <v/>
      </c>
      <c r="I102" s="101">
        <f t="shared" si="0"/>
        <v>0</v>
      </c>
      <c r="J102" s="100" t="str">
        <f t="shared" si="12"/>
        <v/>
      </c>
      <c r="K102" s="6" t="str">
        <f t="shared" si="4"/>
        <v/>
      </c>
      <c r="L102" s="6" t="str">
        <f t="shared" si="4"/>
        <v/>
      </c>
      <c r="M102" s="6">
        <f t="shared" si="13"/>
        <v>0</v>
      </c>
      <c r="N102" s="7">
        <f t="shared" si="14"/>
        <v>0</v>
      </c>
      <c r="O102" s="4"/>
      <c r="P102" s="3"/>
      <c r="Q102" s="3"/>
      <c r="R102" s="3"/>
      <c r="S102" s="3"/>
      <c r="T102" s="3"/>
      <c r="U102" s="5"/>
      <c r="V102" s="125"/>
      <c r="W102" s="8"/>
      <c r="X102" s="3"/>
      <c r="Y102" s="3"/>
      <c r="Z102" s="3"/>
      <c r="AA102" s="3"/>
      <c r="AB102" s="3"/>
      <c r="AC102" s="8"/>
      <c r="AD102" s="8"/>
      <c r="AE102" s="3"/>
      <c r="AF102" s="3"/>
      <c r="AG102" s="3"/>
      <c r="AH102" s="3"/>
      <c r="AI102" s="3"/>
      <c r="AJ102" s="8"/>
      <c r="AK102" s="8"/>
      <c r="AL102" s="3"/>
      <c r="AM102" s="3"/>
      <c r="AN102" s="3"/>
      <c r="AO102" s="3"/>
      <c r="AP102" s="3"/>
      <c r="AQ102" s="8"/>
      <c r="AR102" s="8"/>
      <c r="AS102" s="3"/>
      <c r="AT102" s="3"/>
      <c r="AU102" s="3"/>
      <c r="AV102" s="3"/>
      <c r="AW102" s="3"/>
      <c r="AX102" s="8"/>
      <c r="AY102" s="127"/>
      <c r="AZ102" s="5"/>
      <c r="BA102" s="59"/>
      <c r="BB102" s="59"/>
      <c r="GO102" s="54"/>
      <c r="GP102" s="54"/>
    </row>
    <row r="103" spans="1:198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2"/>
        <v/>
      </c>
      <c r="H103" s="100" t="str">
        <f t="shared" si="3"/>
        <v/>
      </c>
      <c r="I103" s="101">
        <f t="shared" si="0"/>
        <v>0</v>
      </c>
      <c r="J103" s="100" t="str">
        <f t="shared" si="12"/>
        <v/>
      </c>
      <c r="K103" s="6" t="str">
        <f t="shared" si="4"/>
        <v/>
      </c>
      <c r="L103" s="6" t="str">
        <f t="shared" si="4"/>
        <v/>
      </c>
      <c r="M103" s="6">
        <f t="shared" si="13"/>
        <v>0</v>
      </c>
      <c r="N103" s="7">
        <f t="shared" si="14"/>
        <v>0</v>
      </c>
      <c r="O103" s="4"/>
      <c r="P103" s="3"/>
      <c r="Q103" s="3"/>
      <c r="R103" s="3"/>
      <c r="S103" s="3"/>
      <c r="T103" s="3"/>
      <c r="U103" s="5"/>
      <c r="V103" s="125"/>
      <c r="W103" s="8"/>
      <c r="X103" s="3"/>
      <c r="Y103" s="3"/>
      <c r="Z103" s="3"/>
      <c r="AA103" s="3"/>
      <c r="AB103" s="3"/>
      <c r="AC103" s="8"/>
      <c r="AD103" s="8"/>
      <c r="AE103" s="3"/>
      <c r="AF103" s="3"/>
      <c r="AG103" s="3"/>
      <c r="AH103" s="3"/>
      <c r="AI103" s="3"/>
      <c r="AJ103" s="8"/>
      <c r="AK103" s="8"/>
      <c r="AL103" s="3"/>
      <c r="AM103" s="3"/>
      <c r="AN103" s="3"/>
      <c r="AO103" s="3"/>
      <c r="AP103" s="3"/>
      <c r="AQ103" s="8"/>
      <c r="AR103" s="8"/>
      <c r="AS103" s="3"/>
      <c r="AT103" s="3"/>
      <c r="AU103" s="3"/>
      <c r="AV103" s="3"/>
      <c r="AW103" s="3"/>
      <c r="AX103" s="8"/>
      <c r="AY103" s="127"/>
      <c r="AZ103" s="5"/>
      <c r="BA103" s="59"/>
      <c r="BB103" s="59"/>
      <c r="GO103" s="54"/>
      <c r="GP103" s="54"/>
    </row>
    <row r="104" spans="1:198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2"/>
        <v/>
      </c>
      <c r="H104" s="100" t="str">
        <f t="shared" si="3"/>
        <v/>
      </c>
      <c r="I104" s="101">
        <f t="shared" si="0"/>
        <v>0</v>
      </c>
      <c r="J104" s="100" t="str">
        <f t="shared" si="12"/>
        <v/>
      </c>
      <c r="K104" s="6" t="str">
        <f t="shared" si="4"/>
        <v/>
      </c>
      <c r="L104" s="6" t="str">
        <f t="shared" si="4"/>
        <v/>
      </c>
      <c r="M104" s="6">
        <f t="shared" si="13"/>
        <v>0</v>
      </c>
      <c r="N104" s="7">
        <f t="shared" si="14"/>
        <v>0</v>
      </c>
      <c r="O104" s="4"/>
      <c r="P104" s="3"/>
      <c r="Q104" s="3"/>
      <c r="R104" s="3"/>
      <c r="S104" s="3"/>
      <c r="T104" s="3"/>
      <c r="U104" s="5"/>
      <c r="V104" s="125"/>
      <c r="W104" s="8"/>
      <c r="X104" s="3"/>
      <c r="Y104" s="3"/>
      <c r="Z104" s="3"/>
      <c r="AA104" s="3"/>
      <c r="AB104" s="3"/>
      <c r="AC104" s="8"/>
      <c r="AD104" s="8"/>
      <c r="AE104" s="3"/>
      <c r="AF104" s="3"/>
      <c r="AG104" s="3"/>
      <c r="AH104" s="3"/>
      <c r="AI104" s="3"/>
      <c r="AJ104" s="8"/>
      <c r="AK104" s="8"/>
      <c r="AL104" s="3"/>
      <c r="AM104" s="3"/>
      <c r="AN104" s="3"/>
      <c r="AO104" s="3"/>
      <c r="AP104" s="3"/>
      <c r="AQ104" s="8"/>
      <c r="AR104" s="8"/>
      <c r="AS104" s="3"/>
      <c r="AT104" s="3"/>
      <c r="AU104" s="3"/>
      <c r="AV104" s="3"/>
      <c r="AW104" s="3"/>
      <c r="AX104" s="8"/>
      <c r="AY104" s="127"/>
      <c r="AZ104" s="5"/>
      <c r="BA104" s="59"/>
      <c r="BB104" s="59"/>
      <c r="GO104" s="54"/>
      <c r="GP104" s="54"/>
    </row>
    <row r="105" spans="1:198" ht="15" hidden="1" customHeight="1" x14ac:dyDescent="0.25">
      <c r="A105" s="102">
        <v>94</v>
      </c>
      <c r="B105" s="103"/>
      <c r="C105" s="104"/>
      <c r="D105" s="2"/>
      <c r="E105" s="105"/>
      <c r="F105" s="105"/>
      <c r="G105" s="100" t="str">
        <f t="shared" si="2"/>
        <v/>
      </c>
      <c r="H105" s="100" t="str">
        <f t="shared" si="3"/>
        <v/>
      </c>
      <c r="I105" s="101">
        <f t="shared" si="0"/>
        <v>0</v>
      </c>
      <c r="J105" s="100" t="str">
        <f t="shared" si="12"/>
        <v/>
      </c>
      <c r="K105" s="6" t="str">
        <f t="shared" si="4"/>
        <v/>
      </c>
      <c r="L105" s="6" t="str">
        <f t="shared" si="4"/>
        <v/>
      </c>
      <c r="M105" s="6">
        <f t="shared" si="13"/>
        <v>0</v>
      </c>
      <c r="N105" s="7">
        <f t="shared" si="14"/>
        <v>0</v>
      </c>
      <c r="O105" s="4"/>
      <c r="P105" s="3"/>
      <c r="Q105" s="3"/>
      <c r="R105" s="3"/>
      <c r="S105" s="3"/>
      <c r="T105" s="3"/>
      <c r="U105" s="5"/>
      <c r="V105" s="125"/>
      <c r="W105" s="8"/>
      <c r="X105" s="3"/>
      <c r="Y105" s="3"/>
      <c r="Z105" s="3"/>
      <c r="AA105" s="3"/>
      <c r="AB105" s="3"/>
      <c r="AC105" s="8"/>
      <c r="AD105" s="8"/>
      <c r="AE105" s="3"/>
      <c r="AF105" s="3"/>
      <c r="AG105" s="3"/>
      <c r="AH105" s="3"/>
      <c r="AI105" s="3"/>
      <c r="AJ105" s="8"/>
      <c r="AK105" s="8"/>
      <c r="AL105" s="3"/>
      <c r="AM105" s="3"/>
      <c r="AN105" s="3"/>
      <c r="AO105" s="3"/>
      <c r="AP105" s="3"/>
      <c r="AQ105" s="8"/>
      <c r="AR105" s="8"/>
      <c r="AS105" s="3"/>
      <c r="AT105" s="3"/>
      <c r="AU105" s="3"/>
      <c r="AV105" s="3"/>
      <c r="AW105" s="3"/>
      <c r="AX105" s="8"/>
      <c r="AY105" s="127"/>
      <c r="AZ105" s="5"/>
      <c r="BA105" s="59"/>
      <c r="BB105" s="59"/>
      <c r="GO105" s="54"/>
      <c r="GP105" s="54"/>
    </row>
    <row r="106" spans="1:198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2"/>
        <v/>
      </c>
      <c r="H106" s="100" t="str">
        <f t="shared" si="3"/>
        <v/>
      </c>
      <c r="I106" s="101">
        <f t="shared" si="0"/>
        <v>0</v>
      </c>
      <c r="J106" s="100" t="str">
        <f t="shared" si="12"/>
        <v/>
      </c>
      <c r="K106" s="6" t="str">
        <f t="shared" si="4"/>
        <v/>
      </c>
      <c r="L106" s="6" t="str">
        <f t="shared" si="4"/>
        <v/>
      </c>
      <c r="M106" s="6">
        <f t="shared" si="13"/>
        <v>0</v>
      </c>
      <c r="N106" s="7">
        <f t="shared" si="14"/>
        <v>0</v>
      </c>
      <c r="O106" s="4"/>
      <c r="P106" s="3"/>
      <c r="Q106" s="3"/>
      <c r="R106" s="3"/>
      <c r="S106" s="3"/>
      <c r="T106" s="3"/>
      <c r="U106" s="5"/>
      <c r="V106" s="125"/>
      <c r="W106" s="8"/>
      <c r="X106" s="3"/>
      <c r="Y106" s="3"/>
      <c r="Z106" s="3"/>
      <c r="AA106" s="3"/>
      <c r="AB106" s="3"/>
      <c r="AC106" s="8"/>
      <c r="AD106" s="8"/>
      <c r="AE106" s="3"/>
      <c r="AF106" s="3"/>
      <c r="AG106" s="3"/>
      <c r="AH106" s="3"/>
      <c r="AI106" s="3"/>
      <c r="AJ106" s="8"/>
      <c r="AK106" s="8"/>
      <c r="AL106" s="3"/>
      <c r="AM106" s="3"/>
      <c r="AN106" s="3"/>
      <c r="AO106" s="3"/>
      <c r="AP106" s="3"/>
      <c r="AQ106" s="8"/>
      <c r="AR106" s="8"/>
      <c r="AS106" s="3"/>
      <c r="AT106" s="3"/>
      <c r="AU106" s="3"/>
      <c r="AV106" s="3"/>
      <c r="AW106" s="3"/>
      <c r="AX106" s="8"/>
      <c r="AY106" s="127"/>
      <c r="AZ106" s="5"/>
      <c r="BA106" s="59"/>
      <c r="BB106" s="59"/>
      <c r="GO106" s="54"/>
      <c r="GP106" s="54"/>
    </row>
    <row r="107" spans="1:198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2"/>
        <v/>
      </c>
      <c r="H107" s="100" t="str">
        <f t="shared" si="3"/>
        <v/>
      </c>
      <c r="I107" s="101">
        <f t="shared" si="0"/>
        <v>0</v>
      </c>
      <c r="J107" s="100" t="str">
        <f t="shared" si="12"/>
        <v/>
      </c>
      <c r="K107" s="6" t="str">
        <f t="shared" si="4"/>
        <v/>
      </c>
      <c r="L107" s="6" t="str">
        <f t="shared" si="4"/>
        <v/>
      </c>
      <c r="M107" s="6">
        <f t="shared" si="13"/>
        <v>0</v>
      </c>
      <c r="N107" s="7">
        <f t="shared" si="14"/>
        <v>0</v>
      </c>
      <c r="O107" s="4"/>
      <c r="P107" s="3"/>
      <c r="Q107" s="3"/>
      <c r="R107" s="3"/>
      <c r="S107" s="3"/>
      <c r="T107" s="3"/>
      <c r="U107" s="5"/>
      <c r="V107" s="125"/>
      <c r="W107" s="8"/>
      <c r="X107" s="3"/>
      <c r="Y107" s="3"/>
      <c r="Z107" s="3"/>
      <c r="AA107" s="3"/>
      <c r="AB107" s="3"/>
      <c r="AC107" s="8"/>
      <c r="AD107" s="8"/>
      <c r="AE107" s="3"/>
      <c r="AF107" s="3"/>
      <c r="AG107" s="3"/>
      <c r="AH107" s="3"/>
      <c r="AI107" s="3"/>
      <c r="AJ107" s="8"/>
      <c r="AK107" s="8"/>
      <c r="AL107" s="3"/>
      <c r="AM107" s="3"/>
      <c r="AN107" s="3"/>
      <c r="AO107" s="3"/>
      <c r="AP107" s="3"/>
      <c r="AQ107" s="8"/>
      <c r="AR107" s="8"/>
      <c r="AS107" s="3"/>
      <c r="AT107" s="3"/>
      <c r="AU107" s="3"/>
      <c r="AV107" s="3"/>
      <c r="AW107" s="3"/>
      <c r="AX107" s="8"/>
      <c r="AY107" s="127"/>
      <c r="AZ107" s="5"/>
      <c r="BA107" s="59"/>
      <c r="BB107" s="59"/>
      <c r="GO107" s="54"/>
      <c r="GP107" s="54"/>
    </row>
    <row r="108" spans="1:198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2"/>
        <v/>
      </c>
      <c r="H108" s="100" t="str">
        <f t="shared" si="3"/>
        <v/>
      </c>
      <c r="I108" s="101">
        <f t="shared" si="0"/>
        <v>0</v>
      </c>
      <c r="J108" s="100" t="str">
        <f t="shared" si="12"/>
        <v/>
      </c>
      <c r="K108" s="6" t="str">
        <f t="shared" si="4"/>
        <v/>
      </c>
      <c r="L108" s="6" t="str">
        <f t="shared" si="4"/>
        <v/>
      </c>
      <c r="M108" s="6">
        <f t="shared" si="13"/>
        <v>0</v>
      </c>
      <c r="N108" s="7">
        <f t="shared" si="14"/>
        <v>0</v>
      </c>
      <c r="O108" s="4"/>
      <c r="P108" s="3"/>
      <c r="Q108" s="3"/>
      <c r="R108" s="3"/>
      <c r="S108" s="3"/>
      <c r="T108" s="3"/>
      <c r="U108" s="5"/>
      <c r="V108" s="125"/>
      <c r="W108" s="8"/>
      <c r="X108" s="3"/>
      <c r="Y108" s="3"/>
      <c r="Z108" s="3"/>
      <c r="AA108" s="3"/>
      <c r="AB108" s="3"/>
      <c r="AC108" s="8"/>
      <c r="AD108" s="8"/>
      <c r="AE108" s="3"/>
      <c r="AF108" s="3"/>
      <c r="AG108" s="3"/>
      <c r="AH108" s="3"/>
      <c r="AI108" s="3"/>
      <c r="AJ108" s="8"/>
      <c r="AK108" s="8"/>
      <c r="AL108" s="3"/>
      <c r="AM108" s="3"/>
      <c r="AN108" s="3"/>
      <c r="AO108" s="3"/>
      <c r="AP108" s="3"/>
      <c r="AQ108" s="8"/>
      <c r="AR108" s="8"/>
      <c r="AS108" s="3"/>
      <c r="AT108" s="3"/>
      <c r="AU108" s="3"/>
      <c r="AV108" s="3"/>
      <c r="AW108" s="3"/>
      <c r="AX108" s="8"/>
      <c r="AY108" s="127"/>
      <c r="AZ108" s="5"/>
      <c r="BA108" s="59"/>
      <c r="BB108" s="59"/>
      <c r="GO108" s="54"/>
      <c r="GP108" s="54"/>
    </row>
    <row r="109" spans="1:198" ht="15" hidden="1" customHeight="1" x14ac:dyDescent="0.25">
      <c r="A109" s="102">
        <v>98</v>
      </c>
      <c r="B109" s="103"/>
      <c r="C109" s="104"/>
      <c r="D109" s="1"/>
      <c r="E109" s="105"/>
      <c r="F109" s="105"/>
      <c r="G109" s="100" t="str">
        <f t="shared" si="2"/>
        <v/>
      </c>
      <c r="H109" s="100" t="str">
        <f t="shared" si="3"/>
        <v/>
      </c>
      <c r="I109" s="101">
        <f t="shared" si="0"/>
        <v>0</v>
      </c>
      <c r="J109" s="100" t="str">
        <f t="shared" si="12"/>
        <v/>
      </c>
      <c r="K109" s="6" t="str">
        <f t="shared" si="4"/>
        <v/>
      </c>
      <c r="L109" s="6" t="str">
        <f t="shared" si="4"/>
        <v/>
      </c>
      <c r="M109" s="6">
        <f t="shared" si="13"/>
        <v>0</v>
      </c>
      <c r="N109" s="7">
        <f t="shared" si="14"/>
        <v>0</v>
      </c>
      <c r="O109" s="4"/>
      <c r="P109" s="3"/>
      <c r="Q109" s="3"/>
      <c r="R109" s="3"/>
      <c r="S109" s="3"/>
      <c r="T109" s="3"/>
      <c r="U109" s="5"/>
      <c r="V109" s="125"/>
      <c r="W109" s="8"/>
      <c r="X109" s="3"/>
      <c r="Y109" s="3"/>
      <c r="Z109" s="3"/>
      <c r="AA109" s="3"/>
      <c r="AB109" s="3"/>
      <c r="AC109" s="8"/>
      <c r="AD109" s="8"/>
      <c r="AE109" s="3"/>
      <c r="AF109" s="3"/>
      <c r="AG109" s="3"/>
      <c r="AH109" s="3"/>
      <c r="AI109" s="3"/>
      <c r="AJ109" s="8"/>
      <c r="AK109" s="8"/>
      <c r="AL109" s="3"/>
      <c r="AM109" s="3"/>
      <c r="AN109" s="3"/>
      <c r="AO109" s="3"/>
      <c r="AP109" s="3"/>
      <c r="AQ109" s="8"/>
      <c r="AR109" s="8"/>
      <c r="AS109" s="3"/>
      <c r="AT109" s="3"/>
      <c r="AU109" s="3"/>
      <c r="AV109" s="3"/>
      <c r="AW109" s="3"/>
      <c r="AX109" s="8"/>
      <c r="AY109" s="127"/>
      <c r="AZ109" s="5"/>
      <c r="BA109" s="59"/>
      <c r="BB109" s="59"/>
      <c r="GO109" s="54"/>
      <c r="GP109" s="54"/>
    </row>
    <row r="110" spans="1:198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2"/>
        <v/>
      </c>
      <c r="H110" s="100" t="str">
        <f t="shared" si="3"/>
        <v/>
      </c>
      <c r="I110" s="101">
        <f t="shared" si="0"/>
        <v>0</v>
      </c>
      <c r="J110" s="100" t="str">
        <f t="shared" si="12"/>
        <v/>
      </c>
      <c r="K110" s="6" t="str">
        <f t="shared" si="4"/>
        <v/>
      </c>
      <c r="L110" s="6" t="str">
        <f t="shared" si="4"/>
        <v/>
      </c>
      <c r="M110" s="6">
        <f t="shared" si="13"/>
        <v>0</v>
      </c>
      <c r="N110" s="7">
        <f t="shared" si="14"/>
        <v>0</v>
      </c>
      <c r="O110" s="4"/>
      <c r="P110" s="3"/>
      <c r="Q110" s="3"/>
      <c r="R110" s="3"/>
      <c r="S110" s="3"/>
      <c r="T110" s="3"/>
      <c r="U110" s="5"/>
      <c r="V110" s="125"/>
      <c r="W110" s="8"/>
      <c r="X110" s="3"/>
      <c r="Y110" s="3"/>
      <c r="Z110" s="3"/>
      <c r="AA110" s="3"/>
      <c r="AB110" s="3"/>
      <c r="AC110" s="8"/>
      <c r="AD110" s="8"/>
      <c r="AE110" s="3"/>
      <c r="AF110" s="3"/>
      <c r="AG110" s="3"/>
      <c r="AH110" s="3"/>
      <c r="AI110" s="3"/>
      <c r="AJ110" s="8"/>
      <c r="AK110" s="8"/>
      <c r="AL110" s="3"/>
      <c r="AM110" s="3"/>
      <c r="AN110" s="3"/>
      <c r="AO110" s="3"/>
      <c r="AP110" s="3"/>
      <c r="AQ110" s="8"/>
      <c r="AR110" s="8"/>
      <c r="AS110" s="3"/>
      <c r="AT110" s="3"/>
      <c r="AU110" s="3"/>
      <c r="AV110" s="3"/>
      <c r="AW110" s="3"/>
      <c r="AX110" s="8"/>
      <c r="AY110" s="127"/>
      <c r="AZ110" s="5"/>
      <c r="BA110" s="59"/>
      <c r="BB110" s="59"/>
      <c r="GO110" s="54"/>
      <c r="GP110" s="54"/>
    </row>
    <row r="111" spans="1:198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2"/>
        <v/>
      </c>
      <c r="H111" s="100" t="str">
        <f t="shared" si="3"/>
        <v/>
      </c>
      <c r="I111" s="101">
        <f t="shared" si="0"/>
        <v>0</v>
      </c>
      <c r="J111" s="100" t="str">
        <f>IF(I111&gt;0,12,"")</f>
        <v/>
      </c>
      <c r="K111" s="6" t="str">
        <f t="shared" si="4"/>
        <v/>
      </c>
      <c r="L111" s="6" t="str">
        <f t="shared" si="4"/>
        <v/>
      </c>
      <c r="M111" s="6">
        <f t="shared" si="13"/>
        <v>0</v>
      </c>
      <c r="N111" s="7">
        <f t="shared" si="14"/>
        <v>0</v>
      </c>
      <c r="O111" s="4"/>
      <c r="P111" s="3"/>
      <c r="Q111" s="3"/>
      <c r="R111" s="3"/>
      <c r="S111" s="3"/>
      <c r="T111" s="3"/>
      <c r="U111" s="5"/>
      <c r="V111" s="125"/>
      <c r="W111" s="8"/>
      <c r="X111" s="3"/>
      <c r="Y111" s="3"/>
      <c r="Z111" s="3"/>
      <c r="AA111" s="3"/>
      <c r="AB111" s="3"/>
      <c r="AC111" s="8"/>
      <c r="AD111" s="8"/>
      <c r="AE111" s="3"/>
      <c r="AF111" s="3"/>
      <c r="AG111" s="3"/>
      <c r="AH111" s="3"/>
      <c r="AI111" s="3"/>
      <c r="AJ111" s="8"/>
      <c r="AK111" s="8"/>
      <c r="AL111" s="3"/>
      <c r="AM111" s="3"/>
      <c r="AN111" s="3"/>
      <c r="AO111" s="3"/>
      <c r="AP111" s="3"/>
      <c r="AQ111" s="8"/>
      <c r="AR111" s="8"/>
      <c r="AS111" s="3"/>
      <c r="AT111" s="3"/>
      <c r="AU111" s="3"/>
      <c r="AV111" s="3"/>
      <c r="AW111" s="3"/>
      <c r="AX111" s="8"/>
      <c r="AY111" s="127"/>
      <c r="AZ111" s="5"/>
      <c r="BA111" s="59"/>
      <c r="BB111" s="59"/>
      <c r="GO111" s="54"/>
      <c r="GP111" s="54"/>
    </row>
    <row r="112" spans="1:198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58"/>
      <c r="BB112" s="58"/>
      <c r="GO112" s="54"/>
      <c r="GP112" s="54"/>
    </row>
    <row r="113" spans="1:56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5"/>
      <c r="BB113" s="58"/>
    </row>
    <row r="114" spans="1:56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4"/>
      <c r="BC114" s="59"/>
      <c r="BD114" s="59"/>
    </row>
    <row r="115" spans="1:56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4"/>
      <c r="BC115" s="59"/>
      <c r="BD115" s="59"/>
    </row>
    <row r="116" spans="1:56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4"/>
      <c r="BC116" s="59"/>
      <c r="BD116" s="59"/>
    </row>
    <row r="117" spans="1:56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4"/>
    </row>
    <row r="118" spans="1:56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4"/>
    </row>
    <row r="119" spans="1:56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8"/>
    </row>
    <row r="120" spans="1:56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8"/>
    </row>
    <row r="121" spans="1:56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8"/>
    </row>
    <row r="122" spans="1:56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8"/>
    </row>
    <row r="123" spans="1:56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3"/>
      <c r="BD123" s="59"/>
    </row>
    <row r="124" spans="1:56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D124" s="59"/>
    </row>
    <row r="125" spans="1:56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</row>
    <row r="126" spans="1:56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</row>
    <row r="127" spans="1:56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</row>
    <row r="128" spans="1:56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</row>
    <row r="129" spans="23:56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</row>
    <row r="130" spans="23:56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</row>
    <row r="131" spans="23:56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D131" s="59"/>
    </row>
    <row r="132" spans="23:56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D132" s="59"/>
    </row>
    <row r="133" spans="23:56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D133" s="59"/>
    </row>
    <row r="134" spans="23:56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D134" s="59"/>
    </row>
    <row r="135" spans="23:56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D135" s="59"/>
    </row>
    <row r="136" spans="23:56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D136" s="59"/>
    </row>
    <row r="137" spans="23:56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D137" s="59"/>
    </row>
    <row r="138" spans="23:56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D138" s="59"/>
    </row>
    <row r="139" spans="23:56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D139" s="59"/>
    </row>
    <row r="140" spans="23:56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D140" s="59"/>
    </row>
    <row r="141" spans="23:56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D141" s="59"/>
    </row>
    <row r="142" spans="23:56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D142" s="59"/>
    </row>
    <row r="143" spans="23:56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D143" s="59"/>
    </row>
    <row r="144" spans="23:56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D144" s="59"/>
    </row>
    <row r="145" spans="23:56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D145" s="59"/>
    </row>
    <row r="146" spans="23:56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D146" s="59"/>
    </row>
    <row r="147" spans="23:56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D147" s="59"/>
    </row>
    <row r="148" spans="23:56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D148" s="59"/>
    </row>
    <row r="149" spans="23:56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D149" s="59"/>
    </row>
    <row r="150" spans="23:56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D150" s="59"/>
    </row>
    <row r="151" spans="23:56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D151" s="59"/>
    </row>
    <row r="152" spans="23:56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D152" s="59"/>
    </row>
    <row r="153" spans="23:56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D153" s="59"/>
    </row>
    <row r="154" spans="23:56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D154" s="59"/>
    </row>
    <row r="155" spans="23:56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D155" s="59"/>
    </row>
    <row r="156" spans="23:56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D156" s="59"/>
    </row>
    <row r="157" spans="23:56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D157" s="59"/>
    </row>
    <row r="158" spans="23:56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D158" s="59"/>
    </row>
    <row r="159" spans="23:56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D159" s="59"/>
    </row>
    <row r="160" spans="23:56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D160" s="59"/>
    </row>
    <row r="161" spans="23:56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D161" s="59"/>
    </row>
    <row r="162" spans="23:56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D162" s="59"/>
    </row>
    <row r="163" spans="23:56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D163" s="59"/>
    </row>
    <row r="164" spans="23:56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D164" s="59"/>
    </row>
    <row r="165" spans="23:56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D165" s="59"/>
    </row>
    <row r="166" spans="23:56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D166" s="59"/>
    </row>
    <row r="167" spans="23:56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D167" s="59"/>
    </row>
    <row r="168" spans="23:56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D168" s="59"/>
    </row>
    <row r="169" spans="23:56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D169" s="59"/>
    </row>
    <row r="170" spans="23:56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D170" s="59"/>
    </row>
    <row r="171" spans="23:56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D171" s="59"/>
    </row>
    <row r="172" spans="23:56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D172" s="59"/>
    </row>
    <row r="173" spans="23:56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D173" s="59"/>
    </row>
    <row r="174" spans="23:56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D174" s="59"/>
    </row>
    <row r="175" spans="23:56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D175" s="59"/>
    </row>
    <row r="176" spans="23:56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D176" s="59"/>
    </row>
    <row r="177" spans="23:56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D177" s="59"/>
    </row>
    <row r="178" spans="23:56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D178" s="59"/>
    </row>
    <row r="179" spans="23:56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D179" s="59"/>
    </row>
    <row r="180" spans="23:56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D180" s="59"/>
    </row>
    <row r="181" spans="23:56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D181" s="59"/>
    </row>
    <row r="182" spans="23:56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D182" s="59"/>
    </row>
    <row r="183" spans="23:56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D183" s="59"/>
    </row>
    <row r="184" spans="23:56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D184" s="59"/>
    </row>
    <row r="185" spans="23:56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D185" s="59"/>
    </row>
    <row r="186" spans="23:56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D186" s="59"/>
    </row>
    <row r="187" spans="23:56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D187" s="59"/>
    </row>
    <row r="188" spans="23:56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D188" s="59"/>
    </row>
    <row r="189" spans="23:56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D189" s="59"/>
    </row>
    <row r="190" spans="23:56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D190" s="59"/>
    </row>
    <row r="191" spans="23:56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D191" s="59"/>
    </row>
    <row r="192" spans="23:56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D192" s="59"/>
    </row>
    <row r="193" spans="23:56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D193" s="59"/>
    </row>
    <row r="194" spans="23:56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D194" s="59"/>
    </row>
    <row r="195" spans="23:56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D195" s="59"/>
    </row>
    <row r="196" spans="23:56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D196" s="59"/>
    </row>
    <row r="197" spans="23:56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D197" s="59"/>
    </row>
    <row r="198" spans="23:56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D198" s="59"/>
    </row>
    <row r="199" spans="23:56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D199" s="59"/>
    </row>
    <row r="200" spans="23:56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D200" s="59"/>
    </row>
    <row r="201" spans="23:56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D201" s="59"/>
    </row>
    <row r="202" spans="23:56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D202" s="59"/>
    </row>
    <row r="203" spans="23:56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D203" s="59"/>
    </row>
    <row r="204" spans="23:56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D204" s="59"/>
    </row>
    <row r="205" spans="23:56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D205" s="59"/>
    </row>
    <row r="206" spans="23:56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D206" s="59"/>
    </row>
    <row r="207" spans="23:56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D207" s="59"/>
    </row>
    <row r="208" spans="23:56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D208" s="59"/>
    </row>
    <row r="209" spans="23:56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D209" s="59"/>
    </row>
    <row r="210" spans="23:56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D210" s="59"/>
    </row>
    <row r="211" spans="23:56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D211" s="59"/>
    </row>
    <row r="212" spans="23:56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D212" s="59"/>
    </row>
    <row r="213" spans="23:56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D213" s="59"/>
    </row>
    <row r="214" spans="23:56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D214" s="59"/>
    </row>
    <row r="215" spans="23:56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D215" s="59"/>
    </row>
    <row r="216" spans="23:56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D216" s="59"/>
    </row>
    <row r="217" spans="23:56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D217" s="59"/>
    </row>
    <row r="218" spans="23:56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D218" s="59"/>
    </row>
    <row r="219" spans="23:56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D219" s="59"/>
    </row>
    <row r="220" spans="23:56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D220" s="59"/>
    </row>
    <row r="221" spans="23:56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D221" s="59"/>
    </row>
    <row r="222" spans="23:56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D222" s="59"/>
    </row>
    <row r="223" spans="23:56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D223" s="59"/>
    </row>
    <row r="224" spans="23:56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D224" s="59"/>
    </row>
    <row r="225" spans="23:56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D225" s="59"/>
    </row>
    <row r="226" spans="23:56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D226" s="59"/>
    </row>
    <row r="227" spans="23:56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D227" s="59"/>
    </row>
    <row r="228" spans="23:56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D228" s="59"/>
    </row>
    <row r="229" spans="23:56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D229" s="59"/>
    </row>
    <row r="230" spans="23:56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D230" s="59"/>
    </row>
    <row r="231" spans="23:56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D231" s="59"/>
    </row>
    <row r="232" spans="23:56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D232" s="59"/>
    </row>
    <row r="233" spans="23:56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D233" s="59"/>
    </row>
    <row r="234" spans="23:56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D234" s="59"/>
    </row>
    <row r="235" spans="23:56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D235" s="59"/>
    </row>
    <row r="236" spans="23:56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D236" s="59"/>
    </row>
    <row r="237" spans="23:56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D237" s="59"/>
    </row>
    <row r="238" spans="23:56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D238" s="59"/>
    </row>
    <row r="239" spans="23:56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D239" s="59"/>
    </row>
    <row r="240" spans="23:56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D240" s="59"/>
    </row>
    <row r="241" spans="23:56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D241" s="59"/>
    </row>
    <row r="242" spans="23:56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D242" s="59"/>
    </row>
    <row r="243" spans="23:56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D243" s="59"/>
    </row>
    <row r="244" spans="23:56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D244" s="59"/>
    </row>
    <row r="245" spans="23:56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D245" s="59"/>
    </row>
    <row r="246" spans="23:56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D246" s="59"/>
    </row>
    <row r="247" spans="23:56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D247" s="59"/>
    </row>
    <row r="248" spans="23:56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D248" s="59"/>
    </row>
    <row r="249" spans="23:56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D249" s="59"/>
    </row>
    <row r="250" spans="23:56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D250" s="59"/>
    </row>
    <row r="251" spans="23:56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D251" s="59"/>
    </row>
    <row r="252" spans="23:56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D252" s="59"/>
    </row>
    <row r="253" spans="23:56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D253" s="59"/>
    </row>
    <row r="254" spans="23:56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D254" s="59"/>
    </row>
    <row r="255" spans="23:56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D255" s="59"/>
    </row>
    <row r="256" spans="23:56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D256" s="59"/>
    </row>
    <row r="257" spans="23:56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D257" s="59"/>
    </row>
    <row r="258" spans="23:56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D258" s="59"/>
    </row>
    <row r="259" spans="23:56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D259" s="59"/>
    </row>
    <row r="260" spans="23:56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D260" s="59"/>
    </row>
    <row r="261" spans="23:56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D261" s="59"/>
    </row>
    <row r="262" spans="23:56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D262" s="59"/>
    </row>
    <row r="263" spans="23:56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D263" s="59"/>
    </row>
    <row r="264" spans="23:56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D264" s="59"/>
    </row>
    <row r="265" spans="23:56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D265" s="59"/>
    </row>
    <row r="266" spans="23:56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D266" s="59"/>
    </row>
    <row r="267" spans="23:56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D267" s="59"/>
    </row>
    <row r="268" spans="23:56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D268" s="59"/>
    </row>
    <row r="269" spans="23:56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D269" s="59"/>
    </row>
    <row r="270" spans="23:56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D270" s="59"/>
    </row>
    <row r="271" spans="23:56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D271" s="59"/>
    </row>
    <row r="272" spans="23:56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D272" s="59"/>
    </row>
    <row r="273" spans="23:56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D273" s="59"/>
    </row>
    <row r="274" spans="23:56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D274" s="59"/>
    </row>
    <row r="275" spans="23:56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D275" s="59"/>
    </row>
    <row r="276" spans="23:56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D276" s="59"/>
    </row>
    <row r="277" spans="23:56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D277" s="59"/>
    </row>
    <row r="278" spans="23:56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D278" s="59"/>
    </row>
    <row r="279" spans="23:56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D279" s="59"/>
    </row>
    <row r="280" spans="23:56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D280" s="59"/>
    </row>
    <row r="281" spans="23:56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D281" s="59"/>
    </row>
    <row r="282" spans="23:56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D282" s="59"/>
    </row>
    <row r="283" spans="23:56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D283" s="59"/>
    </row>
    <row r="284" spans="23:56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D284" s="59"/>
    </row>
    <row r="285" spans="23:56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D285" s="59"/>
    </row>
    <row r="286" spans="23:56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D286" s="59"/>
    </row>
    <row r="287" spans="23:56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D287" s="59"/>
    </row>
    <row r="288" spans="23:56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D288" s="59"/>
    </row>
    <row r="289" spans="23:56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D289" s="59"/>
    </row>
    <row r="290" spans="23:56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D290" s="59"/>
    </row>
    <row r="291" spans="23:56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D291" s="59"/>
    </row>
    <row r="292" spans="23:56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D292" s="59"/>
    </row>
    <row r="293" spans="23:56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D293" s="59"/>
    </row>
    <row r="294" spans="23:56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D294" s="59"/>
    </row>
    <row r="295" spans="23:56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D295" s="59"/>
    </row>
    <row r="296" spans="23:56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D296" s="59"/>
    </row>
    <row r="297" spans="23:56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D297" s="59"/>
    </row>
    <row r="298" spans="23:56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D298" s="59"/>
    </row>
    <row r="299" spans="23:56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D299" s="59"/>
    </row>
    <row r="300" spans="23:56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D300" s="59"/>
    </row>
    <row r="301" spans="23:56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D301" s="59"/>
    </row>
    <row r="302" spans="23:56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D302" s="59"/>
    </row>
    <row r="303" spans="23:56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D303" s="59"/>
    </row>
    <row r="304" spans="23:56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D304" s="59"/>
    </row>
    <row r="305" spans="23:56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D305" s="59"/>
    </row>
    <row r="306" spans="23:56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D306" s="59"/>
    </row>
    <row r="307" spans="23:56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D307" s="59"/>
    </row>
    <row r="308" spans="23:56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D308" s="59"/>
    </row>
    <row r="309" spans="23:56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D309" s="59"/>
    </row>
    <row r="310" spans="23:56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D310" s="59"/>
    </row>
    <row r="311" spans="23:56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D311" s="59"/>
    </row>
    <row r="312" spans="23:56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D312" s="59"/>
    </row>
    <row r="313" spans="23:56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D313" s="59"/>
    </row>
    <row r="314" spans="23:56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D314" s="59"/>
    </row>
    <row r="315" spans="23:56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D315" s="59"/>
    </row>
    <row r="316" spans="23:56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D316" s="59"/>
    </row>
    <row r="317" spans="23:56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D317" s="59"/>
    </row>
    <row r="318" spans="23:56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D318" s="59"/>
    </row>
    <row r="319" spans="23:56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D319" s="59"/>
    </row>
    <row r="320" spans="23:56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D320" s="59"/>
    </row>
    <row r="321" spans="23:56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D321" s="59"/>
    </row>
    <row r="322" spans="23:56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D322" s="59"/>
    </row>
    <row r="323" spans="23:56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D323" s="59"/>
    </row>
    <row r="324" spans="23:56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</row>
    <row r="325" spans="23:56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</row>
    <row r="326" spans="23:56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</row>
    <row r="327" spans="23:56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</row>
    <row r="328" spans="23:56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</row>
    <row r="329" spans="23:56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</row>
    <row r="330" spans="23:56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</row>
    <row r="331" spans="23:56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</row>
    <row r="332" spans="23:56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</row>
    <row r="333" spans="23:56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</row>
    <row r="334" spans="23:56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</row>
    <row r="335" spans="23:56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</row>
    <row r="336" spans="23:56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</row>
    <row r="337" spans="23:52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</row>
    <row r="338" spans="23:52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</row>
    <row r="339" spans="23:52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</row>
    <row r="340" spans="23:52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</row>
    <row r="341" spans="23:52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</row>
    <row r="342" spans="23:52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</row>
    <row r="343" spans="23:52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</row>
    <row r="344" spans="23:52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</row>
    <row r="345" spans="23:52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</row>
    <row r="346" spans="23:52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</row>
    <row r="347" spans="23:52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</row>
    <row r="348" spans="23:52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</row>
    <row r="349" spans="23:52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</row>
    <row r="350" spans="23:52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</row>
    <row r="351" spans="23:52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</row>
    <row r="352" spans="23:52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</row>
    <row r="353" spans="23:52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</row>
    <row r="354" spans="23:52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</row>
    <row r="355" spans="23:52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</row>
    <row r="356" spans="23:52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</row>
    <row r="357" spans="23:52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</row>
    <row r="358" spans="23:52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</row>
    <row r="359" spans="23:52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</row>
    <row r="360" spans="23:52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</row>
    <row r="361" spans="23:52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</row>
    <row r="362" spans="23:52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</row>
    <row r="363" spans="23:52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</row>
    <row r="364" spans="23:52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</row>
    <row r="365" spans="23:52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</row>
    <row r="366" spans="23:52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</row>
    <row r="367" spans="23:52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</row>
    <row r="368" spans="23:52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</row>
    <row r="369" spans="23:52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</row>
    <row r="370" spans="23:52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</row>
    <row r="371" spans="23:52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</row>
    <row r="372" spans="23:52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</row>
    <row r="373" spans="23:52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</row>
    <row r="374" spans="23:52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</row>
    <row r="375" spans="23:52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</row>
    <row r="376" spans="23:52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</row>
    <row r="377" spans="23:52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</row>
    <row r="378" spans="23:52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</row>
    <row r="379" spans="23:52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</row>
    <row r="380" spans="23:52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</row>
    <row r="381" spans="23:52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</row>
    <row r="382" spans="23:52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</row>
    <row r="383" spans="23:52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</row>
    <row r="384" spans="23:52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</row>
    <row r="385" spans="23:52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</row>
    <row r="386" spans="23:52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</row>
    <row r="387" spans="23:52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</row>
    <row r="388" spans="23:52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</row>
    <row r="389" spans="23:52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</row>
    <row r="390" spans="23:52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</row>
    <row r="391" spans="23:52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</row>
    <row r="392" spans="23:52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</row>
    <row r="393" spans="23:52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</row>
    <row r="394" spans="23:52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</row>
    <row r="395" spans="23:52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</row>
    <row r="396" spans="23:52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</row>
    <row r="397" spans="23:52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</row>
    <row r="398" spans="23:52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</row>
    <row r="399" spans="23:52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</row>
    <row r="400" spans="23:52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</row>
    <row r="401" spans="11:52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</row>
    <row r="402" spans="11:52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</row>
    <row r="403" spans="11:52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</row>
    <row r="404" spans="11:52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</row>
    <row r="405" spans="11:52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</row>
    <row r="406" spans="11:52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</row>
    <row r="407" spans="11:52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</row>
    <row r="408" spans="11:52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</row>
    <row r="409" spans="11:52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</row>
    <row r="410" spans="11:52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</row>
    <row r="411" spans="11:52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</row>
    <row r="412" spans="11:52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</row>
    <row r="413" spans="11:52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</row>
    <row r="414" spans="11:52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</row>
    <row r="415" spans="11:52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</row>
    <row r="416" spans="11:52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</row>
    <row r="417" spans="11:52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</row>
    <row r="418" spans="11:52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</row>
    <row r="419" spans="11:52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</row>
    <row r="420" spans="11:52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</row>
    <row r="421" spans="11:52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</row>
    <row r="422" spans="11:52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</row>
    <row r="423" spans="11:52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</row>
    <row r="424" spans="11:52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</row>
    <row r="425" spans="11:52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</row>
    <row r="426" spans="11:52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</row>
    <row r="427" spans="11:52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</row>
    <row r="428" spans="11:52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</row>
    <row r="429" spans="11:52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</row>
    <row r="430" spans="11:52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</row>
    <row r="431" spans="11:52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</row>
    <row r="432" spans="11:52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</row>
    <row r="433" spans="8:52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</row>
    <row r="434" spans="8:52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</row>
    <row r="435" spans="8:52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</row>
    <row r="436" spans="8:52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</row>
    <row r="437" spans="8:52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</row>
    <row r="438" spans="8:52" x14ac:dyDescent="0.3">
      <c r="H438" s="58"/>
      <c r="I438" s="58"/>
      <c r="J438" s="58"/>
    </row>
  </sheetData>
  <sheetProtection password="C1F5" sheet="1" formatCells="0" selectLockedCells="1" sort="0"/>
  <mergeCells count="11">
    <mergeCell ref="W10:AZ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7" priority="2" operator="lessThan">
      <formula>2</formula>
    </cfRule>
  </conditionalFormatting>
  <conditionalFormatting sqref="I12:I111">
    <cfRule type="cellIs" dxfId="6" priority="1" operator="lessThan">
      <formula>10</formula>
    </cfRule>
  </conditionalFormatting>
  <conditionalFormatting sqref="J12:J111">
    <cfRule type="cellIs" dxfId="5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  <rowBreaks count="1" manualBreakCount="1">
    <brk id="101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70CF941B-3EBF-4AF0-BD04-AE4FD273E461}">
            <xm:f>Jahresübersicht!$B$48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Q438"/>
  <sheetViews>
    <sheetView zoomScale="70" zoomScaleNormal="70" zoomScaleSheetLayoutView="50" workbookViewId="0">
      <pane xSplit="3" ySplit="11" topLeftCell="D12" activePane="bottomRight" state="frozen"/>
      <selection activeCell="B12" sqref="B12"/>
      <selection pane="topRight" activeCell="B12" sqref="B12"/>
      <selection pane="bottomLeft" activeCell="B12" sqref="B12"/>
      <selection pane="bottomRight" activeCell="B12" sqref="B12"/>
    </sheetView>
  </sheetViews>
  <sheetFormatPr baseColWidth="10" defaultColWidth="11.44140625" defaultRowHeight="14.4" x14ac:dyDescent="0.3"/>
  <cols>
    <col min="1" max="1" width="4.109375" style="54" customWidth="1"/>
    <col min="2" max="2" width="24.109375" style="54" customWidth="1"/>
    <col min="3" max="3" width="20.44140625" style="54" customWidth="1"/>
    <col min="4" max="4" width="15.33203125" style="54" bestFit="1" customWidth="1"/>
    <col min="5" max="6" width="11.88671875" style="54" customWidth="1"/>
    <col min="7" max="9" width="16.88671875" style="54" customWidth="1"/>
    <col min="10" max="10" width="16.5546875" style="54" customWidth="1"/>
    <col min="11" max="12" width="9.88671875" style="54" customWidth="1"/>
    <col min="13" max="13" width="9.6640625" style="54" customWidth="1"/>
    <col min="14" max="14" width="8" style="54" customWidth="1"/>
    <col min="15" max="15" width="8.5546875" style="54" bestFit="1" customWidth="1"/>
    <col min="16" max="16" width="9.6640625" style="54" bestFit="1" customWidth="1"/>
    <col min="17" max="17" width="10.109375" style="54" bestFit="1" customWidth="1"/>
    <col min="18" max="18" width="12.44140625" style="54" bestFit="1" customWidth="1"/>
    <col min="19" max="19" width="8.33203125" style="54" bestFit="1" customWidth="1"/>
    <col min="20" max="20" width="16.44140625" style="54" customWidth="1"/>
    <col min="21" max="21" width="16.33203125" style="54" customWidth="1"/>
    <col min="22" max="22" width="12.44140625" style="54" customWidth="1"/>
    <col min="23" max="53" width="4.88671875" style="120" customWidth="1"/>
    <col min="54" max="54" width="3" style="121" customWidth="1"/>
    <col min="55" max="55" width="33.88671875" style="54" customWidth="1"/>
    <col min="56" max="56" width="11.44140625" style="58"/>
    <col min="57" max="57" width="7.88671875" style="58" customWidth="1"/>
    <col min="58" max="58" width="6.109375" style="58" customWidth="1"/>
    <col min="59" max="59" width="4.88671875" style="58" customWidth="1"/>
    <col min="60" max="60" width="5.88671875" style="58" customWidth="1"/>
    <col min="61" max="61" width="6.109375" style="58" customWidth="1"/>
    <col min="62" max="62" width="5.88671875" style="58" customWidth="1"/>
    <col min="63" max="63" width="5.109375" style="58" customWidth="1"/>
    <col min="64" max="64" width="6.44140625" style="58" customWidth="1"/>
    <col min="65" max="65" width="5.44140625" style="58" customWidth="1"/>
    <col min="66" max="66" width="6.109375" style="58" customWidth="1"/>
    <col min="67" max="199" width="11.44140625" style="58"/>
    <col min="200" max="16384" width="11.44140625" style="54"/>
  </cols>
  <sheetData>
    <row r="1" spans="1:199" ht="18.600000000000001" x14ac:dyDescent="0.25">
      <c r="A1" s="53" t="s">
        <v>66</v>
      </c>
      <c r="B1" s="13"/>
      <c r="C1" s="13"/>
      <c r="D1" s="13"/>
      <c r="E1" s="13"/>
      <c r="F1" s="13"/>
      <c r="H1" s="55" t="s">
        <v>47</v>
      </c>
      <c r="I1" s="13"/>
      <c r="J1" s="13"/>
      <c r="K1" s="13"/>
      <c r="L1" s="13"/>
      <c r="M1" s="13"/>
      <c r="N1" s="13"/>
      <c r="O1" s="56"/>
      <c r="P1" s="56"/>
      <c r="Q1" s="56"/>
      <c r="R1" s="13"/>
      <c r="S1" s="13"/>
      <c r="T1" s="13"/>
      <c r="U1" s="13"/>
      <c r="V1" s="13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15"/>
      <c r="BC1" s="58"/>
      <c r="BE1" s="59"/>
    </row>
    <row r="2" spans="1:199" s="63" customFormat="1" ht="16.2" thickBot="1" x14ac:dyDescent="0.35">
      <c r="A2" s="60"/>
      <c r="B2" s="5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56"/>
      <c r="P2" s="56"/>
      <c r="Q2" s="56"/>
      <c r="R2" s="13"/>
      <c r="S2" s="13"/>
      <c r="T2" s="13"/>
      <c r="U2" s="13"/>
      <c r="V2" s="13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17"/>
      <c r="BC2" s="61"/>
      <c r="BD2" s="61"/>
      <c r="BE2" s="62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</row>
    <row r="3" spans="1:199" s="63" customFormat="1" ht="16.8" thickTop="1" thickBot="1" x14ac:dyDescent="0.35">
      <c r="A3" s="64" t="s">
        <v>34</v>
      </c>
      <c r="B3" s="65"/>
      <c r="C3" s="122">
        <v>46357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6"/>
      <c r="P3" s="56"/>
      <c r="Q3" s="56"/>
      <c r="R3" s="13"/>
      <c r="S3" s="13"/>
      <c r="T3" s="13"/>
      <c r="U3" s="13"/>
      <c r="V3" s="13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17"/>
      <c r="BC3" s="61"/>
      <c r="BD3" s="61"/>
      <c r="BE3" s="62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  <c r="FK3" s="61"/>
      <c r="FL3" s="61"/>
      <c r="FM3" s="61"/>
      <c r="FN3" s="61"/>
      <c r="FO3" s="61"/>
      <c r="FP3" s="61"/>
      <c r="FQ3" s="61"/>
      <c r="FR3" s="61"/>
      <c r="FS3" s="61"/>
      <c r="FT3" s="61"/>
      <c r="FU3" s="61"/>
      <c r="FV3" s="61"/>
      <c r="FW3" s="61"/>
      <c r="FX3" s="61"/>
      <c r="FY3" s="61"/>
      <c r="FZ3" s="61"/>
      <c r="GA3" s="61"/>
      <c r="GB3" s="61"/>
      <c r="GC3" s="61"/>
      <c r="GD3" s="61"/>
      <c r="GE3" s="61"/>
      <c r="GF3" s="61"/>
      <c r="GG3" s="61"/>
      <c r="GH3" s="61"/>
      <c r="GI3" s="61"/>
      <c r="GJ3" s="61"/>
      <c r="GK3" s="61"/>
      <c r="GL3" s="61"/>
      <c r="GM3" s="61"/>
      <c r="GN3" s="61"/>
      <c r="GO3" s="61"/>
      <c r="GP3" s="61"/>
      <c r="GQ3" s="61"/>
    </row>
    <row r="4" spans="1:199" s="63" customFormat="1" ht="16.8" thickTop="1" thickBot="1" x14ac:dyDescent="0.35">
      <c r="A4" s="66" t="s">
        <v>45</v>
      </c>
      <c r="B4" s="67"/>
      <c r="C4" s="68">
        <f>$G$112</f>
        <v>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56"/>
      <c r="P4" s="56"/>
      <c r="Q4" s="56"/>
      <c r="R4" s="13"/>
      <c r="S4" s="13"/>
      <c r="V4" s="13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17"/>
      <c r="BC4" s="61"/>
      <c r="BD4" s="61"/>
      <c r="BE4" s="62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</row>
    <row r="5" spans="1:199" s="63" customFormat="1" ht="16.8" thickTop="1" thickBot="1" x14ac:dyDescent="0.35">
      <c r="A5" s="69" t="s">
        <v>46</v>
      </c>
      <c r="B5" s="70"/>
      <c r="C5" s="71">
        <f>$H$112</f>
        <v>0</v>
      </c>
      <c r="D5" s="13"/>
      <c r="E5" s="13"/>
      <c r="F5" s="13"/>
      <c r="G5" s="13"/>
      <c r="H5" s="13"/>
      <c r="I5" s="13"/>
      <c r="J5" s="13"/>
      <c r="K5" s="13"/>
      <c r="L5" s="17"/>
      <c r="M5" s="17"/>
      <c r="N5" s="17"/>
      <c r="Q5" s="72"/>
      <c r="R5" s="17"/>
      <c r="S5" s="17"/>
      <c r="T5" s="64" t="s">
        <v>60</v>
      </c>
      <c r="U5" s="65"/>
      <c r="V5" s="65"/>
      <c r="W5" s="65"/>
      <c r="X5" s="65"/>
      <c r="Y5" s="65"/>
      <c r="Z5" s="65"/>
      <c r="AA5" s="65"/>
      <c r="AB5" s="73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17"/>
      <c r="BC5" s="61"/>
      <c r="BD5" s="61"/>
      <c r="BE5" s="62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</row>
    <row r="6" spans="1:199" s="63" customFormat="1" ht="16.8" thickTop="1" thickBot="1" x14ac:dyDescent="0.35">
      <c r="A6" s="75" t="s">
        <v>65</v>
      </c>
      <c r="B6" s="76"/>
      <c r="C6" s="77">
        <f>$I$112</f>
        <v>0</v>
      </c>
      <c r="D6" s="13"/>
      <c r="E6" s="13"/>
      <c r="F6" s="13"/>
      <c r="G6" s="13"/>
      <c r="H6" s="13"/>
      <c r="I6" s="13"/>
      <c r="J6" s="13"/>
      <c r="K6" s="13"/>
      <c r="O6" s="13"/>
      <c r="P6" s="13"/>
      <c r="T6" s="66" t="s">
        <v>72</v>
      </c>
      <c r="U6" s="67"/>
      <c r="V6" s="67"/>
      <c r="W6" s="67"/>
      <c r="X6" s="67"/>
      <c r="Y6" s="67"/>
      <c r="Z6" s="67"/>
      <c r="AA6" s="67"/>
      <c r="AB6" s="78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17"/>
      <c r="BC6" s="61"/>
      <c r="BD6" s="61"/>
      <c r="BE6" s="62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</row>
    <row r="7" spans="1:199" s="63" customFormat="1" ht="16.95" customHeight="1" thickTop="1" thickBot="1" x14ac:dyDescent="0.35">
      <c r="A7" s="159" t="s">
        <v>49</v>
      </c>
      <c r="B7" s="160"/>
      <c r="C7" s="79"/>
      <c r="D7" s="13"/>
      <c r="E7" s="13"/>
      <c r="F7" s="13"/>
      <c r="G7" s="13"/>
      <c r="H7" s="13"/>
      <c r="I7" s="13"/>
      <c r="J7" s="13"/>
      <c r="K7" s="13"/>
      <c r="O7" s="13"/>
      <c r="P7" s="13"/>
      <c r="T7" s="69" t="s">
        <v>74</v>
      </c>
      <c r="U7" s="70"/>
      <c r="V7" s="70"/>
      <c r="W7" s="70"/>
      <c r="X7" s="70"/>
      <c r="Y7" s="70"/>
      <c r="Z7" s="70"/>
      <c r="AA7" s="70"/>
      <c r="AB7" s="80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17"/>
      <c r="BC7" s="61"/>
      <c r="BD7" s="61"/>
      <c r="BE7" s="62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</row>
    <row r="8" spans="1:199" s="63" customFormat="1" ht="16.8" thickTop="1" thickBot="1" x14ac:dyDescent="0.35">
      <c r="A8" s="64" t="s">
        <v>35</v>
      </c>
      <c r="B8" s="65"/>
      <c r="C8" s="81">
        <f>C6+C7</f>
        <v>0</v>
      </c>
      <c r="D8" s="13"/>
      <c r="E8" s="13"/>
      <c r="F8" s="13"/>
      <c r="G8" s="13"/>
      <c r="H8" s="13"/>
      <c r="I8" s="13"/>
      <c r="J8" s="13"/>
      <c r="K8" s="13"/>
      <c r="O8" s="13"/>
      <c r="P8" s="13"/>
      <c r="T8" s="75" t="s">
        <v>73</v>
      </c>
      <c r="U8" s="76"/>
      <c r="V8" s="76"/>
      <c r="W8" s="76"/>
      <c r="X8" s="76"/>
      <c r="Y8" s="76"/>
      <c r="Z8" s="76"/>
      <c r="AA8" s="76"/>
      <c r="AB8" s="82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17"/>
      <c r="BC8" s="61"/>
      <c r="BD8" s="61"/>
      <c r="BE8" s="62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</row>
    <row r="9" spans="1:199" s="63" customFormat="1" ht="16.8" thickTop="1" thickBot="1" x14ac:dyDescent="0.35">
      <c r="A9" s="83" t="s">
        <v>78</v>
      </c>
      <c r="B9" s="84"/>
      <c r="C9" s="85" t="str">
        <f>Jahresübersicht!E20</f>
        <v>-</v>
      </c>
      <c r="D9" s="13"/>
      <c r="E9" s="13"/>
      <c r="F9" s="13"/>
      <c r="G9" s="13"/>
      <c r="H9" s="13"/>
      <c r="I9" s="13"/>
      <c r="J9" s="13"/>
      <c r="O9" s="56"/>
      <c r="Q9" s="56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17"/>
      <c r="BC9" s="61"/>
      <c r="BD9" s="61"/>
      <c r="BE9" s="62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</row>
    <row r="10" spans="1:199" s="63" customFormat="1" ht="37.5" customHeight="1" thickTop="1" thickBot="1" x14ac:dyDescent="0.3">
      <c r="A10" s="13"/>
      <c r="B10" s="56"/>
      <c r="C10" s="86"/>
      <c r="D10" s="87"/>
      <c r="H10" s="88"/>
      <c r="I10" s="56"/>
      <c r="J10" s="17"/>
      <c r="O10" s="161" t="s">
        <v>70</v>
      </c>
      <c r="P10" s="162"/>
      <c r="Q10" s="162"/>
      <c r="R10" s="162"/>
      <c r="S10" s="162"/>
      <c r="T10" s="162"/>
      <c r="U10" s="163"/>
      <c r="V10" s="89"/>
      <c r="W10" s="157" t="s">
        <v>71</v>
      </c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7"/>
      <c r="BC10" s="61"/>
      <c r="BD10" s="61"/>
      <c r="BE10" s="62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</row>
    <row r="11" spans="1:199" ht="42.6" thickTop="1" thickBot="1" x14ac:dyDescent="0.35">
      <c r="A11" s="90" t="s">
        <v>26</v>
      </c>
      <c r="B11" s="90" t="s">
        <v>0</v>
      </c>
      <c r="C11" s="90" t="s">
        <v>1</v>
      </c>
      <c r="D11" s="90" t="s">
        <v>32</v>
      </c>
      <c r="E11" s="91" t="s">
        <v>41</v>
      </c>
      <c r="F11" s="91" t="s">
        <v>40</v>
      </c>
      <c r="G11" s="92" t="s">
        <v>42</v>
      </c>
      <c r="H11" s="92" t="s">
        <v>43</v>
      </c>
      <c r="I11" s="92" t="s">
        <v>44</v>
      </c>
      <c r="J11" s="92" t="s">
        <v>48</v>
      </c>
      <c r="K11" s="91" t="s">
        <v>55</v>
      </c>
      <c r="L11" s="91" t="s">
        <v>56</v>
      </c>
      <c r="M11" s="91" t="s">
        <v>75</v>
      </c>
      <c r="N11" s="93" t="s">
        <v>76</v>
      </c>
      <c r="O11" s="90" t="s">
        <v>50</v>
      </c>
      <c r="P11" s="90" t="s">
        <v>51</v>
      </c>
      <c r="Q11" s="90" t="s">
        <v>52</v>
      </c>
      <c r="R11" s="90" t="s">
        <v>53</v>
      </c>
      <c r="S11" s="90" t="s">
        <v>54</v>
      </c>
      <c r="T11" s="91" t="s">
        <v>61</v>
      </c>
      <c r="U11" s="91" t="s">
        <v>62</v>
      </c>
      <c r="V11" s="94"/>
      <c r="W11" s="95">
        <v>1</v>
      </c>
      <c r="X11" s="95">
        <v>2</v>
      </c>
      <c r="Y11" s="95">
        <v>3</v>
      </c>
      <c r="Z11" s="95">
        <v>4</v>
      </c>
      <c r="AA11" s="95">
        <v>5</v>
      </c>
      <c r="AB11" s="95">
        <v>6</v>
      </c>
      <c r="AC11" s="95">
        <v>7</v>
      </c>
      <c r="AD11" s="95">
        <v>8</v>
      </c>
      <c r="AE11" s="95">
        <v>9</v>
      </c>
      <c r="AF11" s="95">
        <v>10</v>
      </c>
      <c r="AG11" s="95">
        <v>11</v>
      </c>
      <c r="AH11" s="95">
        <v>12</v>
      </c>
      <c r="AI11" s="95">
        <v>13</v>
      </c>
      <c r="AJ11" s="95">
        <v>14</v>
      </c>
      <c r="AK11" s="95">
        <v>15</v>
      </c>
      <c r="AL11" s="95">
        <v>16</v>
      </c>
      <c r="AM11" s="95">
        <v>17</v>
      </c>
      <c r="AN11" s="95">
        <v>18</v>
      </c>
      <c r="AO11" s="95">
        <v>19</v>
      </c>
      <c r="AP11" s="95">
        <v>20</v>
      </c>
      <c r="AQ11" s="95">
        <v>21</v>
      </c>
      <c r="AR11" s="95">
        <v>22</v>
      </c>
      <c r="AS11" s="95">
        <v>23</v>
      </c>
      <c r="AT11" s="95">
        <v>24</v>
      </c>
      <c r="AU11" s="95">
        <v>25</v>
      </c>
      <c r="AV11" s="95">
        <v>26</v>
      </c>
      <c r="AW11" s="95">
        <v>27</v>
      </c>
      <c r="AX11" s="95">
        <v>28</v>
      </c>
      <c r="AY11" s="95">
        <v>29</v>
      </c>
      <c r="AZ11" s="95">
        <v>30</v>
      </c>
      <c r="BA11" s="95">
        <v>31</v>
      </c>
      <c r="BB11" s="59"/>
      <c r="BC11" s="96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GP11" s="54"/>
      <c r="GQ11" s="54"/>
    </row>
    <row r="12" spans="1:199" ht="15" customHeight="1" thickTop="1" x14ac:dyDescent="0.25">
      <c r="A12" s="97">
        <v>1</v>
      </c>
      <c r="B12" s="98"/>
      <c r="C12" s="98"/>
      <c r="D12" s="1"/>
      <c r="E12" s="99"/>
      <c r="F12" s="99"/>
      <c r="G12" s="100" t="str">
        <f>IF(ISBLANK(E12),"",E12*10)</f>
        <v/>
      </c>
      <c r="H12" s="100" t="str">
        <f>IF(ISBLANK(F12),"",F12*20)</f>
        <v/>
      </c>
      <c r="I12" s="101">
        <f t="shared" ref="I12:I111" si="0">SUM(G12,H12)</f>
        <v>0</v>
      </c>
      <c r="J12" s="100" t="str">
        <f t="shared" ref="J12:J75" si="1">IF(I12&gt;0,12,"")</f>
        <v/>
      </c>
      <c r="K12" s="6" t="str">
        <f>IF(M12=E12,"","X")</f>
        <v/>
      </c>
      <c r="L12" s="6" t="str">
        <f>IF(N12=F12,"","X")</f>
        <v/>
      </c>
      <c r="M12" s="6">
        <f t="shared" ref="M12:M43" si="2">(IF(O12="hT",4,0))+(IF(P12="hT",4,0))+(IF(Q12="hT",4,0))+(IF(R12="hT",4,0))+(IF(S12="hT",4,0))+T12+(COUNTIF(W12:BA12,"hT"))</f>
        <v>0</v>
      </c>
      <c r="N12" s="7">
        <f t="shared" ref="N12:N43" si="3">(IF(O12="x",4,0))+(IF(P12="x",4,0))+(IF(Q12="x",4,0))+(IF(R12="x",4,0))+(IF(S12="x",4,0))+U12+(COUNTIF(W12:BA12,"x"))</f>
        <v>0</v>
      </c>
      <c r="O12" s="4"/>
      <c r="P12" s="3"/>
      <c r="Q12" s="3"/>
      <c r="R12" s="3"/>
      <c r="S12" s="3"/>
      <c r="T12" s="3"/>
      <c r="U12" s="5"/>
      <c r="V12" s="125" t="s">
        <v>63</v>
      </c>
      <c r="W12" s="10"/>
      <c r="X12" s="10"/>
      <c r="Y12" s="10"/>
      <c r="Z12" s="10"/>
      <c r="AA12" s="11"/>
      <c r="AB12" s="11"/>
      <c r="AC12" s="10"/>
      <c r="AD12" s="10"/>
      <c r="AE12" s="10"/>
      <c r="AF12" s="10"/>
      <c r="AG12" s="10"/>
      <c r="AH12" s="11"/>
      <c r="AI12" s="11"/>
      <c r="AJ12" s="10"/>
      <c r="AK12" s="10"/>
      <c r="AL12" s="10"/>
      <c r="AM12" s="10"/>
      <c r="AN12" s="10"/>
      <c r="AO12" s="11"/>
      <c r="AP12" s="11"/>
      <c r="AQ12" s="10"/>
      <c r="AR12" s="10"/>
      <c r="AS12" s="3"/>
      <c r="AT12" s="10"/>
      <c r="AU12" s="3"/>
      <c r="AV12" s="11"/>
      <c r="AW12" s="11"/>
      <c r="AX12" s="10"/>
      <c r="AY12" s="3"/>
      <c r="AZ12" s="128"/>
      <c r="BA12" s="5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GP12" s="54"/>
      <c r="GQ12" s="54"/>
    </row>
    <row r="13" spans="1:199" ht="15" customHeight="1" x14ac:dyDescent="0.25">
      <c r="A13" s="102">
        <v>2</v>
      </c>
      <c r="B13" s="103"/>
      <c r="C13" s="104"/>
      <c r="D13" s="1"/>
      <c r="E13" s="105"/>
      <c r="F13" s="105"/>
      <c r="G13" s="100" t="str">
        <f t="shared" ref="G13:G111" si="4">IF(ISBLANK(E13),"",E13*10)</f>
        <v/>
      </c>
      <c r="H13" s="100" t="str">
        <f t="shared" ref="H13:H111" si="5">IF(ISBLANK(F13),"",F13*20)</f>
        <v/>
      </c>
      <c r="I13" s="101">
        <f t="shared" si="0"/>
        <v>0</v>
      </c>
      <c r="J13" s="100" t="str">
        <f t="shared" si="1"/>
        <v/>
      </c>
      <c r="K13" s="6" t="str">
        <f t="shared" ref="K13:L111" si="6">IF(M13=E13,"","X")</f>
        <v/>
      </c>
      <c r="L13" s="6" t="str">
        <f t="shared" si="6"/>
        <v/>
      </c>
      <c r="M13" s="6">
        <f t="shared" si="2"/>
        <v>0</v>
      </c>
      <c r="N13" s="7">
        <f t="shared" si="3"/>
        <v>0</v>
      </c>
      <c r="O13" s="4"/>
      <c r="P13" s="3"/>
      <c r="Q13" s="3"/>
      <c r="R13" s="3"/>
      <c r="S13" s="3"/>
      <c r="T13" s="3"/>
      <c r="U13" s="5"/>
      <c r="V13" s="125"/>
      <c r="W13" s="3"/>
      <c r="X13" s="3"/>
      <c r="Y13" s="3"/>
      <c r="Z13" s="3"/>
      <c r="AA13" s="8"/>
      <c r="AB13" s="8"/>
      <c r="AC13" s="3"/>
      <c r="AD13" s="3"/>
      <c r="AE13" s="3"/>
      <c r="AF13" s="3"/>
      <c r="AG13" s="3"/>
      <c r="AH13" s="8"/>
      <c r="AI13" s="8"/>
      <c r="AJ13" s="3"/>
      <c r="AK13" s="3"/>
      <c r="AL13" s="3"/>
      <c r="AM13" s="3"/>
      <c r="AN13" s="3"/>
      <c r="AO13" s="8"/>
      <c r="AP13" s="8"/>
      <c r="AQ13" s="3"/>
      <c r="AR13" s="3"/>
      <c r="AS13" s="3"/>
      <c r="AT13" s="3"/>
      <c r="AU13" s="3"/>
      <c r="AV13" s="8"/>
      <c r="AW13" s="8"/>
      <c r="AX13" s="3"/>
      <c r="AY13" s="3"/>
      <c r="AZ13" s="128"/>
      <c r="BA13" s="5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GP13" s="54"/>
      <c r="GQ13" s="54"/>
    </row>
    <row r="14" spans="1:199" ht="15" customHeight="1" x14ac:dyDescent="0.25">
      <c r="A14" s="102">
        <v>3</v>
      </c>
      <c r="B14" s="103"/>
      <c r="C14" s="104"/>
      <c r="D14" s="1"/>
      <c r="E14" s="105"/>
      <c r="F14" s="105"/>
      <c r="G14" s="100" t="str">
        <f t="shared" si="4"/>
        <v/>
      </c>
      <c r="H14" s="100" t="str">
        <f t="shared" si="5"/>
        <v/>
      </c>
      <c r="I14" s="101">
        <f t="shared" si="0"/>
        <v>0</v>
      </c>
      <c r="J14" s="100" t="str">
        <f t="shared" si="1"/>
        <v/>
      </c>
      <c r="K14" s="6" t="str">
        <f t="shared" si="6"/>
        <v/>
      </c>
      <c r="L14" s="6" t="str">
        <f t="shared" si="6"/>
        <v/>
      </c>
      <c r="M14" s="6">
        <f t="shared" si="2"/>
        <v>0</v>
      </c>
      <c r="N14" s="7">
        <f t="shared" si="3"/>
        <v>0</v>
      </c>
      <c r="O14" s="4"/>
      <c r="P14" s="3"/>
      <c r="Q14" s="3"/>
      <c r="R14" s="3"/>
      <c r="S14" s="3"/>
      <c r="T14" s="3"/>
      <c r="U14" s="5"/>
      <c r="V14" s="125"/>
      <c r="W14" s="3"/>
      <c r="X14" s="3"/>
      <c r="Y14" s="3"/>
      <c r="Z14" s="3"/>
      <c r="AA14" s="8"/>
      <c r="AB14" s="8"/>
      <c r="AC14" s="3"/>
      <c r="AD14" s="3"/>
      <c r="AE14" s="3"/>
      <c r="AF14" s="3"/>
      <c r="AG14" s="3"/>
      <c r="AH14" s="8"/>
      <c r="AI14" s="8"/>
      <c r="AJ14" s="3"/>
      <c r="AK14" s="3"/>
      <c r="AL14" s="3"/>
      <c r="AM14" s="3"/>
      <c r="AN14" s="3"/>
      <c r="AO14" s="8"/>
      <c r="AP14" s="8"/>
      <c r="AQ14" s="3"/>
      <c r="AR14" s="3"/>
      <c r="AS14" s="3"/>
      <c r="AT14" s="3"/>
      <c r="AU14" s="3"/>
      <c r="AV14" s="8"/>
      <c r="AW14" s="8"/>
      <c r="AX14" s="3"/>
      <c r="AY14" s="3"/>
      <c r="AZ14" s="128"/>
      <c r="BA14" s="5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GP14" s="54"/>
      <c r="GQ14" s="54"/>
    </row>
    <row r="15" spans="1:199" ht="15" customHeight="1" x14ac:dyDescent="0.25">
      <c r="A15" s="102">
        <v>4</v>
      </c>
      <c r="B15" s="103"/>
      <c r="C15" s="104"/>
      <c r="D15" s="1"/>
      <c r="E15" s="105"/>
      <c r="F15" s="105"/>
      <c r="G15" s="100" t="str">
        <f t="shared" si="4"/>
        <v/>
      </c>
      <c r="H15" s="100" t="str">
        <f t="shared" si="5"/>
        <v/>
      </c>
      <c r="I15" s="101">
        <f t="shared" si="0"/>
        <v>0</v>
      </c>
      <c r="J15" s="100" t="str">
        <f t="shared" si="1"/>
        <v/>
      </c>
      <c r="K15" s="6" t="str">
        <f t="shared" si="6"/>
        <v/>
      </c>
      <c r="L15" s="6" t="str">
        <f t="shared" si="6"/>
        <v/>
      </c>
      <c r="M15" s="6">
        <f t="shared" si="2"/>
        <v>0</v>
      </c>
      <c r="N15" s="7">
        <f t="shared" si="3"/>
        <v>0</v>
      </c>
      <c r="O15" s="4"/>
      <c r="P15" s="3"/>
      <c r="Q15" s="3"/>
      <c r="R15" s="3"/>
      <c r="S15" s="3"/>
      <c r="T15" s="3"/>
      <c r="U15" s="5"/>
      <c r="V15" s="125"/>
      <c r="W15" s="3"/>
      <c r="X15" s="3"/>
      <c r="Y15" s="3"/>
      <c r="Z15" s="3"/>
      <c r="AA15" s="8"/>
      <c r="AB15" s="8"/>
      <c r="AC15" s="3"/>
      <c r="AD15" s="3"/>
      <c r="AE15" s="3"/>
      <c r="AF15" s="3"/>
      <c r="AG15" s="3"/>
      <c r="AH15" s="8"/>
      <c r="AI15" s="8"/>
      <c r="AJ15" s="3"/>
      <c r="AK15" s="3"/>
      <c r="AL15" s="3"/>
      <c r="AM15" s="3"/>
      <c r="AN15" s="3"/>
      <c r="AO15" s="8"/>
      <c r="AP15" s="8"/>
      <c r="AQ15" s="3"/>
      <c r="AR15" s="3"/>
      <c r="AS15" s="3"/>
      <c r="AT15" s="3"/>
      <c r="AU15" s="3"/>
      <c r="AV15" s="8"/>
      <c r="AW15" s="8"/>
      <c r="AX15" s="3"/>
      <c r="AY15" s="3"/>
      <c r="AZ15" s="128"/>
      <c r="BA15" s="5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GP15" s="54"/>
      <c r="GQ15" s="54"/>
    </row>
    <row r="16" spans="1:199" ht="15" customHeight="1" x14ac:dyDescent="0.25">
      <c r="A16" s="102">
        <v>5</v>
      </c>
      <c r="B16" s="103"/>
      <c r="C16" s="104"/>
      <c r="D16" s="1"/>
      <c r="E16" s="105"/>
      <c r="F16" s="105"/>
      <c r="G16" s="100" t="str">
        <f t="shared" si="4"/>
        <v/>
      </c>
      <c r="H16" s="100" t="str">
        <f t="shared" si="5"/>
        <v/>
      </c>
      <c r="I16" s="101">
        <f t="shared" si="0"/>
        <v>0</v>
      </c>
      <c r="J16" s="100" t="str">
        <f t="shared" si="1"/>
        <v/>
      </c>
      <c r="K16" s="6" t="str">
        <f t="shared" si="6"/>
        <v/>
      </c>
      <c r="L16" s="6" t="str">
        <f t="shared" si="6"/>
        <v/>
      </c>
      <c r="M16" s="6">
        <f t="shared" si="2"/>
        <v>0</v>
      </c>
      <c r="N16" s="7">
        <f t="shared" si="3"/>
        <v>0</v>
      </c>
      <c r="O16" s="4"/>
      <c r="P16" s="3"/>
      <c r="Q16" s="3"/>
      <c r="R16" s="3"/>
      <c r="S16" s="3"/>
      <c r="T16" s="3"/>
      <c r="U16" s="5"/>
      <c r="V16" s="125"/>
      <c r="W16" s="3"/>
      <c r="X16" s="3"/>
      <c r="Y16" s="3"/>
      <c r="Z16" s="3"/>
      <c r="AA16" s="8"/>
      <c r="AB16" s="8"/>
      <c r="AC16" s="3"/>
      <c r="AD16" s="3"/>
      <c r="AE16" s="3"/>
      <c r="AF16" s="3"/>
      <c r="AG16" s="3"/>
      <c r="AH16" s="8"/>
      <c r="AI16" s="8"/>
      <c r="AJ16" s="3"/>
      <c r="AK16" s="3"/>
      <c r="AL16" s="3"/>
      <c r="AM16" s="3"/>
      <c r="AN16" s="3"/>
      <c r="AO16" s="8"/>
      <c r="AP16" s="8"/>
      <c r="AQ16" s="3"/>
      <c r="AR16" s="3"/>
      <c r="AS16" s="3"/>
      <c r="AT16" s="3"/>
      <c r="AU16" s="3"/>
      <c r="AV16" s="8"/>
      <c r="AW16" s="8"/>
      <c r="AX16" s="3"/>
      <c r="AY16" s="3"/>
      <c r="AZ16" s="128"/>
      <c r="BA16" s="5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GP16" s="54"/>
      <c r="GQ16" s="54"/>
    </row>
    <row r="17" spans="1:199" ht="15" customHeight="1" x14ac:dyDescent="0.25">
      <c r="A17" s="97">
        <v>6</v>
      </c>
      <c r="B17" s="103"/>
      <c r="C17" s="104"/>
      <c r="D17" s="1"/>
      <c r="E17" s="105"/>
      <c r="F17" s="105"/>
      <c r="G17" s="100" t="str">
        <f t="shared" si="4"/>
        <v/>
      </c>
      <c r="H17" s="100" t="str">
        <f t="shared" si="5"/>
        <v/>
      </c>
      <c r="I17" s="101">
        <f t="shared" si="0"/>
        <v>0</v>
      </c>
      <c r="J17" s="100" t="str">
        <f t="shared" si="1"/>
        <v/>
      </c>
      <c r="K17" s="6" t="str">
        <f t="shared" si="6"/>
        <v/>
      </c>
      <c r="L17" s="6" t="str">
        <f t="shared" si="6"/>
        <v/>
      </c>
      <c r="M17" s="6">
        <f t="shared" si="2"/>
        <v>0</v>
      </c>
      <c r="N17" s="7">
        <f t="shared" si="3"/>
        <v>0</v>
      </c>
      <c r="O17" s="4"/>
      <c r="P17" s="3"/>
      <c r="Q17" s="3"/>
      <c r="R17" s="3"/>
      <c r="S17" s="3"/>
      <c r="T17" s="3"/>
      <c r="U17" s="5"/>
      <c r="V17" s="125"/>
      <c r="W17" s="3"/>
      <c r="X17" s="3"/>
      <c r="Y17" s="3"/>
      <c r="Z17" s="3"/>
      <c r="AA17" s="8"/>
      <c r="AB17" s="8"/>
      <c r="AC17" s="3"/>
      <c r="AD17" s="3"/>
      <c r="AE17" s="3"/>
      <c r="AF17" s="3"/>
      <c r="AG17" s="3"/>
      <c r="AH17" s="8"/>
      <c r="AI17" s="8"/>
      <c r="AJ17" s="3"/>
      <c r="AK17" s="3"/>
      <c r="AL17" s="3"/>
      <c r="AM17" s="3"/>
      <c r="AN17" s="3"/>
      <c r="AO17" s="8"/>
      <c r="AP17" s="8"/>
      <c r="AQ17" s="3"/>
      <c r="AR17" s="3"/>
      <c r="AS17" s="3"/>
      <c r="AT17" s="3"/>
      <c r="AU17" s="3"/>
      <c r="AV17" s="8"/>
      <c r="AW17" s="8"/>
      <c r="AX17" s="3"/>
      <c r="AY17" s="3"/>
      <c r="AZ17" s="128"/>
      <c r="BA17" s="5"/>
      <c r="BB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GP17" s="54"/>
      <c r="GQ17" s="54"/>
    </row>
    <row r="18" spans="1:199" ht="15" customHeight="1" x14ac:dyDescent="0.25">
      <c r="A18" s="102">
        <v>7</v>
      </c>
      <c r="B18" s="103"/>
      <c r="C18" s="104"/>
      <c r="D18" s="1"/>
      <c r="E18" s="105"/>
      <c r="F18" s="105"/>
      <c r="G18" s="100" t="str">
        <f t="shared" si="4"/>
        <v/>
      </c>
      <c r="H18" s="100" t="str">
        <f t="shared" si="5"/>
        <v/>
      </c>
      <c r="I18" s="101">
        <f t="shared" si="0"/>
        <v>0</v>
      </c>
      <c r="J18" s="100" t="str">
        <f t="shared" si="1"/>
        <v/>
      </c>
      <c r="K18" s="6" t="str">
        <f t="shared" si="6"/>
        <v/>
      </c>
      <c r="L18" s="6" t="str">
        <f t="shared" si="6"/>
        <v/>
      </c>
      <c r="M18" s="6">
        <f t="shared" si="2"/>
        <v>0</v>
      </c>
      <c r="N18" s="7">
        <f t="shared" si="3"/>
        <v>0</v>
      </c>
      <c r="O18" s="4"/>
      <c r="P18" s="3"/>
      <c r="Q18" s="3"/>
      <c r="R18" s="3"/>
      <c r="S18" s="3"/>
      <c r="T18" s="3"/>
      <c r="U18" s="5"/>
      <c r="V18" s="125"/>
      <c r="W18" s="3"/>
      <c r="X18" s="3"/>
      <c r="Y18" s="3"/>
      <c r="Z18" s="3"/>
      <c r="AA18" s="8"/>
      <c r="AB18" s="8"/>
      <c r="AC18" s="3"/>
      <c r="AD18" s="3"/>
      <c r="AE18" s="3"/>
      <c r="AF18" s="3"/>
      <c r="AG18" s="3"/>
      <c r="AH18" s="8"/>
      <c r="AI18" s="8"/>
      <c r="AJ18" s="3"/>
      <c r="AK18" s="3"/>
      <c r="AL18" s="3"/>
      <c r="AM18" s="3"/>
      <c r="AN18" s="3"/>
      <c r="AO18" s="8"/>
      <c r="AP18" s="8"/>
      <c r="AQ18" s="3"/>
      <c r="AR18" s="3"/>
      <c r="AS18" s="3"/>
      <c r="AT18" s="3"/>
      <c r="AU18" s="3"/>
      <c r="AV18" s="8"/>
      <c r="AW18" s="8"/>
      <c r="AX18" s="3"/>
      <c r="AY18" s="3"/>
      <c r="AZ18" s="128"/>
      <c r="BA18" s="5"/>
      <c r="BB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GP18" s="54"/>
      <c r="GQ18" s="54"/>
    </row>
    <row r="19" spans="1:199" ht="15" customHeight="1" x14ac:dyDescent="0.25">
      <c r="A19" s="102">
        <v>8</v>
      </c>
      <c r="B19" s="103"/>
      <c r="C19" s="104"/>
      <c r="D19" s="1"/>
      <c r="E19" s="105"/>
      <c r="F19" s="105"/>
      <c r="G19" s="100" t="str">
        <f t="shared" si="4"/>
        <v/>
      </c>
      <c r="H19" s="100" t="str">
        <f t="shared" si="5"/>
        <v/>
      </c>
      <c r="I19" s="101">
        <f t="shared" si="0"/>
        <v>0</v>
      </c>
      <c r="J19" s="100" t="str">
        <f t="shared" si="1"/>
        <v/>
      </c>
      <c r="K19" s="6" t="str">
        <f t="shared" si="6"/>
        <v/>
      </c>
      <c r="L19" s="6" t="str">
        <f t="shared" si="6"/>
        <v/>
      </c>
      <c r="M19" s="6">
        <f t="shared" si="2"/>
        <v>0</v>
      </c>
      <c r="N19" s="7">
        <f t="shared" si="3"/>
        <v>0</v>
      </c>
      <c r="O19" s="4"/>
      <c r="P19" s="3"/>
      <c r="Q19" s="3"/>
      <c r="R19" s="3"/>
      <c r="S19" s="3"/>
      <c r="T19" s="3"/>
      <c r="U19" s="5"/>
      <c r="V19" s="125"/>
      <c r="W19" s="3"/>
      <c r="X19" s="3"/>
      <c r="Y19" s="3"/>
      <c r="Z19" s="3"/>
      <c r="AA19" s="8"/>
      <c r="AB19" s="8"/>
      <c r="AC19" s="3"/>
      <c r="AD19" s="3"/>
      <c r="AE19" s="3"/>
      <c r="AF19" s="3"/>
      <c r="AG19" s="3"/>
      <c r="AH19" s="8"/>
      <c r="AI19" s="8"/>
      <c r="AJ19" s="3"/>
      <c r="AK19" s="3"/>
      <c r="AL19" s="3"/>
      <c r="AM19" s="3"/>
      <c r="AN19" s="3"/>
      <c r="AO19" s="8"/>
      <c r="AP19" s="8"/>
      <c r="AQ19" s="3"/>
      <c r="AR19" s="3"/>
      <c r="AS19" s="3"/>
      <c r="AT19" s="3"/>
      <c r="AU19" s="3"/>
      <c r="AV19" s="8"/>
      <c r="AW19" s="8"/>
      <c r="AX19" s="3"/>
      <c r="AY19" s="3"/>
      <c r="AZ19" s="128"/>
      <c r="BA19" s="5"/>
      <c r="BB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GP19" s="54"/>
      <c r="GQ19" s="54"/>
    </row>
    <row r="20" spans="1:199" ht="15" customHeight="1" x14ac:dyDescent="0.25">
      <c r="A20" s="102">
        <v>9</v>
      </c>
      <c r="B20" s="103"/>
      <c r="C20" s="104"/>
      <c r="D20" s="1"/>
      <c r="E20" s="105"/>
      <c r="F20" s="105"/>
      <c r="G20" s="100" t="str">
        <f t="shared" si="4"/>
        <v/>
      </c>
      <c r="H20" s="100" t="str">
        <f t="shared" si="5"/>
        <v/>
      </c>
      <c r="I20" s="101">
        <f t="shared" si="0"/>
        <v>0</v>
      </c>
      <c r="J20" s="100" t="str">
        <f t="shared" si="1"/>
        <v/>
      </c>
      <c r="K20" s="6" t="str">
        <f t="shared" si="6"/>
        <v/>
      </c>
      <c r="L20" s="6" t="str">
        <f t="shared" si="6"/>
        <v/>
      </c>
      <c r="M20" s="6">
        <f t="shared" si="2"/>
        <v>0</v>
      </c>
      <c r="N20" s="7">
        <f t="shared" si="3"/>
        <v>0</v>
      </c>
      <c r="O20" s="4"/>
      <c r="P20" s="3"/>
      <c r="Q20" s="3"/>
      <c r="R20" s="3"/>
      <c r="S20" s="3"/>
      <c r="T20" s="3"/>
      <c r="U20" s="5"/>
      <c r="V20" s="125"/>
      <c r="W20" s="3"/>
      <c r="X20" s="3"/>
      <c r="Y20" s="3"/>
      <c r="Z20" s="3"/>
      <c r="AA20" s="8"/>
      <c r="AB20" s="8"/>
      <c r="AC20" s="3"/>
      <c r="AD20" s="3"/>
      <c r="AE20" s="3"/>
      <c r="AF20" s="3"/>
      <c r="AG20" s="3"/>
      <c r="AH20" s="8"/>
      <c r="AI20" s="8"/>
      <c r="AJ20" s="3"/>
      <c r="AK20" s="3"/>
      <c r="AL20" s="3"/>
      <c r="AM20" s="3"/>
      <c r="AN20" s="3"/>
      <c r="AO20" s="8"/>
      <c r="AP20" s="8"/>
      <c r="AQ20" s="3"/>
      <c r="AR20" s="3"/>
      <c r="AS20" s="3"/>
      <c r="AT20" s="3"/>
      <c r="AU20" s="3"/>
      <c r="AV20" s="8"/>
      <c r="AW20" s="8"/>
      <c r="AX20" s="3"/>
      <c r="AY20" s="3"/>
      <c r="AZ20" s="128"/>
      <c r="BA20" s="5"/>
      <c r="BB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GP20" s="54"/>
      <c r="GQ20" s="54"/>
    </row>
    <row r="21" spans="1:199" ht="15" customHeight="1" thickBot="1" x14ac:dyDescent="0.3">
      <c r="A21" s="97">
        <v>10</v>
      </c>
      <c r="B21" s="103"/>
      <c r="C21" s="104"/>
      <c r="D21" s="1"/>
      <c r="E21" s="105"/>
      <c r="F21" s="105"/>
      <c r="G21" s="100" t="str">
        <f t="shared" ref="G21:G81" si="7">IF(ISBLANK(E21),"",E21*10)</f>
        <v/>
      </c>
      <c r="H21" s="100" t="str">
        <f t="shared" ref="H21:H81" si="8">IF(ISBLANK(F21),"",F21*20)</f>
        <v/>
      </c>
      <c r="I21" s="101">
        <f t="shared" ref="I21:I81" si="9">SUM(G21,H21)</f>
        <v>0</v>
      </c>
      <c r="J21" s="100" t="str">
        <f t="shared" si="1"/>
        <v/>
      </c>
      <c r="K21" s="6" t="str">
        <f t="shared" ref="K21:K81" si="10">IF(M21=E21,"","X")</f>
        <v/>
      </c>
      <c r="L21" s="6" t="str">
        <f t="shared" ref="L21:L81" si="11">IF(N21=F21,"","X")</f>
        <v/>
      </c>
      <c r="M21" s="6">
        <f t="shared" si="2"/>
        <v>0</v>
      </c>
      <c r="N21" s="7">
        <f t="shared" si="3"/>
        <v>0</v>
      </c>
      <c r="O21" s="4"/>
      <c r="P21" s="3"/>
      <c r="Q21" s="3"/>
      <c r="R21" s="3"/>
      <c r="S21" s="3"/>
      <c r="T21" s="3"/>
      <c r="U21" s="5"/>
      <c r="V21" s="125"/>
      <c r="W21" s="3"/>
      <c r="X21" s="3"/>
      <c r="Y21" s="3"/>
      <c r="Z21" s="3"/>
      <c r="AA21" s="8"/>
      <c r="AB21" s="8"/>
      <c r="AC21" s="3"/>
      <c r="AD21" s="3"/>
      <c r="AE21" s="3"/>
      <c r="AF21" s="3"/>
      <c r="AG21" s="3"/>
      <c r="AH21" s="8"/>
      <c r="AI21" s="8"/>
      <c r="AJ21" s="3"/>
      <c r="AK21" s="3"/>
      <c r="AL21" s="3"/>
      <c r="AM21" s="3"/>
      <c r="AN21" s="3"/>
      <c r="AO21" s="8"/>
      <c r="AP21" s="8"/>
      <c r="AQ21" s="3"/>
      <c r="AR21" s="3"/>
      <c r="AS21" s="3"/>
      <c r="AT21" s="3"/>
      <c r="AU21" s="3"/>
      <c r="AV21" s="8"/>
      <c r="AW21" s="8"/>
      <c r="AX21" s="3"/>
      <c r="AY21" s="3"/>
      <c r="AZ21" s="128"/>
      <c r="BA21" s="5"/>
      <c r="BB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GP21" s="54"/>
      <c r="GQ21" s="54"/>
    </row>
    <row r="22" spans="1:199" ht="15" hidden="1" customHeight="1" x14ac:dyDescent="0.25">
      <c r="A22" s="102">
        <v>11</v>
      </c>
      <c r="B22" s="103"/>
      <c r="C22" s="104"/>
      <c r="D22" s="1"/>
      <c r="E22" s="105"/>
      <c r="F22" s="105"/>
      <c r="G22" s="100" t="str">
        <f t="shared" si="7"/>
        <v/>
      </c>
      <c r="H22" s="100" t="str">
        <f t="shared" si="8"/>
        <v/>
      </c>
      <c r="I22" s="101">
        <f t="shared" si="9"/>
        <v>0</v>
      </c>
      <c r="J22" s="100" t="str">
        <f t="shared" si="1"/>
        <v/>
      </c>
      <c r="K22" s="6" t="str">
        <f t="shared" si="10"/>
        <v/>
      </c>
      <c r="L22" s="6" t="str">
        <f t="shared" si="11"/>
        <v/>
      </c>
      <c r="M22" s="6">
        <f t="shared" si="2"/>
        <v>0</v>
      </c>
      <c r="N22" s="7">
        <f t="shared" si="3"/>
        <v>0</v>
      </c>
      <c r="O22" s="4"/>
      <c r="P22" s="3"/>
      <c r="Q22" s="3"/>
      <c r="R22" s="3"/>
      <c r="S22" s="3"/>
      <c r="T22" s="3"/>
      <c r="U22" s="5"/>
      <c r="V22" s="125"/>
      <c r="W22" s="3"/>
      <c r="X22" s="3"/>
      <c r="Y22" s="3"/>
      <c r="Z22" s="3"/>
      <c r="AA22" s="8"/>
      <c r="AB22" s="8"/>
      <c r="AC22" s="3"/>
      <c r="AD22" s="3"/>
      <c r="AE22" s="3"/>
      <c r="AF22" s="3"/>
      <c r="AG22" s="3"/>
      <c r="AH22" s="8"/>
      <c r="AI22" s="8"/>
      <c r="AJ22" s="3"/>
      <c r="AK22" s="3"/>
      <c r="AL22" s="3"/>
      <c r="AM22" s="3"/>
      <c r="AN22" s="3"/>
      <c r="AO22" s="8"/>
      <c r="AP22" s="8"/>
      <c r="AQ22" s="3"/>
      <c r="AR22" s="3"/>
      <c r="AS22" s="3"/>
      <c r="AT22" s="3"/>
      <c r="AU22" s="3"/>
      <c r="AV22" s="8"/>
      <c r="AW22" s="8"/>
      <c r="AX22" s="3"/>
      <c r="AY22" s="3"/>
      <c r="AZ22" s="128"/>
      <c r="BA22" s="5"/>
      <c r="BB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GP22" s="54"/>
      <c r="GQ22" s="54"/>
    </row>
    <row r="23" spans="1:199" ht="15" hidden="1" customHeight="1" x14ac:dyDescent="0.25">
      <c r="A23" s="102">
        <v>12</v>
      </c>
      <c r="B23" s="103"/>
      <c r="C23" s="104"/>
      <c r="D23" s="1"/>
      <c r="E23" s="105"/>
      <c r="F23" s="105"/>
      <c r="G23" s="100" t="str">
        <f t="shared" si="7"/>
        <v/>
      </c>
      <c r="H23" s="100" t="str">
        <f t="shared" si="8"/>
        <v/>
      </c>
      <c r="I23" s="101">
        <f t="shared" si="9"/>
        <v>0</v>
      </c>
      <c r="J23" s="100" t="str">
        <f t="shared" si="1"/>
        <v/>
      </c>
      <c r="K23" s="6" t="str">
        <f t="shared" si="10"/>
        <v/>
      </c>
      <c r="L23" s="6" t="str">
        <f t="shared" si="11"/>
        <v/>
      </c>
      <c r="M23" s="6">
        <f t="shared" si="2"/>
        <v>0</v>
      </c>
      <c r="N23" s="7">
        <f t="shared" si="3"/>
        <v>0</v>
      </c>
      <c r="O23" s="4"/>
      <c r="P23" s="3"/>
      <c r="Q23" s="3"/>
      <c r="R23" s="3"/>
      <c r="S23" s="3"/>
      <c r="T23" s="3"/>
      <c r="U23" s="5"/>
      <c r="V23" s="125"/>
      <c r="W23" s="3"/>
      <c r="X23" s="3"/>
      <c r="Y23" s="3"/>
      <c r="Z23" s="3"/>
      <c r="AA23" s="8"/>
      <c r="AB23" s="8"/>
      <c r="AC23" s="3"/>
      <c r="AD23" s="3"/>
      <c r="AE23" s="3"/>
      <c r="AF23" s="3"/>
      <c r="AG23" s="3"/>
      <c r="AH23" s="8"/>
      <c r="AI23" s="8"/>
      <c r="AJ23" s="3"/>
      <c r="AK23" s="3"/>
      <c r="AL23" s="3"/>
      <c r="AM23" s="3"/>
      <c r="AN23" s="3"/>
      <c r="AO23" s="8"/>
      <c r="AP23" s="8"/>
      <c r="AQ23" s="3"/>
      <c r="AR23" s="3"/>
      <c r="AS23" s="3"/>
      <c r="AT23" s="3"/>
      <c r="AU23" s="3"/>
      <c r="AV23" s="8"/>
      <c r="AW23" s="8"/>
      <c r="AX23" s="3"/>
      <c r="AY23" s="3"/>
      <c r="AZ23" s="128"/>
      <c r="BA23" s="5"/>
      <c r="BB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GP23" s="54"/>
      <c r="GQ23" s="54"/>
    </row>
    <row r="24" spans="1:199" ht="15" hidden="1" customHeight="1" x14ac:dyDescent="0.25">
      <c r="A24" s="102">
        <v>13</v>
      </c>
      <c r="B24" s="103"/>
      <c r="C24" s="104"/>
      <c r="D24" s="1"/>
      <c r="E24" s="105"/>
      <c r="F24" s="105"/>
      <c r="G24" s="100" t="str">
        <f t="shared" si="7"/>
        <v/>
      </c>
      <c r="H24" s="100" t="str">
        <f t="shared" si="8"/>
        <v/>
      </c>
      <c r="I24" s="101">
        <f t="shared" si="9"/>
        <v>0</v>
      </c>
      <c r="J24" s="100" t="str">
        <f t="shared" si="1"/>
        <v/>
      </c>
      <c r="K24" s="6" t="str">
        <f t="shared" si="10"/>
        <v/>
      </c>
      <c r="L24" s="6" t="str">
        <f t="shared" si="11"/>
        <v/>
      </c>
      <c r="M24" s="6">
        <f t="shared" si="2"/>
        <v>0</v>
      </c>
      <c r="N24" s="7">
        <f t="shared" si="3"/>
        <v>0</v>
      </c>
      <c r="O24" s="4"/>
      <c r="P24" s="3"/>
      <c r="Q24" s="3"/>
      <c r="R24" s="3"/>
      <c r="S24" s="3"/>
      <c r="T24" s="3"/>
      <c r="U24" s="5"/>
      <c r="V24" s="125"/>
      <c r="W24" s="3"/>
      <c r="X24" s="3"/>
      <c r="Y24" s="3"/>
      <c r="Z24" s="3"/>
      <c r="AA24" s="8"/>
      <c r="AB24" s="8"/>
      <c r="AC24" s="3"/>
      <c r="AD24" s="3"/>
      <c r="AE24" s="3"/>
      <c r="AF24" s="3"/>
      <c r="AG24" s="3"/>
      <c r="AH24" s="8"/>
      <c r="AI24" s="8"/>
      <c r="AJ24" s="3"/>
      <c r="AK24" s="3"/>
      <c r="AL24" s="3"/>
      <c r="AM24" s="3"/>
      <c r="AN24" s="3"/>
      <c r="AO24" s="8"/>
      <c r="AP24" s="8"/>
      <c r="AQ24" s="3"/>
      <c r="AR24" s="3"/>
      <c r="AS24" s="3"/>
      <c r="AT24" s="3"/>
      <c r="AU24" s="3"/>
      <c r="AV24" s="8"/>
      <c r="AW24" s="8"/>
      <c r="AX24" s="3"/>
      <c r="AY24" s="3"/>
      <c r="AZ24" s="128"/>
      <c r="BA24" s="5"/>
      <c r="BB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GP24" s="54"/>
      <c r="GQ24" s="54"/>
    </row>
    <row r="25" spans="1:199" ht="15" hidden="1" customHeight="1" x14ac:dyDescent="0.25">
      <c r="A25" s="102">
        <v>14</v>
      </c>
      <c r="B25" s="103"/>
      <c r="C25" s="104"/>
      <c r="D25" s="1"/>
      <c r="E25" s="105"/>
      <c r="F25" s="105"/>
      <c r="G25" s="100" t="str">
        <f t="shared" si="7"/>
        <v/>
      </c>
      <c r="H25" s="100" t="str">
        <f t="shared" si="8"/>
        <v/>
      </c>
      <c r="I25" s="101">
        <f t="shared" si="9"/>
        <v>0</v>
      </c>
      <c r="J25" s="100" t="str">
        <f t="shared" si="1"/>
        <v/>
      </c>
      <c r="K25" s="6" t="str">
        <f t="shared" si="10"/>
        <v/>
      </c>
      <c r="L25" s="6" t="str">
        <f t="shared" si="11"/>
        <v/>
      </c>
      <c r="M25" s="6">
        <f t="shared" si="2"/>
        <v>0</v>
      </c>
      <c r="N25" s="7">
        <f t="shared" si="3"/>
        <v>0</v>
      </c>
      <c r="O25" s="4"/>
      <c r="P25" s="3"/>
      <c r="Q25" s="3"/>
      <c r="R25" s="3"/>
      <c r="S25" s="3"/>
      <c r="T25" s="3"/>
      <c r="U25" s="5"/>
      <c r="V25" s="125"/>
      <c r="W25" s="3"/>
      <c r="X25" s="3"/>
      <c r="Y25" s="3"/>
      <c r="Z25" s="3"/>
      <c r="AA25" s="8"/>
      <c r="AB25" s="8"/>
      <c r="AC25" s="3"/>
      <c r="AD25" s="3"/>
      <c r="AE25" s="3"/>
      <c r="AF25" s="3"/>
      <c r="AG25" s="3"/>
      <c r="AH25" s="8"/>
      <c r="AI25" s="8"/>
      <c r="AJ25" s="3"/>
      <c r="AK25" s="3"/>
      <c r="AL25" s="3"/>
      <c r="AM25" s="3"/>
      <c r="AN25" s="3"/>
      <c r="AO25" s="8"/>
      <c r="AP25" s="8"/>
      <c r="AQ25" s="3"/>
      <c r="AR25" s="3"/>
      <c r="AS25" s="3"/>
      <c r="AT25" s="3"/>
      <c r="AU25" s="3"/>
      <c r="AV25" s="8"/>
      <c r="AW25" s="8"/>
      <c r="AX25" s="3"/>
      <c r="AY25" s="3"/>
      <c r="AZ25" s="128"/>
      <c r="BA25" s="5"/>
      <c r="BB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GP25" s="54"/>
      <c r="GQ25" s="54"/>
    </row>
    <row r="26" spans="1:199" ht="15" hidden="1" customHeight="1" x14ac:dyDescent="0.25">
      <c r="A26" s="97">
        <v>15</v>
      </c>
      <c r="B26" s="103"/>
      <c r="C26" s="104"/>
      <c r="D26" s="1"/>
      <c r="E26" s="105"/>
      <c r="F26" s="105"/>
      <c r="G26" s="100" t="str">
        <f t="shared" si="7"/>
        <v/>
      </c>
      <c r="H26" s="100" t="str">
        <f t="shared" si="8"/>
        <v/>
      </c>
      <c r="I26" s="101">
        <f t="shared" si="9"/>
        <v>0</v>
      </c>
      <c r="J26" s="100" t="str">
        <f t="shared" si="1"/>
        <v/>
      </c>
      <c r="K26" s="6" t="str">
        <f t="shared" si="10"/>
        <v/>
      </c>
      <c r="L26" s="6" t="str">
        <f t="shared" si="11"/>
        <v/>
      </c>
      <c r="M26" s="6">
        <f t="shared" si="2"/>
        <v>0</v>
      </c>
      <c r="N26" s="7">
        <f t="shared" si="3"/>
        <v>0</v>
      </c>
      <c r="O26" s="4"/>
      <c r="P26" s="3"/>
      <c r="Q26" s="3"/>
      <c r="R26" s="3"/>
      <c r="S26" s="3"/>
      <c r="T26" s="3"/>
      <c r="U26" s="5"/>
      <c r="V26" s="125"/>
      <c r="W26" s="3"/>
      <c r="X26" s="3"/>
      <c r="Y26" s="3"/>
      <c r="Z26" s="3"/>
      <c r="AA26" s="8"/>
      <c r="AB26" s="8"/>
      <c r="AC26" s="3"/>
      <c r="AD26" s="3"/>
      <c r="AE26" s="3"/>
      <c r="AF26" s="3"/>
      <c r="AG26" s="3"/>
      <c r="AH26" s="8"/>
      <c r="AI26" s="8"/>
      <c r="AJ26" s="3"/>
      <c r="AK26" s="3"/>
      <c r="AL26" s="3"/>
      <c r="AM26" s="3"/>
      <c r="AN26" s="3"/>
      <c r="AO26" s="8"/>
      <c r="AP26" s="8"/>
      <c r="AQ26" s="3"/>
      <c r="AR26" s="3"/>
      <c r="AS26" s="3"/>
      <c r="AT26" s="3"/>
      <c r="AU26" s="3"/>
      <c r="AV26" s="8"/>
      <c r="AW26" s="8"/>
      <c r="AX26" s="3"/>
      <c r="AY26" s="3"/>
      <c r="AZ26" s="128"/>
      <c r="BA26" s="5"/>
      <c r="BB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GP26" s="54"/>
      <c r="GQ26" s="54"/>
    </row>
    <row r="27" spans="1:199" ht="15" hidden="1" customHeight="1" x14ac:dyDescent="0.25">
      <c r="A27" s="102">
        <v>16</v>
      </c>
      <c r="B27" s="103"/>
      <c r="C27" s="104"/>
      <c r="D27" s="1"/>
      <c r="E27" s="105"/>
      <c r="F27" s="105"/>
      <c r="G27" s="100" t="str">
        <f t="shared" si="7"/>
        <v/>
      </c>
      <c r="H27" s="100" t="str">
        <f t="shared" si="8"/>
        <v/>
      </c>
      <c r="I27" s="101">
        <f t="shared" si="9"/>
        <v>0</v>
      </c>
      <c r="J27" s="100" t="str">
        <f t="shared" si="1"/>
        <v/>
      </c>
      <c r="K27" s="6" t="str">
        <f t="shared" si="10"/>
        <v/>
      </c>
      <c r="L27" s="6" t="str">
        <f t="shared" si="11"/>
        <v/>
      </c>
      <c r="M27" s="6">
        <f t="shared" si="2"/>
        <v>0</v>
      </c>
      <c r="N27" s="7">
        <f t="shared" si="3"/>
        <v>0</v>
      </c>
      <c r="O27" s="4"/>
      <c r="P27" s="3"/>
      <c r="Q27" s="3"/>
      <c r="R27" s="3"/>
      <c r="S27" s="3"/>
      <c r="T27" s="3"/>
      <c r="U27" s="5"/>
      <c r="V27" s="125"/>
      <c r="W27" s="3"/>
      <c r="X27" s="3"/>
      <c r="Y27" s="3"/>
      <c r="Z27" s="3"/>
      <c r="AA27" s="8"/>
      <c r="AB27" s="8"/>
      <c r="AC27" s="3"/>
      <c r="AD27" s="3"/>
      <c r="AE27" s="3"/>
      <c r="AF27" s="3"/>
      <c r="AG27" s="3"/>
      <c r="AH27" s="8"/>
      <c r="AI27" s="8"/>
      <c r="AJ27" s="3"/>
      <c r="AK27" s="3"/>
      <c r="AL27" s="3"/>
      <c r="AM27" s="3"/>
      <c r="AN27" s="3"/>
      <c r="AO27" s="8"/>
      <c r="AP27" s="8"/>
      <c r="AQ27" s="3"/>
      <c r="AR27" s="3"/>
      <c r="AS27" s="3"/>
      <c r="AT27" s="3"/>
      <c r="AU27" s="3"/>
      <c r="AV27" s="8"/>
      <c r="AW27" s="8"/>
      <c r="AX27" s="3"/>
      <c r="AY27" s="3"/>
      <c r="AZ27" s="128"/>
      <c r="BA27" s="5"/>
      <c r="BB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GP27" s="54"/>
      <c r="GQ27" s="54"/>
    </row>
    <row r="28" spans="1:199" ht="15" hidden="1" customHeight="1" x14ac:dyDescent="0.25">
      <c r="A28" s="102">
        <v>17</v>
      </c>
      <c r="B28" s="103"/>
      <c r="C28" s="104"/>
      <c r="D28" s="1"/>
      <c r="E28" s="105"/>
      <c r="F28" s="105"/>
      <c r="G28" s="100" t="str">
        <f t="shared" si="7"/>
        <v/>
      </c>
      <c r="H28" s="100" t="str">
        <f t="shared" si="8"/>
        <v/>
      </c>
      <c r="I28" s="101">
        <f t="shared" si="9"/>
        <v>0</v>
      </c>
      <c r="J28" s="100" t="str">
        <f t="shared" si="1"/>
        <v/>
      </c>
      <c r="K28" s="6" t="str">
        <f t="shared" si="10"/>
        <v/>
      </c>
      <c r="L28" s="6" t="str">
        <f t="shared" si="11"/>
        <v/>
      </c>
      <c r="M28" s="6">
        <f t="shared" si="2"/>
        <v>0</v>
      </c>
      <c r="N28" s="7">
        <f t="shared" si="3"/>
        <v>0</v>
      </c>
      <c r="O28" s="4"/>
      <c r="P28" s="3"/>
      <c r="Q28" s="3"/>
      <c r="R28" s="3"/>
      <c r="S28" s="3"/>
      <c r="T28" s="3"/>
      <c r="U28" s="5"/>
      <c r="V28" s="125"/>
      <c r="W28" s="3"/>
      <c r="X28" s="3"/>
      <c r="Y28" s="3"/>
      <c r="Z28" s="3"/>
      <c r="AA28" s="8"/>
      <c r="AB28" s="8"/>
      <c r="AC28" s="3"/>
      <c r="AD28" s="3"/>
      <c r="AE28" s="3"/>
      <c r="AF28" s="3"/>
      <c r="AG28" s="3"/>
      <c r="AH28" s="8"/>
      <c r="AI28" s="8"/>
      <c r="AJ28" s="3"/>
      <c r="AK28" s="3"/>
      <c r="AL28" s="3"/>
      <c r="AM28" s="3"/>
      <c r="AN28" s="3"/>
      <c r="AO28" s="8"/>
      <c r="AP28" s="8"/>
      <c r="AQ28" s="3"/>
      <c r="AR28" s="3"/>
      <c r="AS28" s="3"/>
      <c r="AT28" s="3"/>
      <c r="AU28" s="3"/>
      <c r="AV28" s="8"/>
      <c r="AW28" s="8"/>
      <c r="AX28" s="3"/>
      <c r="AY28" s="3"/>
      <c r="AZ28" s="128"/>
      <c r="BA28" s="5"/>
      <c r="BB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GP28" s="54"/>
      <c r="GQ28" s="54"/>
    </row>
    <row r="29" spans="1:199" ht="15" hidden="1" customHeight="1" x14ac:dyDescent="0.25">
      <c r="A29" s="102">
        <v>18</v>
      </c>
      <c r="B29" s="103"/>
      <c r="C29" s="104"/>
      <c r="D29" s="1"/>
      <c r="E29" s="105"/>
      <c r="F29" s="105"/>
      <c r="G29" s="100" t="str">
        <f t="shared" si="7"/>
        <v/>
      </c>
      <c r="H29" s="100" t="str">
        <f t="shared" si="8"/>
        <v/>
      </c>
      <c r="I29" s="101">
        <f t="shared" si="9"/>
        <v>0</v>
      </c>
      <c r="J29" s="100" t="str">
        <f t="shared" si="1"/>
        <v/>
      </c>
      <c r="K29" s="6" t="str">
        <f t="shared" si="10"/>
        <v/>
      </c>
      <c r="L29" s="6" t="str">
        <f t="shared" si="11"/>
        <v/>
      </c>
      <c r="M29" s="6">
        <f t="shared" si="2"/>
        <v>0</v>
      </c>
      <c r="N29" s="7">
        <f t="shared" si="3"/>
        <v>0</v>
      </c>
      <c r="O29" s="4"/>
      <c r="P29" s="3"/>
      <c r="Q29" s="3"/>
      <c r="R29" s="3"/>
      <c r="S29" s="3"/>
      <c r="T29" s="3"/>
      <c r="U29" s="5"/>
      <c r="V29" s="125"/>
      <c r="W29" s="3"/>
      <c r="X29" s="3"/>
      <c r="Y29" s="3"/>
      <c r="Z29" s="3"/>
      <c r="AA29" s="8"/>
      <c r="AB29" s="8"/>
      <c r="AC29" s="3"/>
      <c r="AD29" s="3"/>
      <c r="AE29" s="3"/>
      <c r="AF29" s="3"/>
      <c r="AG29" s="3"/>
      <c r="AH29" s="8"/>
      <c r="AI29" s="8"/>
      <c r="AJ29" s="3"/>
      <c r="AK29" s="3"/>
      <c r="AL29" s="3"/>
      <c r="AM29" s="3"/>
      <c r="AN29" s="3"/>
      <c r="AO29" s="8"/>
      <c r="AP29" s="8"/>
      <c r="AQ29" s="3"/>
      <c r="AR29" s="3"/>
      <c r="AS29" s="3"/>
      <c r="AT29" s="3"/>
      <c r="AU29" s="3"/>
      <c r="AV29" s="8"/>
      <c r="AW29" s="8"/>
      <c r="AX29" s="3"/>
      <c r="AY29" s="3"/>
      <c r="AZ29" s="128"/>
      <c r="BA29" s="5"/>
      <c r="BB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GP29" s="54"/>
      <c r="GQ29" s="54"/>
    </row>
    <row r="30" spans="1:199" ht="15" hidden="1" customHeight="1" x14ac:dyDescent="0.25">
      <c r="A30" s="97">
        <v>19</v>
      </c>
      <c r="B30" s="103"/>
      <c r="C30" s="104"/>
      <c r="D30" s="1"/>
      <c r="E30" s="105"/>
      <c r="F30" s="105"/>
      <c r="G30" s="100" t="str">
        <f t="shared" si="7"/>
        <v/>
      </c>
      <c r="H30" s="100" t="str">
        <f t="shared" si="8"/>
        <v/>
      </c>
      <c r="I30" s="101">
        <f t="shared" si="9"/>
        <v>0</v>
      </c>
      <c r="J30" s="100" t="str">
        <f t="shared" si="1"/>
        <v/>
      </c>
      <c r="K30" s="6" t="str">
        <f t="shared" si="10"/>
        <v/>
      </c>
      <c r="L30" s="6" t="str">
        <f t="shared" si="11"/>
        <v/>
      </c>
      <c r="M30" s="6">
        <f t="shared" si="2"/>
        <v>0</v>
      </c>
      <c r="N30" s="7">
        <f t="shared" si="3"/>
        <v>0</v>
      </c>
      <c r="O30" s="4"/>
      <c r="P30" s="3"/>
      <c r="Q30" s="3"/>
      <c r="R30" s="3"/>
      <c r="S30" s="3"/>
      <c r="T30" s="3"/>
      <c r="U30" s="5"/>
      <c r="V30" s="125"/>
      <c r="W30" s="3"/>
      <c r="X30" s="3"/>
      <c r="Y30" s="3"/>
      <c r="Z30" s="3"/>
      <c r="AA30" s="8"/>
      <c r="AB30" s="8"/>
      <c r="AC30" s="3"/>
      <c r="AD30" s="3"/>
      <c r="AE30" s="3"/>
      <c r="AF30" s="3"/>
      <c r="AG30" s="3"/>
      <c r="AH30" s="8"/>
      <c r="AI30" s="8"/>
      <c r="AJ30" s="3"/>
      <c r="AK30" s="3"/>
      <c r="AL30" s="3"/>
      <c r="AM30" s="3"/>
      <c r="AN30" s="3"/>
      <c r="AO30" s="8"/>
      <c r="AP30" s="8"/>
      <c r="AQ30" s="3"/>
      <c r="AR30" s="3"/>
      <c r="AS30" s="3"/>
      <c r="AT30" s="3"/>
      <c r="AU30" s="3"/>
      <c r="AV30" s="8"/>
      <c r="AW30" s="8"/>
      <c r="AX30" s="3"/>
      <c r="AY30" s="3"/>
      <c r="AZ30" s="128"/>
      <c r="BA30" s="5"/>
      <c r="BB30" s="58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GP30" s="54"/>
      <c r="GQ30" s="54"/>
    </row>
    <row r="31" spans="1:199" ht="15" hidden="1" customHeight="1" x14ac:dyDescent="0.25">
      <c r="A31" s="102">
        <v>20</v>
      </c>
      <c r="B31" s="103"/>
      <c r="C31" s="104"/>
      <c r="D31" s="1"/>
      <c r="E31" s="105"/>
      <c r="F31" s="105"/>
      <c r="G31" s="100" t="str">
        <f t="shared" si="7"/>
        <v/>
      </c>
      <c r="H31" s="100" t="str">
        <f t="shared" si="8"/>
        <v/>
      </c>
      <c r="I31" s="101">
        <f t="shared" si="9"/>
        <v>0</v>
      </c>
      <c r="J31" s="100" t="str">
        <f t="shared" si="1"/>
        <v/>
      </c>
      <c r="K31" s="6" t="str">
        <f t="shared" si="10"/>
        <v/>
      </c>
      <c r="L31" s="6" t="str">
        <f t="shared" si="11"/>
        <v/>
      </c>
      <c r="M31" s="6">
        <f t="shared" si="2"/>
        <v>0</v>
      </c>
      <c r="N31" s="7">
        <f t="shared" si="3"/>
        <v>0</v>
      </c>
      <c r="O31" s="4"/>
      <c r="P31" s="3"/>
      <c r="Q31" s="3"/>
      <c r="R31" s="3"/>
      <c r="S31" s="3"/>
      <c r="T31" s="3"/>
      <c r="U31" s="5"/>
      <c r="V31" s="125"/>
      <c r="W31" s="3"/>
      <c r="X31" s="3"/>
      <c r="Y31" s="3"/>
      <c r="Z31" s="3"/>
      <c r="AA31" s="8"/>
      <c r="AB31" s="8"/>
      <c r="AC31" s="3"/>
      <c r="AD31" s="3"/>
      <c r="AE31" s="3"/>
      <c r="AF31" s="3"/>
      <c r="AG31" s="3"/>
      <c r="AH31" s="8"/>
      <c r="AI31" s="8"/>
      <c r="AJ31" s="3"/>
      <c r="AK31" s="3"/>
      <c r="AL31" s="3"/>
      <c r="AM31" s="3"/>
      <c r="AN31" s="3"/>
      <c r="AO31" s="8"/>
      <c r="AP31" s="8"/>
      <c r="AQ31" s="3"/>
      <c r="AR31" s="3"/>
      <c r="AS31" s="3"/>
      <c r="AT31" s="3"/>
      <c r="AU31" s="3"/>
      <c r="AV31" s="8"/>
      <c r="AW31" s="8"/>
      <c r="AX31" s="3"/>
      <c r="AY31" s="3"/>
      <c r="AZ31" s="128"/>
      <c r="BA31" s="5"/>
      <c r="BB31" s="58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GP31" s="54"/>
      <c r="GQ31" s="54"/>
    </row>
    <row r="32" spans="1:199" ht="15" hidden="1" customHeight="1" x14ac:dyDescent="0.25">
      <c r="A32" s="102">
        <v>21</v>
      </c>
      <c r="B32" s="103"/>
      <c r="C32" s="104"/>
      <c r="D32" s="1"/>
      <c r="E32" s="105"/>
      <c r="F32" s="105"/>
      <c r="G32" s="100" t="str">
        <f t="shared" si="7"/>
        <v/>
      </c>
      <c r="H32" s="100" t="str">
        <f t="shared" si="8"/>
        <v/>
      </c>
      <c r="I32" s="101">
        <f t="shared" si="9"/>
        <v>0</v>
      </c>
      <c r="J32" s="100" t="str">
        <f t="shared" si="1"/>
        <v/>
      </c>
      <c r="K32" s="6" t="str">
        <f t="shared" si="10"/>
        <v/>
      </c>
      <c r="L32" s="6" t="str">
        <f t="shared" si="11"/>
        <v/>
      </c>
      <c r="M32" s="6">
        <f t="shared" si="2"/>
        <v>0</v>
      </c>
      <c r="N32" s="7">
        <f t="shared" si="3"/>
        <v>0</v>
      </c>
      <c r="O32" s="4"/>
      <c r="P32" s="3"/>
      <c r="Q32" s="3"/>
      <c r="R32" s="3"/>
      <c r="S32" s="3"/>
      <c r="T32" s="3"/>
      <c r="U32" s="5"/>
      <c r="V32" s="125"/>
      <c r="W32" s="3"/>
      <c r="X32" s="3"/>
      <c r="Y32" s="3"/>
      <c r="Z32" s="3"/>
      <c r="AA32" s="8"/>
      <c r="AB32" s="8"/>
      <c r="AC32" s="3"/>
      <c r="AD32" s="3"/>
      <c r="AE32" s="3"/>
      <c r="AF32" s="3"/>
      <c r="AG32" s="3"/>
      <c r="AH32" s="8"/>
      <c r="AI32" s="8"/>
      <c r="AJ32" s="3"/>
      <c r="AK32" s="3"/>
      <c r="AL32" s="3"/>
      <c r="AM32" s="3"/>
      <c r="AN32" s="3"/>
      <c r="AO32" s="8"/>
      <c r="AP32" s="8"/>
      <c r="AQ32" s="3"/>
      <c r="AR32" s="3"/>
      <c r="AS32" s="3"/>
      <c r="AT32" s="3"/>
      <c r="AU32" s="3"/>
      <c r="AV32" s="8"/>
      <c r="AW32" s="8"/>
      <c r="AX32" s="3"/>
      <c r="AY32" s="3"/>
      <c r="AZ32" s="128"/>
      <c r="BA32" s="5"/>
      <c r="BB32" s="58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GP32" s="54"/>
      <c r="GQ32" s="54"/>
    </row>
    <row r="33" spans="1:199" ht="15" hidden="1" customHeight="1" x14ac:dyDescent="0.25">
      <c r="A33" s="102">
        <v>22</v>
      </c>
      <c r="B33" s="103"/>
      <c r="C33" s="104"/>
      <c r="D33" s="1"/>
      <c r="E33" s="105"/>
      <c r="F33" s="105"/>
      <c r="G33" s="100" t="str">
        <f t="shared" si="7"/>
        <v/>
      </c>
      <c r="H33" s="100" t="str">
        <f t="shared" si="8"/>
        <v/>
      </c>
      <c r="I33" s="101">
        <f t="shared" si="9"/>
        <v>0</v>
      </c>
      <c r="J33" s="100" t="str">
        <f t="shared" si="1"/>
        <v/>
      </c>
      <c r="K33" s="6" t="str">
        <f t="shared" si="10"/>
        <v/>
      </c>
      <c r="L33" s="6" t="str">
        <f t="shared" si="11"/>
        <v/>
      </c>
      <c r="M33" s="6">
        <f t="shared" si="2"/>
        <v>0</v>
      </c>
      <c r="N33" s="7">
        <f t="shared" si="3"/>
        <v>0</v>
      </c>
      <c r="O33" s="4"/>
      <c r="P33" s="3"/>
      <c r="Q33" s="3"/>
      <c r="R33" s="3"/>
      <c r="S33" s="3"/>
      <c r="T33" s="3"/>
      <c r="U33" s="5"/>
      <c r="V33" s="125"/>
      <c r="W33" s="3"/>
      <c r="X33" s="3"/>
      <c r="Y33" s="3"/>
      <c r="Z33" s="3"/>
      <c r="AA33" s="8"/>
      <c r="AB33" s="8"/>
      <c r="AC33" s="3"/>
      <c r="AD33" s="3"/>
      <c r="AE33" s="3"/>
      <c r="AF33" s="3"/>
      <c r="AG33" s="3"/>
      <c r="AH33" s="8"/>
      <c r="AI33" s="8"/>
      <c r="AJ33" s="3"/>
      <c r="AK33" s="3"/>
      <c r="AL33" s="3"/>
      <c r="AM33" s="3"/>
      <c r="AN33" s="3"/>
      <c r="AO33" s="8"/>
      <c r="AP33" s="8"/>
      <c r="AQ33" s="3"/>
      <c r="AR33" s="3"/>
      <c r="AS33" s="3"/>
      <c r="AT33" s="3"/>
      <c r="AU33" s="3"/>
      <c r="AV33" s="8"/>
      <c r="AW33" s="8"/>
      <c r="AX33" s="3"/>
      <c r="AY33" s="3"/>
      <c r="AZ33" s="128"/>
      <c r="BA33" s="5"/>
      <c r="BB33" s="58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GP33" s="54"/>
      <c r="GQ33" s="54"/>
    </row>
    <row r="34" spans="1:199" ht="15" hidden="1" customHeight="1" x14ac:dyDescent="0.25">
      <c r="A34" s="102">
        <v>23</v>
      </c>
      <c r="B34" s="103"/>
      <c r="C34" s="104"/>
      <c r="D34" s="1"/>
      <c r="E34" s="105"/>
      <c r="F34" s="105"/>
      <c r="G34" s="100" t="str">
        <f t="shared" si="7"/>
        <v/>
      </c>
      <c r="H34" s="100" t="str">
        <f t="shared" si="8"/>
        <v/>
      </c>
      <c r="I34" s="101">
        <f t="shared" si="9"/>
        <v>0</v>
      </c>
      <c r="J34" s="100" t="str">
        <f t="shared" si="1"/>
        <v/>
      </c>
      <c r="K34" s="6" t="str">
        <f t="shared" si="10"/>
        <v/>
      </c>
      <c r="L34" s="6" t="str">
        <f t="shared" si="11"/>
        <v/>
      </c>
      <c r="M34" s="6">
        <f t="shared" si="2"/>
        <v>0</v>
      </c>
      <c r="N34" s="7">
        <f t="shared" si="3"/>
        <v>0</v>
      </c>
      <c r="O34" s="4"/>
      <c r="P34" s="3"/>
      <c r="Q34" s="3"/>
      <c r="R34" s="3"/>
      <c r="S34" s="3"/>
      <c r="T34" s="3"/>
      <c r="U34" s="5"/>
      <c r="V34" s="125"/>
      <c r="W34" s="3"/>
      <c r="X34" s="3"/>
      <c r="Y34" s="3"/>
      <c r="Z34" s="3"/>
      <c r="AA34" s="8"/>
      <c r="AB34" s="8"/>
      <c r="AC34" s="3"/>
      <c r="AD34" s="3"/>
      <c r="AE34" s="3"/>
      <c r="AF34" s="3"/>
      <c r="AG34" s="3"/>
      <c r="AH34" s="8"/>
      <c r="AI34" s="8"/>
      <c r="AJ34" s="3"/>
      <c r="AK34" s="3"/>
      <c r="AL34" s="3"/>
      <c r="AM34" s="3"/>
      <c r="AN34" s="3"/>
      <c r="AO34" s="8"/>
      <c r="AP34" s="8"/>
      <c r="AQ34" s="3"/>
      <c r="AR34" s="3"/>
      <c r="AS34" s="3"/>
      <c r="AT34" s="3"/>
      <c r="AU34" s="3"/>
      <c r="AV34" s="8"/>
      <c r="AW34" s="8"/>
      <c r="AX34" s="3"/>
      <c r="AY34" s="3"/>
      <c r="AZ34" s="128"/>
      <c r="BA34" s="5"/>
      <c r="BB34" s="58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GP34" s="54"/>
      <c r="GQ34" s="54"/>
    </row>
    <row r="35" spans="1:199" ht="15" hidden="1" customHeight="1" x14ac:dyDescent="0.25">
      <c r="A35" s="97">
        <v>24</v>
      </c>
      <c r="B35" s="103"/>
      <c r="C35" s="104"/>
      <c r="D35" s="1"/>
      <c r="E35" s="105"/>
      <c r="F35" s="105"/>
      <c r="G35" s="100" t="str">
        <f t="shared" si="7"/>
        <v/>
      </c>
      <c r="H35" s="100" t="str">
        <f t="shared" si="8"/>
        <v/>
      </c>
      <c r="I35" s="101">
        <f t="shared" si="9"/>
        <v>0</v>
      </c>
      <c r="J35" s="100" t="str">
        <f t="shared" si="1"/>
        <v/>
      </c>
      <c r="K35" s="6" t="str">
        <f t="shared" si="10"/>
        <v/>
      </c>
      <c r="L35" s="6" t="str">
        <f t="shared" si="11"/>
        <v/>
      </c>
      <c r="M35" s="6">
        <f t="shared" si="2"/>
        <v>0</v>
      </c>
      <c r="N35" s="7">
        <f t="shared" si="3"/>
        <v>0</v>
      </c>
      <c r="O35" s="4"/>
      <c r="P35" s="3"/>
      <c r="Q35" s="3"/>
      <c r="R35" s="3"/>
      <c r="S35" s="3"/>
      <c r="T35" s="3"/>
      <c r="U35" s="5"/>
      <c r="V35" s="125"/>
      <c r="W35" s="3"/>
      <c r="X35" s="3"/>
      <c r="Y35" s="3"/>
      <c r="Z35" s="3"/>
      <c r="AA35" s="8"/>
      <c r="AB35" s="8"/>
      <c r="AC35" s="3"/>
      <c r="AD35" s="3"/>
      <c r="AE35" s="3"/>
      <c r="AF35" s="3"/>
      <c r="AG35" s="3"/>
      <c r="AH35" s="8"/>
      <c r="AI35" s="8"/>
      <c r="AJ35" s="3"/>
      <c r="AK35" s="3"/>
      <c r="AL35" s="3"/>
      <c r="AM35" s="3"/>
      <c r="AN35" s="3"/>
      <c r="AO35" s="8"/>
      <c r="AP35" s="8"/>
      <c r="AQ35" s="3"/>
      <c r="AR35" s="3"/>
      <c r="AS35" s="3"/>
      <c r="AT35" s="3"/>
      <c r="AU35" s="3"/>
      <c r="AV35" s="8"/>
      <c r="AW35" s="8"/>
      <c r="AX35" s="3"/>
      <c r="AY35" s="3"/>
      <c r="AZ35" s="128"/>
      <c r="BA35" s="5"/>
      <c r="BB35" s="58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GP35" s="54"/>
      <c r="GQ35" s="54"/>
    </row>
    <row r="36" spans="1:199" ht="15" hidden="1" customHeight="1" x14ac:dyDescent="0.25">
      <c r="A36" s="102">
        <v>25</v>
      </c>
      <c r="B36" s="103"/>
      <c r="C36" s="104"/>
      <c r="D36" s="1"/>
      <c r="E36" s="105"/>
      <c r="F36" s="105"/>
      <c r="G36" s="100" t="str">
        <f t="shared" si="7"/>
        <v/>
      </c>
      <c r="H36" s="100" t="str">
        <f t="shared" si="8"/>
        <v/>
      </c>
      <c r="I36" s="101">
        <f t="shared" si="9"/>
        <v>0</v>
      </c>
      <c r="J36" s="100" t="str">
        <f t="shared" si="1"/>
        <v/>
      </c>
      <c r="K36" s="6" t="str">
        <f t="shared" si="10"/>
        <v/>
      </c>
      <c r="L36" s="6" t="str">
        <f t="shared" si="11"/>
        <v/>
      </c>
      <c r="M36" s="6">
        <f t="shared" si="2"/>
        <v>0</v>
      </c>
      <c r="N36" s="7">
        <f t="shared" si="3"/>
        <v>0</v>
      </c>
      <c r="O36" s="4"/>
      <c r="P36" s="3"/>
      <c r="Q36" s="3"/>
      <c r="R36" s="3"/>
      <c r="S36" s="3"/>
      <c r="T36" s="3"/>
      <c r="U36" s="5"/>
      <c r="V36" s="125"/>
      <c r="W36" s="3"/>
      <c r="X36" s="3"/>
      <c r="Y36" s="3"/>
      <c r="Z36" s="3"/>
      <c r="AA36" s="8"/>
      <c r="AB36" s="8"/>
      <c r="AC36" s="3"/>
      <c r="AD36" s="3"/>
      <c r="AE36" s="3"/>
      <c r="AF36" s="3"/>
      <c r="AG36" s="3"/>
      <c r="AH36" s="8"/>
      <c r="AI36" s="8"/>
      <c r="AJ36" s="3"/>
      <c r="AK36" s="3"/>
      <c r="AL36" s="3"/>
      <c r="AM36" s="3"/>
      <c r="AN36" s="3"/>
      <c r="AO36" s="8"/>
      <c r="AP36" s="8"/>
      <c r="AQ36" s="3"/>
      <c r="AR36" s="3"/>
      <c r="AS36" s="3"/>
      <c r="AT36" s="3"/>
      <c r="AU36" s="3"/>
      <c r="AV36" s="8"/>
      <c r="AW36" s="8"/>
      <c r="AX36" s="3"/>
      <c r="AY36" s="3"/>
      <c r="AZ36" s="128"/>
      <c r="BA36" s="5"/>
      <c r="BB36" s="58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GP36" s="54"/>
      <c r="GQ36" s="54"/>
    </row>
    <row r="37" spans="1:199" ht="15" hidden="1" customHeight="1" x14ac:dyDescent="0.25">
      <c r="A37" s="102">
        <v>26</v>
      </c>
      <c r="B37" s="103"/>
      <c r="C37" s="104"/>
      <c r="D37" s="1"/>
      <c r="E37" s="105"/>
      <c r="F37" s="105"/>
      <c r="G37" s="100" t="str">
        <f t="shared" si="7"/>
        <v/>
      </c>
      <c r="H37" s="100" t="str">
        <f t="shared" si="8"/>
        <v/>
      </c>
      <c r="I37" s="101">
        <f t="shared" si="9"/>
        <v>0</v>
      </c>
      <c r="J37" s="100" t="str">
        <f t="shared" si="1"/>
        <v/>
      </c>
      <c r="K37" s="6" t="str">
        <f t="shared" si="10"/>
        <v/>
      </c>
      <c r="L37" s="6" t="str">
        <f t="shared" si="11"/>
        <v/>
      </c>
      <c r="M37" s="6">
        <f t="shared" si="2"/>
        <v>0</v>
      </c>
      <c r="N37" s="7">
        <f t="shared" si="3"/>
        <v>0</v>
      </c>
      <c r="O37" s="4"/>
      <c r="P37" s="3"/>
      <c r="Q37" s="3"/>
      <c r="R37" s="3"/>
      <c r="S37" s="3"/>
      <c r="T37" s="3"/>
      <c r="U37" s="5"/>
      <c r="V37" s="125"/>
      <c r="W37" s="3"/>
      <c r="X37" s="3"/>
      <c r="Y37" s="3"/>
      <c r="Z37" s="3"/>
      <c r="AA37" s="8"/>
      <c r="AB37" s="8"/>
      <c r="AC37" s="3"/>
      <c r="AD37" s="3"/>
      <c r="AE37" s="3"/>
      <c r="AF37" s="3"/>
      <c r="AG37" s="3"/>
      <c r="AH37" s="8"/>
      <c r="AI37" s="8"/>
      <c r="AJ37" s="3"/>
      <c r="AK37" s="3"/>
      <c r="AL37" s="3"/>
      <c r="AM37" s="3"/>
      <c r="AN37" s="3"/>
      <c r="AO37" s="8"/>
      <c r="AP37" s="8"/>
      <c r="AQ37" s="3"/>
      <c r="AR37" s="3"/>
      <c r="AS37" s="3"/>
      <c r="AT37" s="3"/>
      <c r="AU37" s="3"/>
      <c r="AV37" s="8"/>
      <c r="AW37" s="8"/>
      <c r="AX37" s="3"/>
      <c r="AY37" s="3"/>
      <c r="AZ37" s="128"/>
      <c r="BA37" s="5"/>
      <c r="BB37" s="58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GP37" s="54"/>
      <c r="GQ37" s="54"/>
    </row>
    <row r="38" spans="1:199" ht="15" hidden="1" customHeight="1" x14ac:dyDescent="0.25">
      <c r="A38" s="102">
        <v>27</v>
      </c>
      <c r="B38" s="103"/>
      <c r="C38" s="104"/>
      <c r="D38" s="1"/>
      <c r="E38" s="105"/>
      <c r="F38" s="105"/>
      <c r="G38" s="100" t="str">
        <f t="shared" si="7"/>
        <v/>
      </c>
      <c r="H38" s="100" t="str">
        <f t="shared" si="8"/>
        <v/>
      </c>
      <c r="I38" s="101">
        <f t="shared" si="9"/>
        <v>0</v>
      </c>
      <c r="J38" s="100" t="str">
        <f t="shared" si="1"/>
        <v/>
      </c>
      <c r="K38" s="6" t="str">
        <f t="shared" si="10"/>
        <v/>
      </c>
      <c r="L38" s="6" t="str">
        <f t="shared" si="11"/>
        <v/>
      </c>
      <c r="M38" s="6">
        <f t="shared" si="2"/>
        <v>0</v>
      </c>
      <c r="N38" s="7">
        <f t="shared" si="3"/>
        <v>0</v>
      </c>
      <c r="O38" s="4"/>
      <c r="P38" s="3"/>
      <c r="Q38" s="3"/>
      <c r="R38" s="3"/>
      <c r="S38" s="3"/>
      <c r="T38" s="3"/>
      <c r="U38" s="5"/>
      <c r="V38" s="125"/>
      <c r="W38" s="3"/>
      <c r="X38" s="3"/>
      <c r="Y38" s="3"/>
      <c r="Z38" s="3"/>
      <c r="AA38" s="8"/>
      <c r="AB38" s="8"/>
      <c r="AC38" s="3"/>
      <c r="AD38" s="3"/>
      <c r="AE38" s="3"/>
      <c r="AF38" s="3"/>
      <c r="AG38" s="3"/>
      <c r="AH38" s="8"/>
      <c r="AI38" s="8"/>
      <c r="AJ38" s="3"/>
      <c r="AK38" s="3"/>
      <c r="AL38" s="3"/>
      <c r="AM38" s="3"/>
      <c r="AN38" s="3"/>
      <c r="AO38" s="8"/>
      <c r="AP38" s="8"/>
      <c r="AQ38" s="3"/>
      <c r="AR38" s="3"/>
      <c r="AS38" s="3"/>
      <c r="AT38" s="3"/>
      <c r="AU38" s="3"/>
      <c r="AV38" s="8"/>
      <c r="AW38" s="8"/>
      <c r="AX38" s="3"/>
      <c r="AY38" s="3"/>
      <c r="AZ38" s="128"/>
      <c r="BA38" s="5"/>
      <c r="BB38" s="58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GP38" s="54"/>
      <c r="GQ38" s="54"/>
    </row>
    <row r="39" spans="1:199" ht="15" hidden="1" customHeight="1" x14ac:dyDescent="0.25">
      <c r="A39" s="97">
        <v>28</v>
      </c>
      <c r="B39" s="103"/>
      <c r="C39" s="104"/>
      <c r="D39" s="1"/>
      <c r="E39" s="105"/>
      <c r="F39" s="105"/>
      <c r="G39" s="100" t="str">
        <f t="shared" si="7"/>
        <v/>
      </c>
      <c r="H39" s="100" t="str">
        <f t="shared" si="8"/>
        <v/>
      </c>
      <c r="I39" s="101">
        <f t="shared" si="9"/>
        <v>0</v>
      </c>
      <c r="J39" s="100" t="str">
        <f t="shared" si="1"/>
        <v/>
      </c>
      <c r="K39" s="6" t="str">
        <f t="shared" si="10"/>
        <v/>
      </c>
      <c r="L39" s="6" t="str">
        <f t="shared" si="11"/>
        <v/>
      </c>
      <c r="M39" s="6">
        <f t="shared" si="2"/>
        <v>0</v>
      </c>
      <c r="N39" s="7">
        <f t="shared" si="3"/>
        <v>0</v>
      </c>
      <c r="O39" s="4"/>
      <c r="P39" s="3"/>
      <c r="Q39" s="3"/>
      <c r="R39" s="3"/>
      <c r="S39" s="3"/>
      <c r="T39" s="3"/>
      <c r="U39" s="5"/>
      <c r="V39" s="125"/>
      <c r="W39" s="3"/>
      <c r="X39" s="3"/>
      <c r="Y39" s="3"/>
      <c r="Z39" s="3"/>
      <c r="AA39" s="8"/>
      <c r="AB39" s="8"/>
      <c r="AC39" s="3"/>
      <c r="AD39" s="3"/>
      <c r="AE39" s="3"/>
      <c r="AF39" s="3"/>
      <c r="AG39" s="3"/>
      <c r="AH39" s="8"/>
      <c r="AI39" s="8"/>
      <c r="AJ39" s="3"/>
      <c r="AK39" s="3"/>
      <c r="AL39" s="3"/>
      <c r="AM39" s="3"/>
      <c r="AN39" s="3"/>
      <c r="AO39" s="8"/>
      <c r="AP39" s="8"/>
      <c r="AQ39" s="3"/>
      <c r="AR39" s="3"/>
      <c r="AS39" s="3"/>
      <c r="AT39" s="3"/>
      <c r="AU39" s="3"/>
      <c r="AV39" s="8"/>
      <c r="AW39" s="8"/>
      <c r="AX39" s="3"/>
      <c r="AY39" s="3"/>
      <c r="AZ39" s="128"/>
      <c r="BA39" s="5"/>
      <c r="BB39" s="58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GP39" s="54"/>
      <c r="GQ39" s="54"/>
    </row>
    <row r="40" spans="1:199" ht="15" hidden="1" customHeight="1" x14ac:dyDescent="0.25">
      <c r="A40" s="102">
        <v>29</v>
      </c>
      <c r="B40" s="103"/>
      <c r="C40" s="104"/>
      <c r="D40" s="1"/>
      <c r="E40" s="105"/>
      <c r="F40" s="105"/>
      <c r="G40" s="100" t="str">
        <f t="shared" si="7"/>
        <v/>
      </c>
      <c r="H40" s="100" t="str">
        <f t="shared" si="8"/>
        <v/>
      </c>
      <c r="I40" s="101">
        <f t="shared" si="9"/>
        <v>0</v>
      </c>
      <c r="J40" s="100" t="str">
        <f t="shared" si="1"/>
        <v/>
      </c>
      <c r="K40" s="6" t="str">
        <f t="shared" si="10"/>
        <v/>
      </c>
      <c r="L40" s="6" t="str">
        <f t="shared" si="11"/>
        <v/>
      </c>
      <c r="M40" s="6">
        <f t="shared" si="2"/>
        <v>0</v>
      </c>
      <c r="N40" s="7">
        <f t="shared" si="3"/>
        <v>0</v>
      </c>
      <c r="O40" s="4"/>
      <c r="P40" s="3"/>
      <c r="Q40" s="3"/>
      <c r="R40" s="3"/>
      <c r="S40" s="3"/>
      <c r="T40" s="3"/>
      <c r="U40" s="5"/>
      <c r="V40" s="125"/>
      <c r="W40" s="3"/>
      <c r="X40" s="3"/>
      <c r="Y40" s="3"/>
      <c r="Z40" s="3"/>
      <c r="AA40" s="8"/>
      <c r="AB40" s="8"/>
      <c r="AC40" s="3"/>
      <c r="AD40" s="3"/>
      <c r="AE40" s="3"/>
      <c r="AF40" s="3"/>
      <c r="AG40" s="3"/>
      <c r="AH40" s="8"/>
      <c r="AI40" s="8"/>
      <c r="AJ40" s="3"/>
      <c r="AK40" s="3"/>
      <c r="AL40" s="3"/>
      <c r="AM40" s="3"/>
      <c r="AN40" s="3"/>
      <c r="AO40" s="8"/>
      <c r="AP40" s="8"/>
      <c r="AQ40" s="3"/>
      <c r="AR40" s="3"/>
      <c r="AS40" s="3"/>
      <c r="AT40" s="3"/>
      <c r="AU40" s="3"/>
      <c r="AV40" s="8"/>
      <c r="AW40" s="8"/>
      <c r="AX40" s="3"/>
      <c r="AY40" s="3"/>
      <c r="AZ40" s="128"/>
      <c r="BA40" s="5"/>
      <c r="BB40" s="58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GP40" s="54"/>
      <c r="GQ40" s="54"/>
    </row>
    <row r="41" spans="1:199" ht="15" hidden="1" customHeight="1" x14ac:dyDescent="0.25">
      <c r="A41" s="102">
        <v>30</v>
      </c>
      <c r="B41" s="103"/>
      <c r="C41" s="104"/>
      <c r="D41" s="1"/>
      <c r="E41" s="105"/>
      <c r="F41" s="105"/>
      <c r="G41" s="100" t="str">
        <f t="shared" si="7"/>
        <v/>
      </c>
      <c r="H41" s="100" t="str">
        <f t="shared" si="8"/>
        <v/>
      </c>
      <c r="I41" s="101">
        <f t="shared" si="9"/>
        <v>0</v>
      </c>
      <c r="J41" s="100" t="str">
        <f t="shared" si="1"/>
        <v/>
      </c>
      <c r="K41" s="6" t="str">
        <f t="shared" si="10"/>
        <v/>
      </c>
      <c r="L41" s="6" t="str">
        <f t="shared" si="11"/>
        <v/>
      </c>
      <c r="M41" s="6">
        <f t="shared" si="2"/>
        <v>0</v>
      </c>
      <c r="N41" s="7">
        <f t="shared" si="3"/>
        <v>0</v>
      </c>
      <c r="O41" s="4"/>
      <c r="P41" s="3"/>
      <c r="Q41" s="3"/>
      <c r="R41" s="3"/>
      <c r="S41" s="3"/>
      <c r="T41" s="3"/>
      <c r="U41" s="5"/>
      <c r="V41" s="125"/>
      <c r="W41" s="3"/>
      <c r="X41" s="3"/>
      <c r="Y41" s="3"/>
      <c r="Z41" s="3"/>
      <c r="AA41" s="8"/>
      <c r="AB41" s="8"/>
      <c r="AC41" s="3"/>
      <c r="AD41" s="3"/>
      <c r="AE41" s="3"/>
      <c r="AF41" s="3"/>
      <c r="AG41" s="3"/>
      <c r="AH41" s="8"/>
      <c r="AI41" s="8"/>
      <c r="AJ41" s="3"/>
      <c r="AK41" s="3"/>
      <c r="AL41" s="3"/>
      <c r="AM41" s="3"/>
      <c r="AN41" s="3"/>
      <c r="AO41" s="8"/>
      <c r="AP41" s="8"/>
      <c r="AQ41" s="3"/>
      <c r="AR41" s="3"/>
      <c r="AS41" s="3"/>
      <c r="AT41" s="3"/>
      <c r="AU41" s="3"/>
      <c r="AV41" s="8"/>
      <c r="AW41" s="8"/>
      <c r="AX41" s="3"/>
      <c r="AY41" s="3"/>
      <c r="AZ41" s="128"/>
      <c r="BA41" s="5"/>
      <c r="BB41" s="58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GP41" s="54"/>
      <c r="GQ41" s="54"/>
    </row>
    <row r="42" spans="1:199" ht="15" hidden="1" customHeight="1" x14ac:dyDescent="0.25">
      <c r="A42" s="102">
        <v>31</v>
      </c>
      <c r="B42" s="103"/>
      <c r="C42" s="104"/>
      <c r="D42" s="1"/>
      <c r="E42" s="105"/>
      <c r="F42" s="105"/>
      <c r="G42" s="100" t="str">
        <f t="shared" si="7"/>
        <v/>
      </c>
      <c r="H42" s="100" t="str">
        <f t="shared" si="8"/>
        <v/>
      </c>
      <c r="I42" s="101">
        <f t="shared" si="9"/>
        <v>0</v>
      </c>
      <c r="J42" s="100" t="str">
        <f t="shared" si="1"/>
        <v/>
      </c>
      <c r="K42" s="6" t="str">
        <f t="shared" si="10"/>
        <v/>
      </c>
      <c r="L42" s="6" t="str">
        <f t="shared" si="11"/>
        <v/>
      </c>
      <c r="M42" s="6">
        <f t="shared" si="2"/>
        <v>0</v>
      </c>
      <c r="N42" s="7">
        <f t="shared" si="3"/>
        <v>0</v>
      </c>
      <c r="O42" s="4"/>
      <c r="P42" s="3"/>
      <c r="Q42" s="3"/>
      <c r="R42" s="3"/>
      <c r="S42" s="3"/>
      <c r="T42" s="3"/>
      <c r="U42" s="5"/>
      <c r="V42" s="125"/>
      <c r="W42" s="3"/>
      <c r="X42" s="3"/>
      <c r="Y42" s="3"/>
      <c r="Z42" s="3"/>
      <c r="AA42" s="8"/>
      <c r="AB42" s="8"/>
      <c r="AC42" s="3"/>
      <c r="AD42" s="3"/>
      <c r="AE42" s="3"/>
      <c r="AF42" s="3"/>
      <c r="AG42" s="3"/>
      <c r="AH42" s="8"/>
      <c r="AI42" s="8"/>
      <c r="AJ42" s="3"/>
      <c r="AK42" s="3"/>
      <c r="AL42" s="3"/>
      <c r="AM42" s="3"/>
      <c r="AN42" s="3"/>
      <c r="AO42" s="8"/>
      <c r="AP42" s="8"/>
      <c r="AQ42" s="3"/>
      <c r="AR42" s="3"/>
      <c r="AS42" s="3"/>
      <c r="AT42" s="3"/>
      <c r="AU42" s="3"/>
      <c r="AV42" s="8"/>
      <c r="AW42" s="8"/>
      <c r="AX42" s="3"/>
      <c r="AY42" s="3"/>
      <c r="AZ42" s="128"/>
      <c r="BA42" s="5"/>
      <c r="BB42" s="58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GP42" s="54"/>
      <c r="GQ42" s="54"/>
    </row>
    <row r="43" spans="1:199" ht="15" hidden="1" customHeight="1" x14ac:dyDescent="0.25">
      <c r="A43" s="102">
        <v>32</v>
      </c>
      <c r="B43" s="103"/>
      <c r="C43" s="104"/>
      <c r="D43" s="1"/>
      <c r="E43" s="105"/>
      <c r="F43" s="105"/>
      <c r="G43" s="100" t="str">
        <f t="shared" si="7"/>
        <v/>
      </c>
      <c r="H43" s="100" t="str">
        <f t="shared" si="8"/>
        <v/>
      </c>
      <c r="I43" s="101">
        <f t="shared" si="9"/>
        <v>0</v>
      </c>
      <c r="J43" s="100" t="str">
        <f t="shared" si="1"/>
        <v/>
      </c>
      <c r="K43" s="6" t="str">
        <f t="shared" si="10"/>
        <v/>
      </c>
      <c r="L43" s="6" t="str">
        <f t="shared" si="11"/>
        <v/>
      </c>
      <c r="M43" s="6">
        <f t="shared" si="2"/>
        <v>0</v>
      </c>
      <c r="N43" s="7">
        <f t="shared" si="3"/>
        <v>0</v>
      </c>
      <c r="O43" s="4"/>
      <c r="P43" s="3"/>
      <c r="Q43" s="3"/>
      <c r="R43" s="3"/>
      <c r="S43" s="3"/>
      <c r="T43" s="3"/>
      <c r="U43" s="5"/>
      <c r="V43" s="125"/>
      <c r="W43" s="3"/>
      <c r="X43" s="3"/>
      <c r="Y43" s="3"/>
      <c r="Z43" s="3"/>
      <c r="AA43" s="8"/>
      <c r="AB43" s="8"/>
      <c r="AC43" s="3"/>
      <c r="AD43" s="3"/>
      <c r="AE43" s="3"/>
      <c r="AF43" s="3"/>
      <c r="AG43" s="3"/>
      <c r="AH43" s="8"/>
      <c r="AI43" s="8"/>
      <c r="AJ43" s="3"/>
      <c r="AK43" s="3"/>
      <c r="AL43" s="3"/>
      <c r="AM43" s="3"/>
      <c r="AN43" s="3"/>
      <c r="AO43" s="8"/>
      <c r="AP43" s="8"/>
      <c r="AQ43" s="3"/>
      <c r="AR43" s="3"/>
      <c r="AS43" s="3"/>
      <c r="AT43" s="3"/>
      <c r="AU43" s="3"/>
      <c r="AV43" s="8"/>
      <c r="AW43" s="8"/>
      <c r="AX43" s="3"/>
      <c r="AY43" s="3"/>
      <c r="AZ43" s="128"/>
      <c r="BA43" s="5"/>
      <c r="BB43" s="58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GP43" s="54"/>
      <c r="GQ43" s="54"/>
    </row>
    <row r="44" spans="1:199" ht="15" hidden="1" customHeight="1" x14ac:dyDescent="0.25">
      <c r="A44" s="97">
        <v>33</v>
      </c>
      <c r="B44" s="103"/>
      <c r="C44" s="104"/>
      <c r="D44" s="1"/>
      <c r="E44" s="105"/>
      <c r="F44" s="105"/>
      <c r="G44" s="100" t="str">
        <f t="shared" si="7"/>
        <v/>
      </c>
      <c r="H44" s="100" t="str">
        <f t="shared" si="8"/>
        <v/>
      </c>
      <c r="I44" s="101">
        <f t="shared" si="9"/>
        <v>0</v>
      </c>
      <c r="J44" s="100" t="str">
        <f t="shared" si="1"/>
        <v/>
      </c>
      <c r="K44" s="6" t="str">
        <f t="shared" si="10"/>
        <v/>
      </c>
      <c r="L44" s="6" t="str">
        <f t="shared" si="11"/>
        <v/>
      </c>
      <c r="M44" s="6">
        <f t="shared" ref="M44:M75" si="12">(IF(O44="hT",4,0))+(IF(P44="hT",4,0))+(IF(Q44="hT",4,0))+(IF(R44="hT",4,0))+(IF(S44="hT",4,0))+T44+(COUNTIF(W44:BA44,"hT"))</f>
        <v>0</v>
      </c>
      <c r="N44" s="7">
        <f t="shared" ref="N44:N75" si="13">(IF(O44="x",4,0))+(IF(P44="x",4,0))+(IF(Q44="x",4,0))+(IF(R44="x",4,0))+(IF(S44="x",4,0))+U44+(COUNTIF(W44:BA44,"x"))</f>
        <v>0</v>
      </c>
      <c r="O44" s="4"/>
      <c r="P44" s="3"/>
      <c r="Q44" s="3"/>
      <c r="R44" s="3"/>
      <c r="S44" s="3"/>
      <c r="T44" s="3"/>
      <c r="U44" s="5"/>
      <c r="V44" s="125"/>
      <c r="W44" s="3"/>
      <c r="X44" s="3"/>
      <c r="Y44" s="3"/>
      <c r="Z44" s="3"/>
      <c r="AA44" s="8"/>
      <c r="AB44" s="8"/>
      <c r="AC44" s="3"/>
      <c r="AD44" s="3"/>
      <c r="AE44" s="3"/>
      <c r="AF44" s="3"/>
      <c r="AG44" s="3"/>
      <c r="AH44" s="8"/>
      <c r="AI44" s="8"/>
      <c r="AJ44" s="3"/>
      <c r="AK44" s="3"/>
      <c r="AL44" s="3"/>
      <c r="AM44" s="3"/>
      <c r="AN44" s="3"/>
      <c r="AO44" s="8"/>
      <c r="AP44" s="8"/>
      <c r="AQ44" s="3"/>
      <c r="AR44" s="3"/>
      <c r="AS44" s="3"/>
      <c r="AT44" s="3"/>
      <c r="AU44" s="3"/>
      <c r="AV44" s="8"/>
      <c r="AW44" s="8"/>
      <c r="AX44" s="3"/>
      <c r="AY44" s="3"/>
      <c r="AZ44" s="128"/>
      <c r="BA44" s="5"/>
      <c r="BB44" s="58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GP44" s="54"/>
      <c r="GQ44" s="54"/>
    </row>
    <row r="45" spans="1:199" ht="15" hidden="1" customHeight="1" x14ac:dyDescent="0.25">
      <c r="A45" s="102">
        <v>34</v>
      </c>
      <c r="B45" s="103"/>
      <c r="C45" s="104"/>
      <c r="D45" s="1"/>
      <c r="E45" s="105"/>
      <c r="F45" s="105"/>
      <c r="G45" s="100" t="str">
        <f t="shared" si="7"/>
        <v/>
      </c>
      <c r="H45" s="100" t="str">
        <f t="shared" si="8"/>
        <v/>
      </c>
      <c r="I45" s="101">
        <f t="shared" si="9"/>
        <v>0</v>
      </c>
      <c r="J45" s="100" t="str">
        <f t="shared" si="1"/>
        <v/>
      </c>
      <c r="K45" s="6" t="str">
        <f t="shared" si="10"/>
        <v/>
      </c>
      <c r="L45" s="6" t="str">
        <f t="shared" si="11"/>
        <v/>
      </c>
      <c r="M45" s="6">
        <f t="shared" si="12"/>
        <v>0</v>
      </c>
      <c r="N45" s="7">
        <f t="shared" si="13"/>
        <v>0</v>
      </c>
      <c r="O45" s="4"/>
      <c r="P45" s="3"/>
      <c r="Q45" s="3"/>
      <c r="R45" s="3"/>
      <c r="S45" s="3"/>
      <c r="T45" s="3"/>
      <c r="U45" s="5"/>
      <c r="V45" s="125"/>
      <c r="W45" s="3"/>
      <c r="X45" s="3"/>
      <c r="Y45" s="3"/>
      <c r="Z45" s="3"/>
      <c r="AA45" s="8"/>
      <c r="AB45" s="8"/>
      <c r="AC45" s="3"/>
      <c r="AD45" s="3"/>
      <c r="AE45" s="3"/>
      <c r="AF45" s="3"/>
      <c r="AG45" s="3"/>
      <c r="AH45" s="8"/>
      <c r="AI45" s="8"/>
      <c r="AJ45" s="3"/>
      <c r="AK45" s="3"/>
      <c r="AL45" s="3"/>
      <c r="AM45" s="3"/>
      <c r="AN45" s="3"/>
      <c r="AO45" s="8"/>
      <c r="AP45" s="8"/>
      <c r="AQ45" s="3"/>
      <c r="AR45" s="3"/>
      <c r="AS45" s="3"/>
      <c r="AT45" s="3"/>
      <c r="AU45" s="3"/>
      <c r="AV45" s="8"/>
      <c r="AW45" s="8"/>
      <c r="AX45" s="3"/>
      <c r="AY45" s="3"/>
      <c r="AZ45" s="128"/>
      <c r="BA45" s="5"/>
      <c r="BB45" s="58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GP45" s="54"/>
      <c r="GQ45" s="54"/>
    </row>
    <row r="46" spans="1:199" ht="15" hidden="1" customHeight="1" x14ac:dyDescent="0.25">
      <c r="A46" s="102">
        <v>35</v>
      </c>
      <c r="B46" s="103"/>
      <c r="C46" s="104"/>
      <c r="D46" s="1"/>
      <c r="E46" s="105"/>
      <c r="F46" s="105"/>
      <c r="G46" s="100" t="str">
        <f t="shared" si="7"/>
        <v/>
      </c>
      <c r="H46" s="100" t="str">
        <f t="shared" si="8"/>
        <v/>
      </c>
      <c r="I46" s="101">
        <f t="shared" si="9"/>
        <v>0</v>
      </c>
      <c r="J46" s="100" t="str">
        <f t="shared" si="1"/>
        <v/>
      </c>
      <c r="K46" s="6" t="str">
        <f t="shared" si="10"/>
        <v/>
      </c>
      <c r="L46" s="6" t="str">
        <f t="shared" si="11"/>
        <v/>
      </c>
      <c r="M46" s="6">
        <f t="shared" si="12"/>
        <v>0</v>
      </c>
      <c r="N46" s="7">
        <f t="shared" si="13"/>
        <v>0</v>
      </c>
      <c r="O46" s="4"/>
      <c r="P46" s="3"/>
      <c r="Q46" s="3"/>
      <c r="R46" s="3"/>
      <c r="S46" s="3"/>
      <c r="T46" s="3"/>
      <c r="U46" s="5"/>
      <c r="V46" s="125"/>
      <c r="W46" s="3"/>
      <c r="X46" s="3"/>
      <c r="Y46" s="3"/>
      <c r="Z46" s="3"/>
      <c r="AA46" s="8"/>
      <c r="AB46" s="8"/>
      <c r="AC46" s="3"/>
      <c r="AD46" s="3"/>
      <c r="AE46" s="3"/>
      <c r="AF46" s="3"/>
      <c r="AG46" s="3"/>
      <c r="AH46" s="8"/>
      <c r="AI46" s="8"/>
      <c r="AJ46" s="3"/>
      <c r="AK46" s="3"/>
      <c r="AL46" s="3"/>
      <c r="AM46" s="3"/>
      <c r="AN46" s="3"/>
      <c r="AO46" s="8"/>
      <c r="AP46" s="8"/>
      <c r="AQ46" s="3"/>
      <c r="AR46" s="3"/>
      <c r="AS46" s="3"/>
      <c r="AT46" s="3"/>
      <c r="AU46" s="3"/>
      <c r="AV46" s="8"/>
      <c r="AW46" s="8"/>
      <c r="AX46" s="3"/>
      <c r="AY46" s="3"/>
      <c r="AZ46" s="128"/>
      <c r="BA46" s="5"/>
      <c r="BB46" s="58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GP46" s="54"/>
      <c r="GQ46" s="54"/>
    </row>
    <row r="47" spans="1:199" ht="15" hidden="1" customHeight="1" x14ac:dyDescent="0.25">
      <c r="A47" s="102">
        <v>36</v>
      </c>
      <c r="B47" s="103"/>
      <c r="C47" s="104"/>
      <c r="D47" s="1"/>
      <c r="E47" s="105"/>
      <c r="F47" s="105"/>
      <c r="G47" s="100" t="str">
        <f t="shared" si="7"/>
        <v/>
      </c>
      <c r="H47" s="100" t="str">
        <f t="shared" si="8"/>
        <v/>
      </c>
      <c r="I47" s="101">
        <f t="shared" si="9"/>
        <v>0</v>
      </c>
      <c r="J47" s="100" t="str">
        <f t="shared" si="1"/>
        <v/>
      </c>
      <c r="K47" s="6" t="str">
        <f t="shared" si="10"/>
        <v/>
      </c>
      <c r="L47" s="6" t="str">
        <f t="shared" si="11"/>
        <v/>
      </c>
      <c r="M47" s="6">
        <f t="shared" si="12"/>
        <v>0</v>
      </c>
      <c r="N47" s="7">
        <f t="shared" si="13"/>
        <v>0</v>
      </c>
      <c r="O47" s="4"/>
      <c r="P47" s="3"/>
      <c r="Q47" s="3"/>
      <c r="R47" s="3"/>
      <c r="S47" s="3"/>
      <c r="T47" s="3"/>
      <c r="U47" s="5"/>
      <c r="V47" s="125"/>
      <c r="W47" s="3"/>
      <c r="X47" s="3"/>
      <c r="Y47" s="3"/>
      <c r="Z47" s="3"/>
      <c r="AA47" s="8"/>
      <c r="AB47" s="8"/>
      <c r="AC47" s="3"/>
      <c r="AD47" s="3"/>
      <c r="AE47" s="3"/>
      <c r="AF47" s="3"/>
      <c r="AG47" s="3"/>
      <c r="AH47" s="8"/>
      <c r="AI47" s="8"/>
      <c r="AJ47" s="3"/>
      <c r="AK47" s="3"/>
      <c r="AL47" s="3"/>
      <c r="AM47" s="3"/>
      <c r="AN47" s="3"/>
      <c r="AO47" s="8"/>
      <c r="AP47" s="8"/>
      <c r="AQ47" s="3"/>
      <c r="AR47" s="3"/>
      <c r="AS47" s="3"/>
      <c r="AT47" s="3"/>
      <c r="AU47" s="3"/>
      <c r="AV47" s="8"/>
      <c r="AW47" s="8"/>
      <c r="AX47" s="3"/>
      <c r="AY47" s="3"/>
      <c r="AZ47" s="128"/>
      <c r="BA47" s="5"/>
      <c r="BB47" s="58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GP47" s="54"/>
      <c r="GQ47" s="54"/>
    </row>
    <row r="48" spans="1:199" ht="15" hidden="1" customHeight="1" x14ac:dyDescent="0.25">
      <c r="A48" s="97">
        <v>37</v>
      </c>
      <c r="B48" s="103"/>
      <c r="C48" s="104"/>
      <c r="D48" s="1"/>
      <c r="E48" s="105"/>
      <c r="F48" s="105"/>
      <c r="G48" s="100" t="str">
        <f t="shared" si="7"/>
        <v/>
      </c>
      <c r="H48" s="100" t="str">
        <f t="shared" si="8"/>
        <v/>
      </c>
      <c r="I48" s="101">
        <f t="shared" si="9"/>
        <v>0</v>
      </c>
      <c r="J48" s="100" t="str">
        <f t="shared" si="1"/>
        <v/>
      </c>
      <c r="K48" s="6" t="str">
        <f t="shared" si="10"/>
        <v/>
      </c>
      <c r="L48" s="6" t="str">
        <f t="shared" si="11"/>
        <v/>
      </c>
      <c r="M48" s="6">
        <f t="shared" si="12"/>
        <v>0</v>
      </c>
      <c r="N48" s="7">
        <f t="shared" si="13"/>
        <v>0</v>
      </c>
      <c r="O48" s="4"/>
      <c r="P48" s="3"/>
      <c r="Q48" s="3"/>
      <c r="R48" s="3"/>
      <c r="S48" s="3"/>
      <c r="T48" s="3"/>
      <c r="U48" s="5"/>
      <c r="V48" s="125"/>
      <c r="W48" s="3"/>
      <c r="X48" s="3"/>
      <c r="Y48" s="3"/>
      <c r="Z48" s="3"/>
      <c r="AA48" s="8"/>
      <c r="AB48" s="8"/>
      <c r="AC48" s="3"/>
      <c r="AD48" s="3"/>
      <c r="AE48" s="3"/>
      <c r="AF48" s="3"/>
      <c r="AG48" s="3"/>
      <c r="AH48" s="8"/>
      <c r="AI48" s="8"/>
      <c r="AJ48" s="3"/>
      <c r="AK48" s="3"/>
      <c r="AL48" s="3"/>
      <c r="AM48" s="3"/>
      <c r="AN48" s="3"/>
      <c r="AO48" s="8"/>
      <c r="AP48" s="8"/>
      <c r="AQ48" s="3"/>
      <c r="AR48" s="3"/>
      <c r="AS48" s="3"/>
      <c r="AT48" s="3"/>
      <c r="AU48" s="3"/>
      <c r="AV48" s="8"/>
      <c r="AW48" s="8"/>
      <c r="AX48" s="3"/>
      <c r="AY48" s="3"/>
      <c r="AZ48" s="128"/>
      <c r="BA48" s="5"/>
      <c r="BB48" s="58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GP48" s="54"/>
      <c r="GQ48" s="54"/>
    </row>
    <row r="49" spans="1:199" ht="15" hidden="1" customHeight="1" x14ac:dyDescent="0.25">
      <c r="A49" s="102">
        <v>38</v>
      </c>
      <c r="B49" s="103"/>
      <c r="C49" s="104"/>
      <c r="D49" s="1"/>
      <c r="E49" s="105"/>
      <c r="F49" s="105"/>
      <c r="G49" s="100" t="str">
        <f t="shared" si="7"/>
        <v/>
      </c>
      <c r="H49" s="100" t="str">
        <f t="shared" si="8"/>
        <v/>
      </c>
      <c r="I49" s="101">
        <f t="shared" si="9"/>
        <v>0</v>
      </c>
      <c r="J49" s="100" t="str">
        <f t="shared" si="1"/>
        <v/>
      </c>
      <c r="K49" s="6" t="str">
        <f t="shared" si="10"/>
        <v/>
      </c>
      <c r="L49" s="6" t="str">
        <f t="shared" si="11"/>
        <v/>
      </c>
      <c r="M49" s="6">
        <f t="shared" si="12"/>
        <v>0</v>
      </c>
      <c r="N49" s="7">
        <f t="shared" si="13"/>
        <v>0</v>
      </c>
      <c r="O49" s="4"/>
      <c r="P49" s="3"/>
      <c r="Q49" s="3"/>
      <c r="R49" s="3"/>
      <c r="S49" s="3"/>
      <c r="T49" s="3"/>
      <c r="U49" s="5"/>
      <c r="V49" s="125"/>
      <c r="W49" s="3"/>
      <c r="X49" s="3"/>
      <c r="Y49" s="3"/>
      <c r="Z49" s="3"/>
      <c r="AA49" s="8"/>
      <c r="AB49" s="8"/>
      <c r="AC49" s="3"/>
      <c r="AD49" s="3"/>
      <c r="AE49" s="3"/>
      <c r="AF49" s="3"/>
      <c r="AG49" s="3"/>
      <c r="AH49" s="8"/>
      <c r="AI49" s="8"/>
      <c r="AJ49" s="3"/>
      <c r="AK49" s="3"/>
      <c r="AL49" s="3"/>
      <c r="AM49" s="3"/>
      <c r="AN49" s="3"/>
      <c r="AO49" s="8"/>
      <c r="AP49" s="8"/>
      <c r="AQ49" s="3"/>
      <c r="AR49" s="3"/>
      <c r="AS49" s="3"/>
      <c r="AT49" s="3"/>
      <c r="AU49" s="3"/>
      <c r="AV49" s="8"/>
      <c r="AW49" s="8"/>
      <c r="AX49" s="3"/>
      <c r="AY49" s="3"/>
      <c r="AZ49" s="128"/>
      <c r="BA49" s="5"/>
      <c r="BB49" s="58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GP49" s="54"/>
      <c r="GQ49" s="54"/>
    </row>
    <row r="50" spans="1:199" ht="15" hidden="1" customHeight="1" x14ac:dyDescent="0.25">
      <c r="A50" s="102">
        <v>39</v>
      </c>
      <c r="B50" s="103"/>
      <c r="C50" s="104"/>
      <c r="D50" s="1"/>
      <c r="E50" s="105"/>
      <c r="F50" s="105"/>
      <c r="G50" s="100" t="str">
        <f t="shared" si="7"/>
        <v/>
      </c>
      <c r="H50" s="100" t="str">
        <f t="shared" si="8"/>
        <v/>
      </c>
      <c r="I50" s="101">
        <f t="shared" si="9"/>
        <v>0</v>
      </c>
      <c r="J50" s="100" t="str">
        <f t="shared" si="1"/>
        <v/>
      </c>
      <c r="K50" s="6" t="str">
        <f t="shared" si="10"/>
        <v/>
      </c>
      <c r="L50" s="6" t="str">
        <f t="shared" si="11"/>
        <v/>
      </c>
      <c r="M50" s="6">
        <f t="shared" si="12"/>
        <v>0</v>
      </c>
      <c r="N50" s="7">
        <f t="shared" si="13"/>
        <v>0</v>
      </c>
      <c r="O50" s="4"/>
      <c r="P50" s="3"/>
      <c r="Q50" s="3"/>
      <c r="R50" s="3"/>
      <c r="S50" s="3"/>
      <c r="T50" s="3"/>
      <c r="U50" s="5"/>
      <c r="V50" s="125"/>
      <c r="W50" s="3"/>
      <c r="X50" s="3"/>
      <c r="Y50" s="3"/>
      <c r="Z50" s="3"/>
      <c r="AA50" s="8"/>
      <c r="AB50" s="8"/>
      <c r="AC50" s="3"/>
      <c r="AD50" s="3"/>
      <c r="AE50" s="3"/>
      <c r="AF50" s="3"/>
      <c r="AG50" s="3"/>
      <c r="AH50" s="8"/>
      <c r="AI50" s="8"/>
      <c r="AJ50" s="3"/>
      <c r="AK50" s="3"/>
      <c r="AL50" s="3"/>
      <c r="AM50" s="3"/>
      <c r="AN50" s="3"/>
      <c r="AO50" s="8"/>
      <c r="AP50" s="8"/>
      <c r="AQ50" s="3"/>
      <c r="AR50" s="3"/>
      <c r="AS50" s="3"/>
      <c r="AT50" s="3"/>
      <c r="AU50" s="3"/>
      <c r="AV50" s="8"/>
      <c r="AW50" s="8"/>
      <c r="AX50" s="3"/>
      <c r="AY50" s="3"/>
      <c r="AZ50" s="128"/>
      <c r="BA50" s="5"/>
      <c r="BB50" s="58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GP50" s="54"/>
      <c r="GQ50" s="54"/>
    </row>
    <row r="51" spans="1:199" ht="15" hidden="1" customHeight="1" x14ac:dyDescent="0.25">
      <c r="A51" s="102">
        <v>40</v>
      </c>
      <c r="B51" s="103"/>
      <c r="C51" s="104"/>
      <c r="D51" s="1"/>
      <c r="E51" s="105"/>
      <c r="F51" s="105"/>
      <c r="G51" s="100" t="str">
        <f t="shared" si="7"/>
        <v/>
      </c>
      <c r="H51" s="100" t="str">
        <f t="shared" si="8"/>
        <v/>
      </c>
      <c r="I51" s="101">
        <f t="shared" si="9"/>
        <v>0</v>
      </c>
      <c r="J51" s="100" t="str">
        <f t="shared" si="1"/>
        <v/>
      </c>
      <c r="K51" s="6" t="str">
        <f t="shared" si="10"/>
        <v/>
      </c>
      <c r="L51" s="6" t="str">
        <f t="shared" si="11"/>
        <v/>
      </c>
      <c r="M51" s="6">
        <f t="shared" si="12"/>
        <v>0</v>
      </c>
      <c r="N51" s="7">
        <f t="shared" si="13"/>
        <v>0</v>
      </c>
      <c r="O51" s="4"/>
      <c r="P51" s="3"/>
      <c r="Q51" s="3"/>
      <c r="R51" s="3"/>
      <c r="S51" s="3"/>
      <c r="T51" s="3"/>
      <c r="U51" s="5"/>
      <c r="V51" s="125"/>
      <c r="W51" s="3"/>
      <c r="X51" s="3"/>
      <c r="Y51" s="3"/>
      <c r="Z51" s="3"/>
      <c r="AA51" s="8"/>
      <c r="AB51" s="8"/>
      <c r="AC51" s="3"/>
      <c r="AD51" s="3"/>
      <c r="AE51" s="3"/>
      <c r="AF51" s="3"/>
      <c r="AG51" s="3"/>
      <c r="AH51" s="8"/>
      <c r="AI51" s="8"/>
      <c r="AJ51" s="3"/>
      <c r="AK51" s="3"/>
      <c r="AL51" s="3"/>
      <c r="AM51" s="3"/>
      <c r="AN51" s="3"/>
      <c r="AO51" s="8"/>
      <c r="AP51" s="8"/>
      <c r="AQ51" s="3"/>
      <c r="AR51" s="3"/>
      <c r="AS51" s="3"/>
      <c r="AT51" s="3"/>
      <c r="AU51" s="3"/>
      <c r="AV51" s="8"/>
      <c r="AW51" s="8"/>
      <c r="AX51" s="3"/>
      <c r="AY51" s="3"/>
      <c r="AZ51" s="128"/>
      <c r="BA51" s="5"/>
      <c r="BB51" s="58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GP51" s="54"/>
      <c r="GQ51" s="54"/>
    </row>
    <row r="52" spans="1:199" ht="15" hidden="1" customHeight="1" x14ac:dyDescent="0.25">
      <c r="A52" s="102">
        <v>41</v>
      </c>
      <c r="B52" s="103"/>
      <c r="C52" s="104"/>
      <c r="D52" s="1"/>
      <c r="E52" s="105"/>
      <c r="F52" s="105"/>
      <c r="G52" s="100" t="str">
        <f t="shared" si="7"/>
        <v/>
      </c>
      <c r="H52" s="100" t="str">
        <f t="shared" si="8"/>
        <v/>
      </c>
      <c r="I52" s="101">
        <f t="shared" si="9"/>
        <v>0</v>
      </c>
      <c r="J52" s="100" t="str">
        <f t="shared" si="1"/>
        <v/>
      </c>
      <c r="K52" s="6" t="str">
        <f t="shared" si="10"/>
        <v/>
      </c>
      <c r="L52" s="6" t="str">
        <f t="shared" si="11"/>
        <v/>
      </c>
      <c r="M52" s="6">
        <f t="shared" si="12"/>
        <v>0</v>
      </c>
      <c r="N52" s="7">
        <f t="shared" si="13"/>
        <v>0</v>
      </c>
      <c r="O52" s="4"/>
      <c r="P52" s="3"/>
      <c r="Q52" s="3"/>
      <c r="R52" s="3"/>
      <c r="S52" s="3"/>
      <c r="T52" s="3"/>
      <c r="U52" s="5"/>
      <c r="V52" s="125"/>
      <c r="W52" s="3"/>
      <c r="X52" s="3"/>
      <c r="Y52" s="3"/>
      <c r="Z52" s="3"/>
      <c r="AA52" s="8"/>
      <c r="AB52" s="8"/>
      <c r="AC52" s="3"/>
      <c r="AD52" s="3"/>
      <c r="AE52" s="3"/>
      <c r="AF52" s="3"/>
      <c r="AG52" s="3"/>
      <c r="AH52" s="8"/>
      <c r="AI52" s="8"/>
      <c r="AJ52" s="3"/>
      <c r="AK52" s="3"/>
      <c r="AL52" s="3"/>
      <c r="AM52" s="3"/>
      <c r="AN52" s="3"/>
      <c r="AO52" s="8"/>
      <c r="AP52" s="8"/>
      <c r="AQ52" s="3"/>
      <c r="AR52" s="3"/>
      <c r="AS52" s="3"/>
      <c r="AT52" s="3"/>
      <c r="AU52" s="3"/>
      <c r="AV52" s="8"/>
      <c r="AW52" s="8"/>
      <c r="AX52" s="3"/>
      <c r="AY52" s="3"/>
      <c r="AZ52" s="128"/>
      <c r="BA52" s="5"/>
      <c r="BB52" s="58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GP52" s="54"/>
      <c r="GQ52" s="54"/>
    </row>
    <row r="53" spans="1:199" ht="15" hidden="1" customHeight="1" x14ac:dyDescent="0.25">
      <c r="A53" s="97">
        <v>42</v>
      </c>
      <c r="B53" s="103"/>
      <c r="C53" s="104"/>
      <c r="D53" s="1"/>
      <c r="E53" s="105"/>
      <c r="F53" s="105"/>
      <c r="G53" s="100" t="str">
        <f t="shared" si="7"/>
        <v/>
      </c>
      <c r="H53" s="100" t="str">
        <f t="shared" si="8"/>
        <v/>
      </c>
      <c r="I53" s="101">
        <f t="shared" si="9"/>
        <v>0</v>
      </c>
      <c r="J53" s="100" t="str">
        <f t="shared" si="1"/>
        <v/>
      </c>
      <c r="K53" s="6" t="str">
        <f t="shared" si="10"/>
        <v/>
      </c>
      <c r="L53" s="6" t="str">
        <f t="shared" si="11"/>
        <v/>
      </c>
      <c r="M53" s="6">
        <f t="shared" si="12"/>
        <v>0</v>
      </c>
      <c r="N53" s="7">
        <f t="shared" si="13"/>
        <v>0</v>
      </c>
      <c r="O53" s="4"/>
      <c r="P53" s="3"/>
      <c r="Q53" s="3"/>
      <c r="R53" s="3"/>
      <c r="S53" s="3"/>
      <c r="T53" s="3"/>
      <c r="U53" s="5"/>
      <c r="V53" s="125"/>
      <c r="W53" s="3"/>
      <c r="X53" s="3"/>
      <c r="Y53" s="3"/>
      <c r="Z53" s="3"/>
      <c r="AA53" s="8"/>
      <c r="AB53" s="8"/>
      <c r="AC53" s="3"/>
      <c r="AD53" s="3"/>
      <c r="AE53" s="3"/>
      <c r="AF53" s="3"/>
      <c r="AG53" s="3"/>
      <c r="AH53" s="8"/>
      <c r="AI53" s="8"/>
      <c r="AJ53" s="3"/>
      <c r="AK53" s="3"/>
      <c r="AL53" s="3"/>
      <c r="AM53" s="3"/>
      <c r="AN53" s="3"/>
      <c r="AO53" s="8"/>
      <c r="AP53" s="8"/>
      <c r="AQ53" s="3"/>
      <c r="AR53" s="3"/>
      <c r="AS53" s="3"/>
      <c r="AT53" s="3"/>
      <c r="AU53" s="3"/>
      <c r="AV53" s="8"/>
      <c r="AW53" s="8"/>
      <c r="AX53" s="3"/>
      <c r="AY53" s="3"/>
      <c r="AZ53" s="128"/>
      <c r="BA53" s="5"/>
      <c r="BB53" s="58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GP53" s="54"/>
      <c r="GQ53" s="54"/>
    </row>
    <row r="54" spans="1:199" ht="15" hidden="1" customHeight="1" x14ac:dyDescent="0.25">
      <c r="A54" s="102">
        <v>43</v>
      </c>
      <c r="B54" s="103"/>
      <c r="C54" s="104"/>
      <c r="D54" s="1"/>
      <c r="E54" s="105"/>
      <c r="F54" s="105"/>
      <c r="G54" s="100" t="str">
        <f t="shared" si="7"/>
        <v/>
      </c>
      <c r="H54" s="100" t="str">
        <f t="shared" si="8"/>
        <v/>
      </c>
      <c r="I54" s="101">
        <f t="shared" si="9"/>
        <v>0</v>
      </c>
      <c r="J54" s="100" t="str">
        <f t="shared" si="1"/>
        <v/>
      </c>
      <c r="K54" s="6" t="str">
        <f t="shared" si="10"/>
        <v/>
      </c>
      <c r="L54" s="6" t="str">
        <f t="shared" si="11"/>
        <v/>
      </c>
      <c r="M54" s="6">
        <f t="shared" si="12"/>
        <v>0</v>
      </c>
      <c r="N54" s="7">
        <f t="shared" si="13"/>
        <v>0</v>
      </c>
      <c r="O54" s="4"/>
      <c r="P54" s="3"/>
      <c r="Q54" s="3"/>
      <c r="R54" s="3"/>
      <c r="S54" s="3"/>
      <c r="T54" s="3"/>
      <c r="U54" s="5"/>
      <c r="V54" s="125"/>
      <c r="W54" s="3"/>
      <c r="X54" s="3"/>
      <c r="Y54" s="3"/>
      <c r="Z54" s="3"/>
      <c r="AA54" s="8"/>
      <c r="AB54" s="8"/>
      <c r="AC54" s="3"/>
      <c r="AD54" s="3"/>
      <c r="AE54" s="3"/>
      <c r="AF54" s="3"/>
      <c r="AG54" s="3"/>
      <c r="AH54" s="8"/>
      <c r="AI54" s="8"/>
      <c r="AJ54" s="3"/>
      <c r="AK54" s="3"/>
      <c r="AL54" s="3"/>
      <c r="AM54" s="3"/>
      <c r="AN54" s="3"/>
      <c r="AO54" s="8"/>
      <c r="AP54" s="8"/>
      <c r="AQ54" s="3"/>
      <c r="AR54" s="3"/>
      <c r="AS54" s="3"/>
      <c r="AT54" s="3"/>
      <c r="AU54" s="3"/>
      <c r="AV54" s="8"/>
      <c r="AW54" s="8"/>
      <c r="AX54" s="3"/>
      <c r="AY54" s="3"/>
      <c r="AZ54" s="128"/>
      <c r="BA54" s="5"/>
      <c r="BB54" s="58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GP54" s="54"/>
      <c r="GQ54" s="54"/>
    </row>
    <row r="55" spans="1:199" ht="15" hidden="1" customHeight="1" x14ac:dyDescent="0.25">
      <c r="A55" s="102">
        <v>44</v>
      </c>
      <c r="B55" s="103"/>
      <c r="C55" s="104"/>
      <c r="D55" s="1"/>
      <c r="E55" s="105"/>
      <c r="F55" s="105"/>
      <c r="G55" s="100" t="str">
        <f t="shared" si="7"/>
        <v/>
      </c>
      <c r="H55" s="100" t="str">
        <f t="shared" si="8"/>
        <v/>
      </c>
      <c r="I55" s="101">
        <f t="shared" si="9"/>
        <v>0</v>
      </c>
      <c r="J55" s="100" t="str">
        <f t="shared" si="1"/>
        <v/>
      </c>
      <c r="K55" s="6" t="str">
        <f t="shared" si="10"/>
        <v/>
      </c>
      <c r="L55" s="6" t="str">
        <f t="shared" si="11"/>
        <v/>
      </c>
      <c r="M55" s="6">
        <f t="shared" si="12"/>
        <v>0</v>
      </c>
      <c r="N55" s="7">
        <f t="shared" si="13"/>
        <v>0</v>
      </c>
      <c r="O55" s="4"/>
      <c r="P55" s="3"/>
      <c r="Q55" s="3"/>
      <c r="R55" s="3"/>
      <c r="S55" s="3"/>
      <c r="T55" s="3"/>
      <c r="U55" s="5"/>
      <c r="V55" s="125"/>
      <c r="W55" s="3"/>
      <c r="X55" s="3"/>
      <c r="Y55" s="3"/>
      <c r="Z55" s="3"/>
      <c r="AA55" s="8"/>
      <c r="AB55" s="8"/>
      <c r="AC55" s="3"/>
      <c r="AD55" s="3"/>
      <c r="AE55" s="3"/>
      <c r="AF55" s="3"/>
      <c r="AG55" s="3"/>
      <c r="AH55" s="8"/>
      <c r="AI55" s="8"/>
      <c r="AJ55" s="3"/>
      <c r="AK55" s="3"/>
      <c r="AL55" s="3"/>
      <c r="AM55" s="3"/>
      <c r="AN55" s="3"/>
      <c r="AO55" s="8"/>
      <c r="AP55" s="8"/>
      <c r="AQ55" s="3"/>
      <c r="AR55" s="3"/>
      <c r="AS55" s="3"/>
      <c r="AT55" s="3"/>
      <c r="AU55" s="3"/>
      <c r="AV55" s="8"/>
      <c r="AW55" s="8"/>
      <c r="AX55" s="3"/>
      <c r="AY55" s="3"/>
      <c r="AZ55" s="128"/>
      <c r="BA55" s="5"/>
      <c r="BB55" s="58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GP55" s="54"/>
      <c r="GQ55" s="54"/>
    </row>
    <row r="56" spans="1:199" ht="15" hidden="1" customHeight="1" x14ac:dyDescent="0.25">
      <c r="A56" s="102">
        <v>45</v>
      </c>
      <c r="B56" s="103"/>
      <c r="C56" s="104"/>
      <c r="D56" s="1"/>
      <c r="E56" s="105"/>
      <c r="F56" s="105"/>
      <c r="G56" s="100" t="str">
        <f t="shared" si="7"/>
        <v/>
      </c>
      <c r="H56" s="100" t="str">
        <f t="shared" si="8"/>
        <v/>
      </c>
      <c r="I56" s="101">
        <f t="shared" si="9"/>
        <v>0</v>
      </c>
      <c r="J56" s="100" t="str">
        <f t="shared" si="1"/>
        <v/>
      </c>
      <c r="K56" s="6" t="str">
        <f t="shared" si="10"/>
        <v/>
      </c>
      <c r="L56" s="6" t="str">
        <f t="shared" si="11"/>
        <v/>
      </c>
      <c r="M56" s="6">
        <f t="shared" si="12"/>
        <v>0</v>
      </c>
      <c r="N56" s="7">
        <f t="shared" si="13"/>
        <v>0</v>
      </c>
      <c r="O56" s="4"/>
      <c r="P56" s="3"/>
      <c r="Q56" s="3"/>
      <c r="R56" s="3"/>
      <c r="S56" s="3"/>
      <c r="T56" s="3"/>
      <c r="U56" s="5"/>
      <c r="V56" s="125"/>
      <c r="W56" s="3"/>
      <c r="X56" s="3"/>
      <c r="Y56" s="3"/>
      <c r="Z56" s="3"/>
      <c r="AA56" s="8"/>
      <c r="AB56" s="8"/>
      <c r="AC56" s="3"/>
      <c r="AD56" s="3"/>
      <c r="AE56" s="3"/>
      <c r="AF56" s="3"/>
      <c r="AG56" s="3"/>
      <c r="AH56" s="8"/>
      <c r="AI56" s="8"/>
      <c r="AJ56" s="3"/>
      <c r="AK56" s="3"/>
      <c r="AL56" s="3"/>
      <c r="AM56" s="3"/>
      <c r="AN56" s="3"/>
      <c r="AO56" s="8"/>
      <c r="AP56" s="8"/>
      <c r="AQ56" s="3"/>
      <c r="AR56" s="3"/>
      <c r="AS56" s="3"/>
      <c r="AT56" s="3"/>
      <c r="AU56" s="3"/>
      <c r="AV56" s="8"/>
      <c r="AW56" s="8"/>
      <c r="AX56" s="3"/>
      <c r="AY56" s="3"/>
      <c r="AZ56" s="128"/>
      <c r="BA56" s="5"/>
      <c r="BB56" s="58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GP56" s="54"/>
      <c r="GQ56" s="54"/>
    </row>
    <row r="57" spans="1:199" ht="15" hidden="1" customHeight="1" x14ac:dyDescent="0.25">
      <c r="A57" s="97">
        <v>46</v>
      </c>
      <c r="B57" s="103"/>
      <c r="C57" s="104"/>
      <c r="D57" s="1"/>
      <c r="E57" s="105"/>
      <c r="F57" s="105"/>
      <c r="G57" s="100" t="str">
        <f t="shared" si="7"/>
        <v/>
      </c>
      <c r="H57" s="100" t="str">
        <f t="shared" si="8"/>
        <v/>
      </c>
      <c r="I57" s="101">
        <f t="shared" si="9"/>
        <v>0</v>
      </c>
      <c r="J57" s="100" t="str">
        <f t="shared" si="1"/>
        <v/>
      </c>
      <c r="K57" s="6" t="str">
        <f t="shared" si="10"/>
        <v/>
      </c>
      <c r="L57" s="6" t="str">
        <f t="shared" si="11"/>
        <v/>
      </c>
      <c r="M57" s="6">
        <f t="shared" si="12"/>
        <v>0</v>
      </c>
      <c r="N57" s="7">
        <f t="shared" si="13"/>
        <v>0</v>
      </c>
      <c r="O57" s="4"/>
      <c r="P57" s="3"/>
      <c r="Q57" s="3"/>
      <c r="R57" s="3"/>
      <c r="S57" s="3"/>
      <c r="T57" s="3"/>
      <c r="U57" s="5"/>
      <c r="V57" s="125"/>
      <c r="W57" s="3"/>
      <c r="X57" s="3"/>
      <c r="Y57" s="3"/>
      <c r="Z57" s="3"/>
      <c r="AA57" s="8"/>
      <c r="AB57" s="8"/>
      <c r="AC57" s="3"/>
      <c r="AD57" s="3"/>
      <c r="AE57" s="3"/>
      <c r="AF57" s="3"/>
      <c r="AG57" s="3"/>
      <c r="AH57" s="8"/>
      <c r="AI57" s="8"/>
      <c r="AJ57" s="3"/>
      <c r="AK57" s="3"/>
      <c r="AL57" s="3"/>
      <c r="AM57" s="3"/>
      <c r="AN57" s="3"/>
      <c r="AO57" s="8"/>
      <c r="AP57" s="8"/>
      <c r="AQ57" s="3"/>
      <c r="AR57" s="3"/>
      <c r="AS57" s="3"/>
      <c r="AT57" s="3"/>
      <c r="AU57" s="3"/>
      <c r="AV57" s="8"/>
      <c r="AW57" s="8"/>
      <c r="AX57" s="3"/>
      <c r="AY57" s="3"/>
      <c r="AZ57" s="128"/>
      <c r="BA57" s="5"/>
      <c r="BB57" s="58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GP57" s="54"/>
      <c r="GQ57" s="54"/>
    </row>
    <row r="58" spans="1:199" ht="15" hidden="1" customHeight="1" x14ac:dyDescent="0.25">
      <c r="A58" s="102">
        <v>47</v>
      </c>
      <c r="B58" s="103"/>
      <c r="C58" s="104"/>
      <c r="D58" s="1"/>
      <c r="E58" s="105"/>
      <c r="F58" s="105"/>
      <c r="G58" s="100" t="str">
        <f t="shared" si="7"/>
        <v/>
      </c>
      <c r="H58" s="100" t="str">
        <f t="shared" si="8"/>
        <v/>
      </c>
      <c r="I58" s="101">
        <f t="shared" si="9"/>
        <v>0</v>
      </c>
      <c r="J58" s="100" t="str">
        <f t="shared" si="1"/>
        <v/>
      </c>
      <c r="K58" s="6" t="str">
        <f t="shared" si="10"/>
        <v/>
      </c>
      <c r="L58" s="6" t="str">
        <f t="shared" si="11"/>
        <v/>
      </c>
      <c r="M58" s="6">
        <f t="shared" si="12"/>
        <v>0</v>
      </c>
      <c r="N58" s="7">
        <f t="shared" si="13"/>
        <v>0</v>
      </c>
      <c r="O58" s="4"/>
      <c r="P58" s="3"/>
      <c r="Q58" s="3"/>
      <c r="R58" s="3"/>
      <c r="S58" s="3"/>
      <c r="T58" s="3"/>
      <c r="U58" s="5"/>
      <c r="V58" s="125"/>
      <c r="W58" s="3"/>
      <c r="X58" s="3"/>
      <c r="Y58" s="3"/>
      <c r="Z58" s="3"/>
      <c r="AA58" s="8"/>
      <c r="AB58" s="8"/>
      <c r="AC58" s="3"/>
      <c r="AD58" s="3"/>
      <c r="AE58" s="3"/>
      <c r="AF58" s="3"/>
      <c r="AG58" s="3"/>
      <c r="AH58" s="8"/>
      <c r="AI58" s="8"/>
      <c r="AJ58" s="3"/>
      <c r="AK58" s="3"/>
      <c r="AL58" s="3"/>
      <c r="AM58" s="3"/>
      <c r="AN58" s="3"/>
      <c r="AO58" s="8"/>
      <c r="AP58" s="8"/>
      <c r="AQ58" s="3"/>
      <c r="AR58" s="3"/>
      <c r="AS58" s="3"/>
      <c r="AT58" s="3"/>
      <c r="AU58" s="3"/>
      <c r="AV58" s="8"/>
      <c r="AW58" s="8"/>
      <c r="AX58" s="3"/>
      <c r="AY58" s="3"/>
      <c r="AZ58" s="128"/>
      <c r="BA58" s="5"/>
      <c r="BB58" s="58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GP58" s="54"/>
      <c r="GQ58" s="54"/>
    </row>
    <row r="59" spans="1:199" ht="15" hidden="1" customHeight="1" x14ac:dyDescent="0.25">
      <c r="A59" s="102">
        <v>48</v>
      </c>
      <c r="B59" s="103"/>
      <c r="C59" s="104"/>
      <c r="D59" s="1"/>
      <c r="E59" s="105"/>
      <c r="F59" s="105"/>
      <c r="G59" s="100" t="str">
        <f t="shared" si="7"/>
        <v/>
      </c>
      <c r="H59" s="100" t="str">
        <f t="shared" si="8"/>
        <v/>
      </c>
      <c r="I59" s="101">
        <f t="shared" si="9"/>
        <v>0</v>
      </c>
      <c r="J59" s="100" t="str">
        <f t="shared" si="1"/>
        <v/>
      </c>
      <c r="K59" s="6" t="str">
        <f t="shared" si="10"/>
        <v/>
      </c>
      <c r="L59" s="6" t="str">
        <f t="shared" si="11"/>
        <v/>
      </c>
      <c r="M59" s="6">
        <f t="shared" si="12"/>
        <v>0</v>
      </c>
      <c r="N59" s="7">
        <f t="shared" si="13"/>
        <v>0</v>
      </c>
      <c r="O59" s="4"/>
      <c r="P59" s="3"/>
      <c r="Q59" s="3"/>
      <c r="R59" s="3"/>
      <c r="S59" s="3"/>
      <c r="T59" s="3"/>
      <c r="U59" s="5"/>
      <c r="V59" s="125"/>
      <c r="W59" s="3"/>
      <c r="X59" s="3"/>
      <c r="Y59" s="3"/>
      <c r="Z59" s="3"/>
      <c r="AA59" s="8"/>
      <c r="AB59" s="8"/>
      <c r="AC59" s="3"/>
      <c r="AD59" s="3"/>
      <c r="AE59" s="3"/>
      <c r="AF59" s="3"/>
      <c r="AG59" s="3"/>
      <c r="AH59" s="8"/>
      <c r="AI59" s="8"/>
      <c r="AJ59" s="3"/>
      <c r="AK59" s="3"/>
      <c r="AL59" s="3"/>
      <c r="AM59" s="3"/>
      <c r="AN59" s="3"/>
      <c r="AO59" s="8"/>
      <c r="AP59" s="8"/>
      <c r="AQ59" s="3"/>
      <c r="AR59" s="3"/>
      <c r="AS59" s="3"/>
      <c r="AT59" s="3"/>
      <c r="AU59" s="3"/>
      <c r="AV59" s="8"/>
      <c r="AW59" s="8"/>
      <c r="AX59" s="3"/>
      <c r="AY59" s="3"/>
      <c r="AZ59" s="128"/>
      <c r="BA59" s="5"/>
      <c r="BB59" s="58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GP59" s="54"/>
      <c r="GQ59" s="54"/>
    </row>
    <row r="60" spans="1:199" ht="15" hidden="1" customHeight="1" x14ac:dyDescent="0.25">
      <c r="A60" s="102">
        <v>49</v>
      </c>
      <c r="B60" s="103"/>
      <c r="C60" s="104"/>
      <c r="D60" s="1"/>
      <c r="E60" s="105"/>
      <c r="F60" s="105"/>
      <c r="G60" s="100" t="str">
        <f t="shared" si="7"/>
        <v/>
      </c>
      <c r="H60" s="100" t="str">
        <f t="shared" si="8"/>
        <v/>
      </c>
      <c r="I60" s="101">
        <f t="shared" si="9"/>
        <v>0</v>
      </c>
      <c r="J60" s="100" t="str">
        <f t="shared" si="1"/>
        <v/>
      </c>
      <c r="K60" s="6" t="str">
        <f t="shared" si="10"/>
        <v/>
      </c>
      <c r="L60" s="6" t="str">
        <f t="shared" si="11"/>
        <v/>
      </c>
      <c r="M60" s="6">
        <f t="shared" si="12"/>
        <v>0</v>
      </c>
      <c r="N60" s="7">
        <f t="shared" si="13"/>
        <v>0</v>
      </c>
      <c r="O60" s="4"/>
      <c r="P60" s="3"/>
      <c r="Q60" s="3"/>
      <c r="R60" s="3"/>
      <c r="S60" s="3"/>
      <c r="T60" s="3"/>
      <c r="U60" s="5"/>
      <c r="V60" s="125"/>
      <c r="W60" s="3"/>
      <c r="X60" s="3"/>
      <c r="Y60" s="3"/>
      <c r="Z60" s="3"/>
      <c r="AA60" s="8"/>
      <c r="AB60" s="8"/>
      <c r="AC60" s="3"/>
      <c r="AD60" s="3"/>
      <c r="AE60" s="3"/>
      <c r="AF60" s="3"/>
      <c r="AG60" s="3"/>
      <c r="AH60" s="8"/>
      <c r="AI60" s="8"/>
      <c r="AJ60" s="3"/>
      <c r="AK60" s="3"/>
      <c r="AL60" s="3"/>
      <c r="AM60" s="3"/>
      <c r="AN60" s="3"/>
      <c r="AO60" s="8"/>
      <c r="AP60" s="8"/>
      <c r="AQ60" s="3"/>
      <c r="AR60" s="3"/>
      <c r="AS60" s="3"/>
      <c r="AT60" s="3"/>
      <c r="AU60" s="3"/>
      <c r="AV60" s="8"/>
      <c r="AW60" s="8"/>
      <c r="AX60" s="3"/>
      <c r="AY60" s="3"/>
      <c r="AZ60" s="128"/>
      <c r="BA60" s="5"/>
      <c r="BB60" s="58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GP60" s="54"/>
      <c r="GQ60" s="54"/>
    </row>
    <row r="61" spans="1:199" ht="15" hidden="1" customHeight="1" x14ac:dyDescent="0.25">
      <c r="A61" s="102">
        <v>50</v>
      </c>
      <c r="B61" s="103"/>
      <c r="C61" s="104"/>
      <c r="D61" s="1"/>
      <c r="E61" s="105"/>
      <c r="F61" s="105"/>
      <c r="G61" s="100" t="str">
        <f t="shared" si="7"/>
        <v/>
      </c>
      <c r="H61" s="100" t="str">
        <f t="shared" si="8"/>
        <v/>
      </c>
      <c r="I61" s="101">
        <f t="shared" si="9"/>
        <v>0</v>
      </c>
      <c r="J61" s="100" t="str">
        <f t="shared" si="1"/>
        <v/>
      </c>
      <c r="K61" s="6" t="str">
        <f t="shared" si="10"/>
        <v/>
      </c>
      <c r="L61" s="6" t="str">
        <f t="shared" si="11"/>
        <v/>
      </c>
      <c r="M61" s="6">
        <f t="shared" si="12"/>
        <v>0</v>
      </c>
      <c r="N61" s="7">
        <f t="shared" si="13"/>
        <v>0</v>
      </c>
      <c r="O61" s="4"/>
      <c r="P61" s="3"/>
      <c r="Q61" s="3"/>
      <c r="R61" s="3"/>
      <c r="S61" s="3"/>
      <c r="T61" s="3"/>
      <c r="U61" s="5"/>
      <c r="V61" s="125"/>
      <c r="W61" s="3"/>
      <c r="X61" s="3"/>
      <c r="Y61" s="3"/>
      <c r="Z61" s="3"/>
      <c r="AA61" s="8"/>
      <c r="AB61" s="8"/>
      <c r="AC61" s="3"/>
      <c r="AD61" s="3"/>
      <c r="AE61" s="3"/>
      <c r="AF61" s="3"/>
      <c r="AG61" s="3"/>
      <c r="AH61" s="8"/>
      <c r="AI61" s="8"/>
      <c r="AJ61" s="3"/>
      <c r="AK61" s="3"/>
      <c r="AL61" s="3"/>
      <c r="AM61" s="3"/>
      <c r="AN61" s="3"/>
      <c r="AO61" s="8"/>
      <c r="AP61" s="8"/>
      <c r="AQ61" s="3"/>
      <c r="AR61" s="3"/>
      <c r="AS61" s="3"/>
      <c r="AT61" s="3"/>
      <c r="AU61" s="3"/>
      <c r="AV61" s="8"/>
      <c r="AW61" s="8"/>
      <c r="AX61" s="3"/>
      <c r="AY61" s="3"/>
      <c r="AZ61" s="128"/>
      <c r="BA61" s="5"/>
      <c r="BB61" s="58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GP61" s="54"/>
      <c r="GQ61" s="54"/>
    </row>
    <row r="62" spans="1:199" ht="15" hidden="1" customHeight="1" x14ac:dyDescent="0.25">
      <c r="A62" s="97">
        <v>51</v>
      </c>
      <c r="B62" s="103"/>
      <c r="C62" s="104"/>
      <c r="D62" s="1"/>
      <c r="E62" s="105"/>
      <c r="F62" s="105"/>
      <c r="G62" s="100" t="str">
        <f t="shared" si="7"/>
        <v/>
      </c>
      <c r="H62" s="100" t="str">
        <f t="shared" si="8"/>
        <v/>
      </c>
      <c r="I62" s="101">
        <f t="shared" si="9"/>
        <v>0</v>
      </c>
      <c r="J62" s="100" t="str">
        <f t="shared" si="1"/>
        <v/>
      </c>
      <c r="K62" s="6" t="str">
        <f t="shared" si="10"/>
        <v/>
      </c>
      <c r="L62" s="6" t="str">
        <f t="shared" si="11"/>
        <v/>
      </c>
      <c r="M62" s="6">
        <f t="shared" si="12"/>
        <v>0</v>
      </c>
      <c r="N62" s="7">
        <f t="shared" si="13"/>
        <v>0</v>
      </c>
      <c r="O62" s="4"/>
      <c r="P62" s="3"/>
      <c r="Q62" s="3"/>
      <c r="R62" s="3"/>
      <c r="S62" s="3"/>
      <c r="T62" s="3"/>
      <c r="U62" s="5"/>
      <c r="V62" s="125"/>
      <c r="W62" s="3"/>
      <c r="X62" s="3"/>
      <c r="Y62" s="3"/>
      <c r="Z62" s="3"/>
      <c r="AA62" s="8"/>
      <c r="AB62" s="8"/>
      <c r="AC62" s="3"/>
      <c r="AD62" s="3"/>
      <c r="AE62" s="3"/>
      <c r="AF62" s="3"/>
      <c r="AG62" s="3"/>
      <c r="AH62" s="8"/>
      <c r="AI62" s="8"/>
      <c r="AJ62" s="3"/>
      <c r="AK62" s="3"/>
      <c r="AL62" s="3"/>
      <c r="AM62" s="3"/>
      <c r="AN62" s="3"/>
      <c r="AO62" s="8"/>
      <c r="AP62" s="8"/>
      <c r="AQ62" s="3"/>
      <c r="AR62" s="3"/>
      <c r="AS62" s="3"/>
      <c r="AT62" s="3"/>
      <c r="AU62" s="3"/>
      <c r="AV62" s="8"/>
      <c r="AW62" s="8"/>
      <c r="AX62" s="3"/>
      <c r="AY62" s="3"/>
      <c r="AZ62" s="128"/>
      <c r="BA62" s="5"/>
      <c r="BB62" s="58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GP62" s="54"/>
      <c r="GQ62" s="54"/>
    </row>
    <row r="63" spans="1:199" ht="15" hidden="1" customHeight="1" x14ac:dyDescent="0.25">
      <c r="A63" s="102">
        <v>52</v>
      </c>
      <c r="B63" s="103"/>
      <c r="C63" s="104"/>
      <c r="D63" s="1"/>
      <c r="E63" s="105"/>
      <c r="F63" s="105"/>
      <c r="G63" s="100" t="str">
        <f t="shared" si="7"/>
        <v/>
      </c>
      <c r="H63" s="100" t="str">
        <f t="shared" si="8"/>
        <v/>
      </c>
      <c r="I63" s="101">
        <f t="shared" si="9"/>
        <v>0</v>
      </c>
      <c r="J63" s="100" t="str">
        <f t="shared" si="1"/>
        <v/>
      </c>
      <c r="K63" s="6" t="str">
        <f t="shared" si="10"/>
        <v/>
      </c>
      <c r="L63" s="6" t="str">
        <f t="shared" si="11"/>
        <v/>
      </c>
      <c r="M63" s="6">
        <f t="shared" si="12"/>
        <v>0</v>
      </c>
      <c r="N63" s="7">
        <f t="shared" si="13"/>
        <v>0</v>
      </c>
      <c r="O63" s="4"/>
      <c r="P63" s="3"/>
      <c r="Q63" s="3"/>
      <c r="R63" s="3"/>
      <c r="S63" s="3"/>
      <c r="T63" s="3"/>
      <c r="U63" s="5"/>
      <c r="V63" s="125"/>
      <c r="W63" s="3"/>
      <c r="X63" s="3"/>
      <c r="Y63" s="3"/>
      <c r="Z63" s="3"/>
      <c r="AA63" s="8"/>
      <c r="AB63" s="8"/>
      <c r="AC63" s="3"/>
      <c r="AD63" s="3"/>
      <c r="AE63" s="3"/>
      <c r="AF63" s="3"/>
      <c r="AG63" s="3"/>
      <c r="AH63" s="8"/>
      <c r="AI63" s="8"/>
      <c r="AJ63" s="3"/>
      <c r="AK63" s="3"/>
      <c r="AL63" s="3"/>
      <c r="AM63" s="3"/>
      <c r="AN63" s="3"/>
      <c r="AO63" s="8"/>
      <c r="AP63" s="8"/>
      <c r="AQ63" s="3"/>
      <c r="AR63" s="3"/>
      <c r="AS63" s="3"/>
      <c r="AT63" s="3"/>
      <c r="AU63" s="3"/>
      <c r="AV63" s="8"/>
      <c r="AW63" s="8"/>
      <c r="AX63" s="3"/>
      <c r="AY63" s="3"/>
      <c r="AZ63" s="128"/>
      <c r="BA63" s="5"/>
      <c r="BB63" s="58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GP63" s="54"/>
      <c r="GQ63" s="54"/>
    </row>
    <row r="64" spans="1:199" ht="15" hidden="1" customHeight="1" x14ac:dyDescent="0.25">
      <c r="A64" s="102">
        <v>53</v>
      </c>
      <c r="B64" s="103"/>
      <c r="C64" s="104"/>
      <c r="D64" s="1"/>
      <c r="E64" s="105"/>
      <c r="F64" s="105"/>
      <c r="G64" s="100" t="str">
        <f t="shared" si="7"/>
        <v/>
      </c>
      <c r="H64" s="100" t="str">
        <f t="shared" si="8"/>
        <v/>
      </c>
      <c r="I64" s="101">
        <f t="shared" si="9"/>
        <v>0</v>
      </c>
      <c r="J64" s="100" t="str">
        <f t="shared" si="1"/>
        <v/>
      </c>
      <c r="K64" s="6" t="str">
        <f t="shared" si="10"/>
        <v/>
      </c>
      <c r="L64" s="6" t="str">
        <f t="shared" si="11"/>
        <v/>
      </c>
      <c r="M64" s="6">
        <f t="shared" si="12"/>
        <v>0</v>
      </c>
      <c r="N64" s="7">
        <f t="shared" si="13"/>
        <v>0</v>
      </c>
      <c r="O64" s="4"/>
      <c r="P64" s="3"/>
      <c r="Q64" s="3"/>
      <c r="R64" s="3"/>
      <c r="S64" s="3"/>
      <c r="T64" s="3"/>
      <c r="U64" s="5"/>
      <c r="V64" s="125"/>
      <c r="W64" s="3"/>
      <c r="X64" s="3"/>
      <c r="Y64" s="3"/>
      <c r="Z64" s="3"/>
      <c r="AA64" s="8"/>
      <c r="AB64" s="8"/>
      <c r="AC64" s="3"/>
      <c r="AD64" s="3"/>
      <c r="AE64" s="3"/>
      <c r="AF64" s="3"/>
      <c r="AG64" s="3"/>
      <c r="AH64" s="8"/>
      <c r="AI64" s="8"/>
      <c r="AJ64" s="3"/>
      <c r="AK64" s="3"/>
      <c r="AL64" s="3"/>
      <c r="AM64" s="3"/>
      <c r="AN64" s="3"/>
      <c r="AO64" s="8"/>
      <c r="AP64" s="8"/>
      <c r="AQ64" s="3"/>
      <c r="AR64" s="3"/>
      <c r="AS64" s="3"/>
      <c r="AT64" s="3"/>
      <c r="AU64" s="3"/>
      <c r="AV64" s="8"/>
      <c r="AW64" s="8"/>
      <c r="AX64" s="3"/>
      <c r="AY64" s="3"/>
      <c r="AZ64" s="128"/>
      <c r="BA64" s="5"/>
      <c r="BB64" s="58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GP64" s="54"/>
      <c r="GQ64" s="54"/>
    </row>
    <row r="65" spans="1:199" ht="15" hidden="1" customHeight="1" x14ac:dyDescent="0.25">
      <c r="A65" s="102">
        <v>54</v>
      </c>
      <c r="B65" s="103"/>
      <c r="C65" s="104"/>
      <c r="D65" s="1"/>
      <c r="E65" s="105"/>
      <c r="F65" s="105"/>
      <c r="G65" s="100" t="str">
        <f t="shared" si="7"/>
        <v/>
      </c>
      <c r="H65" s="100" t="str">
        <f t="shared" si="8"/>
        <v/>
      </c>
      <c r="I65" s="101">
        <f t="shared" si="9"/>
        <v>0</v>
      </c>
      <c r="J65" s="100" t="str">
        <f t="shared" si="1"/>
        <v/>
      </c>
      <c r="K65" s="6" t="str">
        <f t="shared" si="10"/>
        <v/>
      </c>
      <c r="L65" s="6" t="str">
        <f t="shared" si="11"/>
        <v/>
      </c>
      <c r="M65" s="6">
        <f t="shared" si="12"/>
        <v>0</v>
      </c>
      <c r="N65" s="7">
        <f t="shared" si="13"/>
        <v>0</v>
      </c>
      <c r="O65" s="4"/>
      <c r="P65" s="3"/>
      <c r="Q65" s="3"/>
      <c r="R65" s="3"/>
      <c r="S65" s="3"/>
      <c r="T65" s="3"/>
      <c r="U65" s="5"/>
      <c r="V65" s="125"/>
      <c r="W65" s="3"/>
      <c r="X65" s="3"/>
      <c r="Y65" s="3"/>
      <c r="Z65" s="3"/>
      <c r="AA65" s="8"/>
      <c r="AB65" s="8"/>
      <c r="AC65" s="3"/>
      <c r="AD65" s="3"/>
      <c r="AE65" s="3"/>
      <c r="AF65" s="3"/>
      <c r="AG65" s="3"/>
      <c r="AH65" s="8"/>
      <c r="AI65" s="8"/>
      <c r="AJ65" s="3"/>
      <c r="AK65" s="3"/>
      <c r="AL65" s="3"/>
      <c r="AM65" s="3"/>
      <c r="AN65" s="3"/>
      <c r="AO65" s="8"/>
      <c r="AP65" s="8"/>
      <c r="AQ65" s="3"/>
      <c r="AR65" s="3"/>
      <c r="AS65" s="3"/>
      <c r="AT65" s="3"/>
      <c r="AU65" s="3"/>
      <c r="AV65" s="8"/>
      <c r="AW65" s="8"/>
      <c r="AX65" s="3"/>
      <c r="AY65" s="3"/>
      <c r="AZ65" s="128"/>
      <c r="BA65" s="5"/>
      <c r="BB65" s="58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GP65" s="54"/>
      <c r="GQ65" s="54"/>
    </row>
    <row r="66" spans="1:199" ht="15" hidden="1" customHeight="1" x14ac:dyDescent="0.25">
      <c r="A66" s="97">
        <v>55</v>
      </c>
      <c r="B66" s="103"/>
      <c r="C66" s="104"/>
      <c r="D66" s="1"/>
      <c r="E66" s="105"/>
      <c r="F66" s="105"/>
      <c r="G66" s="100" t="str">
        <f t="shared" si="7"/>
        <v/>
      </c>
      <c r="H66" s="100" t="str">
        <f t="shared" si="8"/>
        <v/>
      </c>
      <c r="I66" s="101">
        <f t="shared" si="9"/>
        <v>0</v>
      </c>
      <c r="J66" s="100" t="str">
        <f t="shared" si="1"/>
        <v/>
      </c>
      <c r="K66" s="6" t="str">
        <f t="shared" si="10"/>
        <v/>
      </c>
      <c r="L66" s="6" t="str">
        <f t="shared" si="11"/>
        <v/>
      </c>
      <c r="M66" s="6">
        <f t="shared" si="12"/>
        <v>0</v>
      </c>
      <c r="N66" s="7">
        <f t="shared" si="13"/>
        <v>0</v>
      </c>
      <c r="O66" s="4"/>
      <c r="P66" s="3"/>
      <c r="Q66" s="3"/>
      <c r="R66" s="3"/>
      <c r="S66" s="3"/>
      <c r="T66" s="3"/>
      <c r="U66" s="5"/>
      <c r="V66" s="125"/>
      <c r="W66" s="3"/>
      <c r="X66" s="3"/>
      <c r="Y66" s="3"/>
      <c r="Z66" s="3"/>
      <c r="AA66" s="8"/>
      <c r="AB66" s="8"/>
      <c r="AC66" s="3"/>
      <c r="AD66" s="3"/>
      <c r="AE66" s="3"/>
      <c r="AF66" s="3"/>
      <c r="AG66" s="3"/>
      <c r="AH66" s="8"/>
      <c r="AI66" s="8"/>
      <c r="AJ66" s="3"/>
      <c r="AK66" s="3"/>
      <c r="AL66" s="3"/>
      <c r="AM66" s="3"/>
      <c r="AN66" s="3"/>
      <c r="AO66" s="8"/>
      <c r="AP66" s="8"/>
      <c r="AQ66" s="3"/>
      <c r="AR66" s="3"/>
      <c r="AS66" s="3"/>
      <c r="AT66" s="3"/>
      <c r="AU66" s="3"/>
      <c r="AV66" s="8"/>
      <c r="AW66" s="8"/>
      <c r="AX66" s="3"/>
      <c r="AY66" s="3"/>
      <c r="AZ66" s="128"/>
      <c r="BA66" s="5"/>
      <c r="BB66" s="58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GP66" s="54"/>
      <c r="GQ66" s="54"/>
    </row>
    <row r="67" spans="1:199" ht="15" hidden="1" customHeight="1" x14ac:dyDescent="0.25">
      <c r="A67" s="102">
        <v>56</v>
      </c>
      <c r="B67" s="103"/>
      <c r="C67" s="104"/>
      <c r="D67" s="1"/>
      <c r="E67" s="105"/>
      <c r="F67" s="105"/>
      <c r="G67" s="100" t="str">
        <f t="shared" si="7"/>
        <v/>
      </c>
      <c r="H67" s="100" t="str">
        <f t="shared" si="8"/>
        <v/>
      </c>
      <c r="I67" s="101">
        <f t="shared" si="9"/>
        <v>0</v>
      </c>
      <c r="J67" s="100" t="str">
        <f t="shared" si="1"/>
        <v/>
      </c>
      <c r="K67" s="6" t="str">
        <f t="shared" si="10"/>
        <v/>
      </c>
      <c r="L67" s="6" t="str">
        <f t="shared" si="11"/>
        <v/>
      </c>
      <c r="M67" s="6">
        <f t="shared" si="12"/>
        <v>0</v>
      </c>
      <c r="N67" s="7">
        <f t="shared" si="13"/>
        <v>0</v>
      </c>
      <c r="O67" s="4"/>
      <c r="P67" s="3"/>
      <c r="Q67" s="3"/>
      <c r="R67" s="3"/>
      <c r="S67" s="3"/>
      <c r="T67" s="3"/>
      <c r="U67" s="5"/>
      <c r="V67" s="125"/>
      <c r="W67" s="3"/>
      <c r="X67" s="3"/>
      <c r="Y67" s="3"/>
      <c r="Z67" s="3"/>
      <c r="AA67" s="8"/>
      <c r="AB67" s="8"/>
      <c r="AC67" s="3"/>
      <c r="AD67" s="3"/>
      <c r="AE67" s="3"/>
      <c r="AF67" s="3"/>
      <c r="AG67" s="3"/>
      <c r="AH67" s="8"/>
      <c r="AI67" s="8"/>
      <c r="AJ67" s="3"/>
      <c r="AK67" s="3"/>
      <c r="AL67" s="3"/>
      <c r="AM67" s="3"/>
      <c r="AN67" s="3"/>
      <c r="AO67" s="8"/>
      <c r="AP67" s="8"/>
      <c r="AQ67" s="3"/>
      <c r="AR67" s="3"/>
      <c r="AS67" s="3"/>
      <c r="AT67" s="3"/>
      <c r="AU67" s="3"/>
      <c r="AV67" s="8"/>
      <c r="AW67" s="8"/>
      <c r="AX67" s="3"/>
      <c r="AY67" s="3"/>
      <c r="AZ67" s="128"/>
      <c r="BA67" s="5"/>
      <c r="BB67" s="58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GP67" s="54"/>
      <c r="GQ67" s="54"/>
    </row>
    <row r="68" spans="1:199" ht="15" hidden="1" customHeight="1" x14ac:dyDescent="0.25">
      <c r="A68" s="102">
        <v>57</v>
      </c>
      <c r="B68" s="103"/>
      <c r="C68" s="104"/>
      <c r="D68" s="1"/>
      <c r="E68" s="105"/>
      <c r="F68" s="105"/>
      <c r="G68" s="100" t="str">
        <f t="shared" si="7"/>
        <v/>
      </c>
      <c r="H68" s="100" t="str">
        <f t="shared" si="8"/>
        <v/>
      </c>
      <c r="I68" s="101">
        <f t="shared" si="9"/>
        <v>0</v>
      </c>
      <c r="J68" s="100" t="str">
        <f t="shared" si="1"/>
        <v/>
      </c>
      <c r="K68" s="6" t="str">
        <f t="shared" si="10"/>
        <v/>
      </c>
      <c r="L68" s="6" t="str">
        <f t="shared" si="11"/>
        <v/>
      </c>
      <c r="M68" s="6">
        <f t="shared" si="12"/>
        <v>0</v>
      </c>
      <c r="N68" s="7">
        <f t="shared" si="13"/>
        <v>0</v>
      </c>
      <c r="O68" s="4"/>
      <c r="P68" s="3"/>
      <c r="Q68" s="3"/>
      <c r="R68" s="3"/>
      <c r="S68" s="3"/>
      <c r="T68" s="3"/>
      <c r="U68" s="5"/>
      <c r="V68" s="125"/>
      <c r="W68" s="3"/>
      <c r="X68" s="3"/>
      <c r="Y68" s="3"/>
      <c r="Z68" s="3"/>
      <c r="AA68" s="8"/>
      <c r="AB68" s="8"/>
      <c r="AC68" s="3"/>
      <c r="AD68" s="3"/>
      <c r="AE68" s="3"/>
      <c r="AF68" s="3"/>
      <c r="AG68" s="3"/>
      <c r="AH68" s="8"/>
      <c r="AI68" s="8"/>
      <c r="AJ68" s="3"/>
      <c r="AK68" s="3"/>
      <c r="AL68" s="3"/>
      <c r="AM68" s="3"/>
      <c r="AN68" s="3"/>
      <c r="AO68" s="8"/>
      <c r="AP68" s="8"/>
      <c r="AQ68" s="3"/>
      <c r="AR68" s="3"/>
      <c r="AS68" s="3"/>
      <c r="AT68" s="3"/>
      <c r="AU68" s="3"/>
      <c r="AV68" s="8"/>
      <c r="AW68" s="8"/>
      <c r="AX68" s="3"/>
      <c r="AY68" s="3"/>
      <c r="AZ68" s="128"/>
      <c r="BA68" s="5"/>
      <c r="BB68" s="58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GP68" s="54"/>
      <c r="GQ68" s="54"/>
    </row>
    <row r="69" spans="1:199" ht="15" hidden="1" customHeight="1" x14ac:dyDescent="0.25">
      <c r="A69" s="102">
        <v>58</v>
      </c>
      <c r="B69" s="103"/>
      <c r="C69" s="104"/>
      <c r="D69" s="1"/>
      <c r="E69" s="105"/>
      <c r="F69" s="105"/>
      <c r="G69" s="100" t="str">
        <f t="shared" si="7"/>
        <v/>
      </c>
      <c r="H69" s="100" t="str">
        <f t="shared" si="8"/>
        <v/>
      </c>
      <c r="I69" s="101">
        <f t="shared" si="9"/>
        <v>0</v>
      </c>
      <c r="J69" s="100" t="str">
        <f t="shared" si="1"/>
        <v/>
      </c>
      <c r="K69" s="6" t="str">
        <f t="shared" si="10"/>
        <v/>
      </c>
      <c r="L69" s="6" t="str">
        <f t="shared" si="11"/>
        <v/>
      </c>
      <c r="M69" s="6">
        <f t="shared" si="12"/>
        <v>0</v>
      </c>
      <c r="N69" s="7">
        <f t="shared" si="13"/>
        <v>0</v>
      </c>
      <c r="O69" s="4"/>
      <c r="P69" s="3"/>
      <c r="Q69" s="3"/>
      <c r="R69" s="3"/>
      <c r="S69" s="3"/>
      <c r="T69" s="3"/>
      <c r="U69" s="5"/>
      <c r="V69" s="125"/>
      <c r="W69" s="3"/>
      <c r="X69" s="3"/>
      <c r="Y69" s="3"/>
      <c r="Z69" s="3"/>
      <c r="AA69" s="8"/>
      <c r="AB69" s="8"/>
      <c r="AC69" s="3"/>
      <c r="AD69" s="3"/>
      <c r="AE69" s="3"/>
      <c r="AF69" s="3"/>
      <c r="AG69" s="3"/>
      <c r="AH69" s="8"/>
      <c r="AI69" s="8"/>
      <c r="AJ69" s="3"/>
      <c r="AK69" s="3"/>
      <c r="AL69" s="3"/>
      <c r="AM69" s="3"/>
      <c r="AN69" s="3"/>
      <c r="AO69" s="8"/>
      <c r="AP69" s="8"/>
      <c r="AQ69" s="3"/>
      <c r="AR69" s="3"/>
      <c r="AS69" s="3"/>
      <c r="AT69" s="3"/>
      <c r="AU69" s="3"/>
      <c r="AV69" s="8"/>
      <c r="AW69" s="8"/>
      <c r="AX69" s="3"/>
      <c r="AY69" s="3"/>
      <c r="AZ69" s="128"/>
      <c r="BA69" s="5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GP69" s="54"/>
      <c r="GQ69" s="54"/>
    </row>
    <row r="70" spans="1:199" ht="15" hidden="1" customHeight="1" x14ac:dyDescent="0.25">
      <c r="A70" s="102">
        <v>59</v>
      </c>
      <c r="B70" s="103"/>
      <c r="C70" s="104"/>
      <c r="D70" s="1"/>
      <c r="E70" s="105"/>
      <c r="F70" s="105"/>
      <c r="G70" s="100" t="str">
        <f t="shared" si="7"/>
        <v/>
      </c>
      <c r="H70" s="100" t="str">
        <f t="shared" si="8"/>
        <v/>
      </c>
      <c r="I70" s="101">
        <f t="shared" si="9"/>
        <v>0</v>
      </c>
      <c r="J70" s="100" t="str">
        <f t="shared" si="1"/>
        <v/>
      </c>
      <c r="K70" s="6" t="str">
        <f t="shared" si="10"/>
        <v/>
      </c>
      <c r="L70" s="6" t="str">
        <f t="shared" si="11"/>
        <v/>
      </c>
      <c r="M70" s="6">
        <f t="shared" si="12"/>
        <v>0</v>
      </c>
      <c r="N70" s="7">
        <f t="shared" si="13"/>
        <v>0</v>
      </c>
      <c r="O70" s="4"/>
      <c r="P70" s="3"/>
      <c r="Q70" s="3"/>
      <c r="R70" s="3"/>
      <c r="S70" s="3"/>
      <c r="T70" s="3"/>
      <c r="U70" s="5"/>
      <c r="V70" s="125"/>
      <c r="W70" s="3"/>
      <c r="X70" s="3"/>
      <c r="Y70" s="3"/>
      <c r="Z70" s="3"/>
      <c r="AA70" s="8"/>
      <c r="AB70" s="8"/>
      <c r="AC70" s="3"/>
      <c r="AD70" s="3"/>
      <c r="AE70" s="3"/>
      <c r="AF70" s="3"/>
      <c r="AG70" s="3"/>
      <c r="AH70" s="8"/>
      <c r="AI70" s="8"/>
      <c r="AJ70" s="3"/>
      <c r="AK70" s="3"/>
      <c r="AL70" s="3"/>
      <c r="AM70" s="3"/>
      <c r="AN70" s="3"/>
      <c r="AO70" s="8"/>
      <c r="AP70" s="8"/>
      <c r="AQ70" s="3"/>
      <c r="AR70" s="3"/>
      <c r="AS70" s="3"/>
      <c r="AT70" s="3"/>
      <c r="AU70" s="3"/>
      <c r="AV70" s="8"/>
      <c r="AW70" s="8"/>
      <c r="AX70" s="3"/>
      <c r="AY70" s="3"/>
      <c r="AZ70" s="128"/>
      <c r="BA70" s="5"/>
      <c r="BB70" s="58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GP70" s="54"/>
      <c r="GQ70" s="54"/>
    </row>
    <row r="71" spans="1:199" ht="15" hidden="1" customHeight="1" x14ac:dyDescent="0.25">
      <c r="A71" s="97">
        <v>60</v>
      </c>
      <c r="B71" s="103"/>
      <c r="C71" s="104"/>
      <c r="D71" s="1"/>
      <c r="E71" s="105"/>
      <c r="F71" s="105"/>
      <c r="G71" s="100" t="str">
        <f t="shared" si="7"/>
        <v/>
      </c>
      <c r="H71" s="100" t="str">
        <f t="shared" si="8"/>
        <v/>
      </c>
      <c r="I71" s="101">
        <f t="shared" si="9"/>
        <v>0</v>
      </c>
      <c r="J71" s="100" t="str">
        <f t="shared" si="1"/>
        <v/>
      </c>
      <c r="K71" s="6" t="str">
        <f t="shared" si="10"/>
        <v/>
      </c>
      <c r="L71" s="6" t="str">
        <f t="shared" si="11"/>
        <v/>
      </c>
      <c r="M71" s="6">
        <f t="shared" si="12"/>
        <v>0</v>
      </c>
      <c r="N71" s="7">
        <f t="shared" si="13"/>
        <v>0</v>
      </c>
      <c r="O71" s="4"/>
      <c r="P71" s="3"/>
      <c r="Q71" s="3"/>
      <c r="R71" s="3"/>
      <c r="S71" s="3"/>
      <c r="T71" s="3"/>
      <c r="U71" s="5"/>
      <c r="V71" s="125"/>
      <c r="W71" s="3"/>
      <c r="X71" s="3"/>
      <c r="Y71" s="3"/>
      <c r="Z71" s="3"/>
      <c r="AA71" s="8"/>
      <c r="AB71" s="8"/>
      <c r="AC71" s="3"/>
      <c r="AD71" s="3"/>
      <c r="AE71" s="3"/>
      <c r="AF71" s="3"/>
      <c r="AG71" s="3"/>
      <c r="AH71" s="8"/>
      <c r="AI71" s="8"/>
      <c r="AJ71" s="3"/>
      <c r="AK71" s="3"/>
      <c r="AL71" s="3"/>
      <c r="AM71" s="3"/>
      <c r="AN71" s="3"/>
      <c r="AO71" s="8"/>
      <c r="AP71" s="8"/>
      <c r="AQ71" s="3"/>
      <c r="AR71" s="3"/>
      <c r="AS71" s="3"/>
      <c r="AT71" s="3"/>
      <c r="AU71" s="3"/>
      <c r="AV71" s="8"/>
      <c r="AW71" s="8"/>
      <c r="AX71" s="3"/>
      <c r="AY71" s="3"/>
      <c r="AZ71" s="128"/>
      <c r="BA71" s="5"/>
      <c r="BB71" s="58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GP71" s="54"/>
      <c r="GQ71" s="54"/>
    </row>
    <row r="72" spans="1:199" ht="15" hidden="1" customHeight="1" x14ac:dyDescent="0.25">
      <c r="A72" s="102">
        <v>61</v>
      </c>
      <c r="B72" s="103"/>
      <c r="C72" s="104"/>
      <c r="D72" s="1"/>
      <c r="E72" s="105"/>
      <c r="F72" s="105"/>
      <c r="G72" s="100" t="str">
        <f t="shared" si="7"/>
        <v/>
      </c>
      <c r="H72" s="100" t="str">
        <f t="shared" si="8"/>
        <v/>
      </c>
      <c r="I72" s="101">
        <f t="shared" si="9"/>
        <v>0</v>
      </c>
      <c r="J72" s="100" t="str">
        <f t="shared" si="1"/>
        <v/>
      </c>
      <c r="K72" s="6" t="str">
        <f t="shared" si="10"/>
        <v/>
      </c>
      <c r="L72" s="6" t="str">
        <f t="shared" si="11"/>
        <v/>
      </c>
      <c r="M72" s="6">
        <f t="shared" si="12"/>
        <v>0</v>
      </c>
      <c r="N72" s="7">
        <f t="shared" si="13"/>
        <v>0</v>
      </c>
      <c r="O72" s="4"/>
      <c r="P72" s="3"/>
      <c r="Q72" s="3"/>
      <c r="R72" s="3"/>
      <c r="S72" s="3"/>
      <c r="T72" s="3"/>
      <c r="U72" s="5"/>
      <c r="V72" s="125"/>
      <c r="W72" s="3"/>
      <c r="X72" s="3"/>
      <c r="Y72" s="3"/>
      <c r="Z72" s="3"/>
      <c r="AA72" s="8"/>
      <c r="AB72" s="8"/>
      <c r="AC72" s="3"/>
      <c r="AD72" s="3"/>
      <c r="AE72" s="3"/>
      <c r="AF72" s="3"/>
      <c r="AG72" s="3"/>
      <c r="AH72" s="8"/>
      <c r="AI72" s="8"/>
      <c r="AJ72" s="3"/>
      <c r="AK72" s="3"/>
      <c r="AL72" s="3"/>
      <c r="AM72" s="3"/>
      <c r="AN72" s="3"/>
      <c r="AO72" s="8"/>
      <c r="AP72" s="8"/>
      <c r="AQ72" s="3"/>
      <c r="AR72" s="3"/>
      <c r="AS72" s="3"/>
      <c r="AT72" s="3"/>
      <c r="AU72" s="3"/>
      <c r="AV72" s="8"/>
      <c r="AW72" s="8"/>
      <c r="AX72" s="3"/>
      <c r="AY72" s="3"/>
      <c r="AZ72" s="128"/>
      <c r="BA72" s="5"/>
      <c r="BB72" s="58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GP72" s="54"/>
      <c r="GQ72" s="54"/>
    </row>
    <row r="73" spans="1:199" ht="15" hidden="1" customHeight="1" x14ac:dyDescent="0.25">
      <c r="A73" s="102">
        <v>62</v>
      </c>
      <c r="B73" s="103"/>
      <c r="C73" s="104"/>
      <c r="D73" s="1"/>
      <c r="E73" s="105"/>
      <c r="F73" s="105"/>
      <c r="G73" s="100" t="str">
        <f t="shared" si="7"/>
        <v/>
      </c>
      <c r="H73" s="100" t="str">
        <f t="shared" si="8"/>
        <v/>
      </c>
      <c r="I73" s="101">
        <f t="shared" si="9"/>
        <v>0</v>
      </c>
      <c r="J73" s="100" t="str">
        <f t="shared" si="1"/>
        <v/>
      </c>
      <c r="K73" s="6" t="str">
        <f t="shared" si="10"/>
        <v/>
      </c>
      <c r="L73" s="6" t="str">
        <f t="shared" si="11"/>
        <v/>
      </c>
      <c r="M73" s="6">
        <f t="shared" si="12"/>
        <v>0</v>
      </c>
      <c r="N73" s="7">
        <f t="shared" si="13"/>
        <v>0</v>
      </c>
      <c r="O73" s="4"/>
      <c r="P73" s="3"/>
      <c r="Q73" s="3"/>
      <c r="R73" s="3"/>
      <c r="S73" s="3"/>
      <c r="T73" s="3"/>
      <c r="U73" s="5"/>
      <c r="V73" s="125"/>
      <c r="W73" s="3"/>
      <c r="X73" s="3"/>
      <c r="Y73" s="3"/>
      <c r="Z73" s="3"/>
      <c r="AA73" s="8"/>
      <c r="AB73" s="8"/>
      <c r="AC73" s="3"/>
      <c r="AD73" s="3"/>
      <c r="AE73" s="3"/>
      <c r="AF73" s="3"/>
      <c r="AG73" s="3"/>
      <c r="AH73" s="8"/>
      <c r="AI73" s="8"/>
      <c r="AJ73" s="3"/>
      <c r="AK73" s="3"/>
      <c r="AL73" s="3"/>
      <c r="AM73" s="3"/>
      <c r="AN73" s="3"/>
      <c r="AO73" s="8"/>
      <c r="AP73" s="8"/>
      <c r="AQ73" s="3"/>
      <c r="AR73" s="3"/>
      <c r="AS73" s="3"/>
      <c r="AT73" s="3"/>
      <c r="AU73" s="3"/>
      <c r="AV73" s="8"/>
      <c r="AW73" s="8"/>
      <c r="AX73" s="3"/>
      <c r="AY73" s="3"/>
      <c r="AZ73" s="128"/>
      <c r="BA73" s="5"/>
      <c r="BB73" s="58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GP73" s="54"/>
      <c r="GQ73" s="54"/>
    </row>
    <row r="74" spans="1:199" ht="15" hidden="1" customHeight="1" x14ac:dyDescent="0.25">
      <c r="A74" s="102">
        <v>63</v>
      </c>
      <c r="B74" s="103"/>
      <c r="C74" s="104"/>
      <c r="D74" s="1"/>
      <c r="E74" s="105"/>
      <c r="F74" s="105"/>
      <c r="G74" s="100" t="str">
        <f t="shared" si="7"/>
        <v/>
      </c>
      <c r="H74" s="100" t="str">
        <f t="shared" si="8"/>
        <v/>
      </c>
      <c r="I74" s="101">
        <f t="shared" si="9"/>
        <v>0</v>
      </c>
      <c r="J74" s="100" t="str">
        <f t="shared" si="1"/>
        <v/>
      </c>
      <c r="K74" s="6" t="str">
        <f t="shared" si="10"/>
        <v/>
      </c>
      <c r="L74" s="6" t="str">
        <f t="shared" si="11"/>
        <v/>
      </c>
      <c r="M74" s="6">
        <f t="shared" si="12"/>
        <v>0</v>
      </c>
      <c r="N74" s="7">
        <f t="shared" si="13"/>
        <v>0</v>
      </c>
      <c r="O74" s="4"/>
      <c r="P74" s="3"/>
      <c r="Q74" s="3"/>
      <c r="R74" s="3"/>
      <c r="S74" s="3"/>
      <c r="T74" s="3"/>
      <c r="U74" s="5"/>
      <c r="V74" s="125"/>
      <c r="W74" s="3"/>
      <c r="X74" s="3"/>
      <c r="Y74" s="3"/>
      <c r="Z74" s="3"/>
      <c r="AA74" s="8"/>
      <c r="AB74" s="8"/>
      <c r="AC74" s="3"/>
      <c r="AD74" s="3"/>
      <c r="AE74" s="3"/>
      <c r="AF74" s="3"/>
      <c r="AG74" s="3"/>
      <c r="AH74" s="8"/>
      <c r="AI74" s="8"/>
      <c r="AJ74" s="3"/>
      <c r="AK74" s="3"/>
      <c r="AL74" s="3"/>
      <c r="AM74" s="3"/>
      <c r="AN74" s="3"/>
      <c r="AO74" s="8"/>
      <c r="AP74" s="8"/>
      <c r="AQ74" s="3"/>
      <c r="AR74" s="3"/>
      <c r="AS74" s="3"/>
      <c r="AT74" s="3"/>
      <c r="AU74" s="3"/>
      <c r="AV74" s="8"/>
      <c r="AW74" s="8"/>
      <c r="AX74" s="3"/>
      <c r="AY74" s="3"/>
      <c r="AZ74" s="128"/>
      <c r="BA74" s="5"/>
      <c r="BB74" s="58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GP74" s="54"/>
      <c r="GQ74" s="54"/>
    </row>
    <row r="75" spans="1:199" ht="15" hidden="1" customHeight="1" x14ac:dyDescent="0.25">
      <c r="A75" s="97">
        <v>64</v>
      </c>
      <c r="B75" s="103"/>
      <c r="C75" s="104"/>
      <c r="D75" s="1"/>
      <c r="E75" s="105"/>
      <c r="F75" s="105"/>
      <c r="G75" s="100" t="str">
        <f t="shared" si="7"/>
        <v/>
      </c>
      <c r="H75" s="100" t="str">
        <f t="shared" si="8"/>
        <v/>
      </c>
      <c r="I75" s="101">
        <f t="shared" si="9"/>
        <v>0</v>
      </c>
      <c r="J75" s="100" t="str">
        <f t="shared" si="1"/>
        <v/>
      </c>
      <c r="K75" s="6" t="str">
        <f t="shared" si="10"/>
        <v/>
      </c>
      <c r="L75" s="6" t="str">
        <f t="shared" si="11"/>
        <v/>
      </c>
      <c r="M75" s="6">
        <f t="shared" si="12"/>
        <v>0</v>
      </c>
      <c r="N75" s="7">
        <f t="shared" si="13"/>
        <v>0</v>
      </c>
      <c r="O75" s="4"/>
      <c r="P75" s="3"/>
      <c r="Q75" s="3"/>
      <c r="R75" s="3"/>
      <c r="S75" s="3"/>
      <c r="T75" s="3"/>
      <c r="U75" s="5"/>
      <c r="V75" s="125"/>
      <c r="W75" s="3"/>
      <c r="X75" s="3"/>
      <c r="Y75" s="3"/>
      <c r="Z75" s="3"/>
      <c r="AA75" s="8"/>
      <c r="AB75" s="8"/>
      <c r="AC75" s="3"/>
      <c r="AD75" s="3"/>
      <c r="AE75" s="3"/>
      <c r="AF75" s="3"/>
      <c r="AG75" s="3"/>
      <c r="AH75" s="8"/>
      <c r="AI75" s="8"/>
      <c r="AJ75" s="3"/>
      <c r="AK75" s="3"/>
      <c r="AL75" s="3"/>
      <c r="AM75" s="3"/>
      <c r="AN75" s="3"/>
      <c r="AO75" s="8"/>
      <c r="AP75" s="8"/>
      <c r="AQ75" s="3"/>
      <c r="AR75" s="3"/>
      <c r="AS75" s="3"/>
      <c r="AT75" s="3"/>
      <c r="AU75" s="3"/>
      <c r="AV75" s="8"/>
      <c r="AW75" s="8"/>
      <c r="AX75" s="3"/>
      <c r="AY75" s="3"/>
      <c r="AZ75" s="128"/>
      <c r="BA75" s="5"/>
      <c r="BB75" s="58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GP75" s="54"/>
      <c r="GQ75" s="54"/>
    </row>
    <row r="76" spans="1:199" ht="15" hidden="1" customHeight="1" thickBot="1" x14ac:dyDescent="0.3">
      <c r="A76" s="102">
        <v>65</v>
      </c>
      <c r="B76" s="103"/>
      <c r="C76" s="104"/>
      <c r="D76" s="1"/>
      <c r="E76" s="105"/>
      <c r="F76" s="105"/>
      <c r="G76" s="100" t="str">
        <f t="shared" si="7"/>
        <v/>
      </c>
      <c r="H76" s="100" t="str">
        <f t="shared" si="8"/>
        <v/>
      </c>
      <c r="I76" s="101">
        <f t="shared" si="9"/>
        <v>0</v>
      </c>
      <c r="J76" s="100" t="str">
        <f t="shared" ref="J76:J110" si="14">IF(I76&gt;0,12,"")</f>
        <v/>
      </c>
      <c r="K76" s="6" t="str">
        <f t="shared" si="10"/>
        <v/>
      </c>
      <c r="L76" s="6" t="str">
        <f t="shared" si="11"/>
        <v/>
      </c>
      <c r="M76" s="6">
        <f t="shared" ref="M76:M111" si="15">(IF(O76="hT",4,0))+(IF(P76="hT",4,0))+(IF(Q76="hT",4,0))+(IF(R76="hT",4,0))+(IF(S76="hT",4,0))+T76+(COUNTIF(W76:BA76,"hT"))</f>
        <v>0</v>
      </c>
      <c r="N76" s="7">
        <f t="shared" ref="N76:N107" si="16">(IF(O76="x",4,0))+(IF(P76="x",4,0))+(IF(Q76="x",4,0))+(IF(R76="x",4,0))+(IF(S76="x",4,0))+U76+(COUNTIF(W76:BA76,"x"))</f>
        <v>0</v>
      </c>
      <c r="O76" s="4"/>
      <c r="P76" s="3"/>
      <c r="Q76" s="3"/>
      <c r="R76" s="3"/>
      <c r="S76" s="3"/>
      <c r="T76" s="3"/>
      <c r="U76" s="5"/>
      <c r="V76" s="125"/>
      <c r="W76" s="3"/>
      <c r="X76" s="3"/>
      <c r="Y76" s="3"/>
      <c r="Z76" s="3"/>
      <c r="AA76" s="8"/>
      <c r="AB76" s="8"/>
      <c r="AC76" s="3"/>
      <c r="AD76" s="3"/>
      <c r="AE76" s="3"/>
      <c r="AF76" s="3"/>
      <c r="AG76" s="3"/>
      <c r="AH76" s="8"/>
      <c r="AI76" s="8"/>
      <c r="AJ76" s="3"/>
      <c r="AK76" s="3"/>
      <c r="AL76" s="3"/>
      <c r="AM76" s="3"/>
      <c r="AN76" s="3"/>
      <c r="AO76" s="8"/>
      <c r="AP76" s="8"/>
      <c r="AQ76" s="3"/>
      <c r="AR76" s="3"/>
      <c r="AS76" s="3"/>
      <c r="AT76" s="3"/>
      <c r="AU76" s="3"/>
      <c r="AV76" s="8"/>
      <c r="AW76" s="8"/>
      <c r="AX76" s="3"/>
      <c r="AY76" s="3"/>
      <c r="AZ76" s="128"/>
      <c r="BA76" s="5"/>
      <c r="BB76" s="58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GP76" s="54"/>
      <c r="GQ76" s="54"/>
    </row>
    <row r="77" spans="1:199" ht="15" hidden="1" customHeight="1" x14ac:dyDescent="0.25">
      <c r="A77" s="102">
        <v>66</v>
      </c>
      <c r="B77" s="103"/>
      <c r="C77" s="104"/>
      <c r="D77" s="1"/>
      <c r="E77" s="105"/>
      <c r="F77" s="105"/>
      <c r="G77" s="100" t="str">
        <f t="shared" si="7"/>
        <v/>
      </c>
      <c r="H77" s="100" t="str">
        <f t="shared" si="8"/>
        <v/>
      </c>
      <c r="I77" s="101">
        <f t="shared" si="9"/>
        <v>0</v>
      </c>
      <c r="J77" s="100" t="str">
        <f t="shared" si="14"/>
        <v/>
      </c>
      <c r="K77" s="6" t="str">
        <f t="shared" si="10"/>
        <v/>
      </c>
      <c r="L77" s="6" t="str">
        <f t="shared" si="11"/>
        <v/>
      </c>
      <c r="M77" s="6">
        <f t="shared" si="15"/>
        <v>0</v>
      </c>
      <c r="N77" s="7">
        <f t="shared" si="16"/>
        <v>0</v>
      </c>
      <c r="O77" s="4"/>
      <c r="P77" s="3"/>
      <c r="Q77" s="3"/>
      <c r="R77" s="3"/>
      <c r="S77" s="3"/>
      <c r="T77" s="3"/>
      <c r="U77" s="5"/>
      <c r="V77" s="125"/>
      <c r="W77" s="3"/>
      <c r="X77" s="3"/>
      <c r="Y77" s="3"/>
      <c r="Z77" s="3"/>
      <c r="AA77" s="8"/>
      <c r="AB77" s="8"/>
      <c r="AC77" s="3"/>
      <c r="AD77" s="3"/>
      <c r="AE77" s="3"/>
      <c r="AF77" s="3"/>
      <c r="AG77" s="3"/>
      <c r="AH77" s="8"/>
      <c r="AI77" s="8"/>
      <c r="AJ77" s="3"/>
      <c r="AK77" s="3"/>
      <c r="AL77" s="3"/>
      <c r="AM77" s="3"/>
      <c r="AN77" s="3"/>
      <c r="AO77" s="8"/>
      <c r="AP77" s="8"/>
      <c r="AQ77" s="3"/>
      <c r="AR77" s="3"/>
      <c r="AS77" s="3"/>
      <c r="AT77" s="3"/>
      <c r="AU77" s="3"/>
      <c r="AV77" s="8"/>
      <c r="AW77" s="8"/>
      <c r="AX77" s="3"/>
      <c r="AY77" s="3"/>
      <c r="AZ77" s="128"/>
      <c r="BA77" s="5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GP77" s="54"/>
      <c r="GQ77" s="54"/>
    </row>
    <row r="78" spans="1:199" ht="15" hidden="1" customHeight="1" x14ac:dyDescent="0.25">
      <c r="A78" s="102">
        <v>67</v>
      </c>
      <c r="B78" s="103"/>
      <c r="C78" s="104"/>
      <c r="D78" s="1"/>
      <c r="E78" s="105"/>
      <c r="F78" s="105"/>
      <c r="G78" s="100" t="str">
        <f t="shared" si="7"/>
        <v/>
      </c>
      <c r="H78" s="100" t="str">
        <f t="shared" si="8"/>
        <v/>
      </c>
      <c r="I78" s="101">
        <f t="shared" si="9"/>
        <v>0</v>
      </c>
      <c r="J78" s="100" t="str">
        <f t="shared" si="14"/>
        <v/>
      </c>
      <c r="K78" s="6" t="str">
        <f t="shared" si="10"/>
        <v/>
      </c>
      <c r="L78" s="6" t="str">
        <f t="shared" si="11"/>
        <v/>
      </c>
      <c r="M78" s="6">
        <f t="shared" si="15"/>
        <v>0</v>
      </c>
      <c r="N78" s="7">
        <f t="shared" si="16"/>
        <v>0</v>
      </c>
      <c r="O78" s="4"/>
      <c r="P78" s="3"/>
      <c r="Q78" s="3"/>
      <c r="R78" s="3"/>
      <c r="S78" s="3"/>
      <c r="T78" s="3"/>
      <c r="U78" s="5"/>
      <c r="V78" s="125"/>
      <c r="W78" s="3"/>
      <c r="X78" s="3"/>
      <c r="Y78" s="3"/>
      <c r="Z78" s="3"/>
      <c r="AA78" s="8"/>
      <c r="AB78" s="8"/>
      <c r="AC78" s="3"/>
      <c r="AD78" s="3"/>
      <c r="AE78" s="3"/>
      <c r="AF78" s="3"/>
      <c r="AG78" s="3"/>
      <c r="AH78" s="8"/>
      <c r="AI78" s="8"/>
      <c r="AJ78" s="3"/>
      <c r="AK78" s="3"/>
      <c r="AL78" s="3"/>
      <c r="AM78" s="3"/>
      <c r="AN78" s="3"/>
      <c r="AO78" s="8"/>
      <c r="AP78" s="8"/>
      <c r="AQ78" s="3"/>
      <c r="AR78" s="3"/>
      <c r="AS78" s="3"/>
      <c r="AT78" s="3"/>
      <c r="AU78" s="3"/>
      <c r="AV78" s="8"/>
      <c r="AW78" s="8"/>
      <c r="AX78" s="3"/>
      <c r="AY78" s="3"/>
      <c r="AZ78" s="128"/>
      <c r="BA78" s="5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GP78" s="54"/>
      <c r="GQ78" s="54"/>
    </row>
    <row r="79" spans="1:199" ht="15" hidden="1" customHeight="1" x14ac:dyDescent="0.25">
      <c r="A79" s="102">
        <v>68</v>
      </c>
      <c r="B79" s="103"/>
      <c r="C79" s="104"/>
      <c r="D79" s="2"/>
      <c r="E79" s="105"/>
      <c r="F79" s="105"/>
      <c r="G79" s="100" t="str">
        <f t="shared" si="7"/>
        <v/>
      </c>
      <c r="H79" s="100" t="str">
        <f t="shared" si="8"/>
        <v/>
      </c>
      <c r="I79" s="101">
        <f t="shared" si="9"/>
        <v>0</v>
      </c>
      <c r="J79" s="100" t="str">
        <f t="shared" si="14"/>
        <v/>
      </c>
      <c r="K79" s="6" t="str">
        <f t="shared" si="10"/>
        <v/>
      </c>
      <c r="L79" s="6" t="str">
        <f t="shared" si="11"/>
        <v/>
      </c>
      <c r="M79" s="6">
        <f t="shared" si="15"/>
        <v>0</v>
      </c>
      <c r="N79" s="7">
        <f t="shared" si="16"/>
        <v>0</v>
      </c>
      <c r="O79" s="4"/>
      <c r="P79" s="3"/>
      <c r="Q79" s="3"/>
      <c r="R79" s="3"/>
      <c r="S79" s="3"/>
      <c r="T79" s="3"/>
      <c r="U79" s="5"/>
      <c r="V79" s="125"/>
      <c r="W79" s="3"/>
      <c r="X79" s="3"/>
      <c r="Y79" s="3"/>
      <c r="Z79" s="3"/>
      <c r="AA79" s="8"/>
      <c r="AB79" s="8"/>
      <c r="AC79" s="3"/>
      <c r="AD79" s="3"/>
      <c r="AE79" s="3"/>
      <c r="AF79" s="3"/>
      <c r="AG79" s="3"/>
      <c r="AH79" s="8"/>
      <c r="AI79" s="8"/>
      <c r="AJ79" s="3"/>
      <c r="AK79" s="3"/>
      <c r="AL79" s="3"/>
      <c r="AM79" s="3"/>
      <c r="AN79" s="3"/>
      <c r="AO79" s="8"/>
      <c r="AP79" s="8"/>
      <c r="AQ79" s="3"/>
      <c r="AR79" s="3"/>
      <c r="AS79" s="3"/>
      <c r="AT79" s="3"/>
      <c r="AU79" s="3"/>
      <c r="AV79" s="8"/>
      <c r="AW79" s="8"/>
      <c r="AX79" s="3"/>
      <c r="AY79" s="3"/>
      <c r="AZ79" s="128"/>
      <c r="BA79" s="5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GP79" s="54"/>
      <c r="GQ79" s="54"/>
    </row>
    <row r="80" spans="1:199" ht="15" hidden="1" customHeight="1" x14ac:dyDescent="0.25">
      <c r="A80" s="97">
        <v>69</v>
      </c>
      <c r="B80" s="103"/>
      <c r="C80" s="104"/>
      <c r="D80" s="1"/>
      <c r="E80" s="105"/>
      <c r="F80" s="105"/>
      <c r="G80" s="100" t="str">
        <f t="shared" si="7"/>
        <v/>
      </c>
      <c r="H80" s="100" t="str">
        <f t="shared" si="8"/>
        <v/>
      </c>
      <c r="I80" s="101">
        <f t="shared" si="9"/>
        <v>0</v>
      </c>
      <c r="J80" s="100" t="str">
        <f t="shared" si="14"/>
        <v/>
      </c>
      <c r="K80" s="6" t="str">
        <f t="shared" si="10"/>
        <v/>
      </c>
      <c r="L80" s="6" t="str">
        <f t="shared" si="11"/>
        <v/>
      </c>
      <c r="M80" s="6">
        <f t="shared" si="15"/>
        <v>0</v>
      </c>
      <c r="N80" s="7">
        <f t="shared" si="16"/>
        <v>0</v>
      </c>
      <c r="O80" s="4"/>
      <c r="P80" s="3"/>
      <c r="Q80" s="3"/>
      <c r="R80" s="3"/>
      <c r="S80" s="3"/>
      <c r="T80" s="3"/>
      <c r="U80" s="5"/>
      <c r="V80" s="125"/>
      <c r="W80" s="3"/>
      <c r="X80" s="3"/>
      <c r="Y80" s="3"/>
      <c r="Z80" s="3"/>
      <c r="AA80" s="8"/>
      <c r="AB80" s="8"/>
      <c r="AC80" s="3"/>
      <c r="AD80" s="3"/>
      <c r="AE80" s="3"/>
      <c r="AF80" s="3"/>
      <c r="AG80" s="3"/>
      <c r="AH80" s="8"/>
      <c r="AI80" s="8"/>
      <c r="AJ80" s="3"/>
      <c r="AK80" s="3"/>
      <c r="AL80" s="3"/>
      <c r="AM80" s="3"/>
      <c r="AN80" s="3"/>
      <c r="AO80" s="8"/>
      <c r="AP80" s="8"/>
      <c r="AQ80" s="3"/>
      <c r="AR80" s="3"/>
      <c r="AS80" s="3"/>
      <c r="AT80" s="3"/>
      <c r="AU80" s="3"/>
      <c r="AV80" s="8"/>
      <c r="AW80" s="8"/>
      <c r="AX80" s="3"/>
      <c r="AY80" s="3"/>
      <c r="AZ80" s="128"/>
      <c r="BA80" s="5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GP80" s="54"/>
      <c r="GQ80" s="54"/>
    </row>
    <row r="81" spans="1:199" ht="15" hidden="1" customHeight="1" x14ac:dyDescent="0.25">
      <c r="A81" s="102">
        <v>70</v>
      </c>
      <c r="B81" s="103"/>
      <c r="C81" s="104"/>
      <c r="D81" s="1"/>
      <c r="E81" s="105"/>
      <c r="F81" s="105"/>
      <c r="G81" s="100" t="str">
        <f t="shared" si="7"/>
        <v/>
      </c>
      <c r="H81" s="100" t="str">
        <f t="shared" si="8"/>
        <v/>
      </c>
      <c r="I81" s="101">
        <f t="shared" si="9"/>
        <v>0</v>
      </c>
      <c r="J81" s="100" t="str">
        <f t="shared" si="14"/>
        <v/>
      </c>
      <c r="K81" s="6" t="str">
        <f t="shared" si="10"/>
        <v/>
      </c>
      <c r="L81" s="6" t="str">
        <f t="shared" si="11"/>
        <v/>
      </c>
      <c r="M81" s="6">
        <f t="shared" si="15"/>
        <v>0</v>
      </c>
      <c r="N81" s="7">
        <f t="shared" si="16"/>
        <v>0</v>
      </c>
      <c r="O81" s="4"/>
      <c r="P81" s="3"/>
      <c r="Q81" s="3"/>
      <c r="R81" s="3"/>
      <c r="S81" s="3"/>
      <c r="T81" s="3"/>
      <c r="U81" s="5"/>
      <c r="V81" s="125"/>
      <c r="W81" s="3"/>
      <c r="X81" s="3"/>
      <c r="Y81" s="3"/>
      <c r="Z81" s="3"/>
      <c r="AA81" s="8"/>
      <c r="AB81" s="8"/>
      <c r="AC81" s="3"/>
      <c r="AD81" s="3"/>
      <c r="AE81" s="3"/>
      <c r="AF81" s="3"/>
      <c r="AG81" s="3"/>
      <c r="AH81" s="8"/>
      <c r="AI81" s="8"/>
      <c r="AJ81" s="3"/>
      <c r="AK81" s="3"/>
      <c r="AL81" s="3"/>
      <c r="AM81" s="3"/>
      <c r="AN81" s="3"/>
      <c r="AO81" s="8"/>
      <c r="AP81" s="8"/>
      <c r="AQ81" s="3"/>
      <c r="AR81" s="3"/>
      <c r="AS81" s="3"/>
      <c r="AT81" s="3"/>
      <c r="AU81" s="3"/>
      <c r="AV81" s="8"/>
      <c r="AW81" s="8"/>
      <c r="AX81" s="3"/>
      <c r="AY81" s="3"/>
      <c r="AZ81" s="128"/>
      <c r="BA81" s="5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GP81" s="54"/>
      <c r="GQ81" s="54"/>
    </row>
    <row r="82" spans="1:199" ht="15" hidden="1" customHeight="1" x14ac:dyDescent="0.25">
      <c r="A82" s="102">
        <v>71</v>
      </c>
      <c r="B82" s="103"/>
      <c r="C82" s="104"/>
      <c r="D82" s="1"/>
      <c r="E82" s="105"/>
      <c r="F82" s="105"/>
      <c r="G82" s="100" t="str">
        <f t="shared" si="4"/>
        <v/>
      </c>
      <c r="H82" s="100" t="str">
        <f t="shared" si="5"/>
        <v/>
      </c>
      <c r="I82" s="101">
        <f t="shared" si="0"/>
        <v>0</v>
      </c>
      <c r="J82" s="100" t="str">
        <f t="shared" si="14"/>
        <v/>
      </c>
      <c r="K82" s="6" t="str">
        <f t="shared" si="6"/>
        <v/>
      </c>
      <c r="L82" s="6" t="str">
        <f t="shared" si="6"/>
        <v/>
      </c>
      <c r="M82" s="6">
        <f t="shared" si="15"/>
        <v>0</v>
      </c>
      <c r="N82" s="7">
        <f t="shared" si="16"/>
        <v>0</v>
      </c>
      <c r="O82" s="4"/>
      <c r="P82" s="3"/>
      <c r="Q82" s="3"/>
      <c r="R82" s="3"/>
      <c r="S82" s="3"/>
      <c r="T82" s="3"/>
      <c r="U82" s="5"/>
      <c r="V82" s="125"/>
      <c r="W82" s="3"/>
      <c r="X82" s="3"/>
      <c r="Y82" s="3"/>
      <c r="Z82" s="3"/>
      <c r="AA82" s="8"/>
      <c r="AB82" s="8"/>
      <c r="AC82" s="3"/>
      <c r="AD82" s="3"/>
      <c r="AE82" s="3"/>
      <c r="AF82" s="3"/>
      <c r="AG82" s="3"/>
      <c r="AH82" s="8"/>
      <c r="AI82" s="8"/>
      <c r="AJ82" s="3"/>
      <c r="AK82" s="3"/>
      <c r="AL82" s="3"/>
      <c r="AM82" s="3"/>
      <c r="AN82" s="3"/>
      <c r="AO82" s="8"/>
      <c r="AP82" s="8"/>
      <c r="AQ82" s="3"/>
      <c r="AR82" s="3"/>
      <c r="AS82" s="3"/>
      <c r="AT82" s="3"/>
      <c r="AU82" s="3"/>
      <c r="AV82" s="8"/>
      <c r="AW82" s="8"/>
      <c r="AX82" s="3"/>
      <c r="AY82" s="3"/>
      <c r="AZ82" s="128"/>
      <c r="BA82" s="5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GP82" s="54"/>
      <c r="GQ82" s="54"/>
    </row>
    <row r="83" spans="1:199" ht="15" hidden="1" customHeight="1" x14ac:dyDescent="0.25">
      <c r="A83" s="102">
        <v>72</v>
      </c>
      <c r="B83" s="103"/>
      <c r="C83" s="104"/>
      <c r="D83" s="2"/>
      <c r="E83" s="105"/>
      <c r="F83" s="105"/>
      <c r="G83" s="100" t="str">
        <f t="shared" si="4"/>
        <v/>
      </c>
      <c r="H83" s="100" t="str">
        <f t="shared" si="5"/>
        <v/>
      </c>
      <c r="I83" s="101">
        <f t="shared" si="0"/>
        <v>0</v>
      </c>
      <c r="J83" s="100" t="str">
        <f t="shared" si="14"/>
        <v/>
      </c>
      <c r="K83" s="6" t="str">
        <f t="shared" si="6"/>
        <v/>
      </c>
      <c r="L83" s="6" t="str">
        <f t="shared" si="6"/>
        <v/>
      </c>
      <c r="M83" s="6">
        <f t="shared" si="15"/>
        <v>0</v>
      </c>
      <c r="N83" s="7">
        <f t="shared" si="16"/>
        <v>0</v>
      </c>
      <c r="O83" s="4"/>
      <c r="P83" s="3"/>
      <c r="Q83" s="3"/>
      <c r="R83" s="3"/>
      <c r="S83" s="3"/>
      <c r="T83" s="3"/>
      <c r="U83" s="5"/>
      <c r="V83" s="125"/>
      <c r="W83" s="3"/>
      <c r="X83" s="3"/>
      <c r="Y83" s="3"/>
      <c r="Z83" s="3"/>
      <c r="AA83" s="8"/>
      <c r="AB83" s="8"/>
      <c r="AC83" s="3"/>
      <c r="AD83" s="3"/>
      <c r="AE83" s="3"/>
      <c r="AF83" s="3"/>
      <c r="AG83" s="3"/>
      <c r="AH83" s="8"/>
      <c r="AI83" s="8"/>
      <c r="AJ83" s="3"/>
      <c r="AK83" s="3"/>
      <c r="AL83" s="3"/>
      <c r="AM83" s="3"/>
      <c r="AN83" s="3"/>
      <c r="AO83" s="8"/>
      <c r="AP83" s="8"/>
      <c r="AQ83" s="3"/>
      <c r="AR83" s="3"/>
      <c r="AS83" s="3"/>
      <c r="AT83" s="3"/>
      <c r="AU83" s="3"/>
      <c r="AV83" s="8"/>
      <c r="AW83" s="8"/>
      <c r="AX83" s="3"/>
      <c r="AY83" s="3"/>
      <c r="AZ83" s="128"/>
      <c r="BA83" s="5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GP83" s="54"/>
      <c r="GQ83" s="54"/>
    </row>
    <row r="84" spans="1:199" ht="15" hidden="1" customHeight="1" x14ac:dyDescent="0.25">
      <c r="A84" s="97">
        <v>73</v>
      </c>
      <c r="B84" s="103"/>
      <c r="C84" s="104"/>
      <c r="D84" s="1"/>
      <c r="E84" s="105"/>
      <c r="F84" s="105"/>
      <c r="G84" s="100" t="str">
        <f t="shared" si="4"/>
        <v/>
      </c>
      <c r="H84" s="100" t="str">
        <f t="shared" si="5"/>
        <v/>
      </c>
      <c r="I84" s="101">
        <f t="shared" si="0"/>
        <v>0</v>
      </c>
      <c r="J84" s="100" t="str">
        <f t="shared" si="14"/>
        <v/>
      </c>
      <c r="K84" s="6" t="str">
        <f t="shared" si="6"/>
        <v/>
      </c>
      <c r="L84" s="6" t="str">
        <f t="shared" si="6"/>
        <v/>
      </c>
      <c r="M84" s="6">
        <f t="shared" si="15"/>
        <v>0</v>
      </c>
      <c r="N84" s="7">
        <f t="shared" si="16"/>
        <v>0</v>
      </c>
      <c r="O84" s="4"/>
      <c r="P84" s="3"/>
      <c r="Q84" s="3"/>
      <c r="R84" s="3"/>
      <c r="S84" s="3"/>
      <c r="T84" s="3"/>
      <c r="U84" s="5"/>
      <c r="V84" s="125"/>
      <c r="W84" s="3"/>
      <c r="X84" s="3"/>
      <c r="Y84" s="3"/>
      <c r="Z84" s="3"/>
      <c r="AA84" s="8"/>
      <c r="AB84" s="8"/>
      <c r="AC84" s="3"/>
      <c r="AD84" s="3"/>
      <c r="AE84" s="3"/>
      <c r="AF84" s="3"/>
      <c r="AG84" s="3"/>
      <c r="AH84" s="8"/>
      <c r="AI84" s="8"/>
      <c r="AJ84" s="3"/>
      <c r="AK84" s="3"/>
      <c r="AL84" s="3"/>
      <c r="AM84" s="3"/>
      <c r="AN84" s="3"/>
      <c r="AO84" s="8"/>
      <c r="AP84" s="8"/>
      <c r="AQ84" s="3"/>
      <c r="AR84" s="3"/>
      <c r="AS84" s="3"/>
      <c r="AT84" s="3"/>
      <c r="AU84" s="3"/>
      <c r="AV84" s="8"/>
      <c r="AW84" s="8"/>
      <c r="AX84" s="3"/>
      <c r="AY84" s="3"/>
      <c r="AZ84" s="128"/>
      <c r="BA84" s="5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GP84" s="54"/>
      <c r="GQ84" s="54"/>
    </row>
    <row r="85" spans="1:199" ht="15" hidden="1" customHeight="1" x14ac:dyDescent="0.25">
      <c r="A85" s="102">
        <v>74</v>
      </c>
      <c r="B85" s="103"/>
      <c r="C85" s="104"/>
      <c r="D85" s="1"/>
      <c r="E85" s="105"/>
      <c r="F85" s="105"/>
      <c r="G85" s="100" t="str">
        <f t="shared" si="4"/>
        <v/>
      </c>
      <c r="H85" s="100" t="str">
        <f t="shared" si="5"/>
        <v/>
      </c>
      <c r="I85" s="101">
        <f t="shared" si="0"/>
        <v>0</v>
      </c>
      <c r="J85" s="100" t="str">
        <f t="shared" si="14"/>
        <v/>
      </c>
      <c r="K85" s="6" t="str">
        <f t="shared" si="6"/>
        <v/>
      </c>
      <c r="L85" s="6" t="str">
        <f t="shared" si="6"/>
        <v/>
      </c>
      <c r="M85" s="6">
        <f t="shared" si="15"/>
        <v>0</v>
      </c>
      <c r="N85" s="7">
        <f t="shared" si="16"/>
        <v>0</v>
      </c>
      <c r="O85" s="4"/>
      <c r="P85" s="3"/>
      <c r="Q85" s="3"/>
      <c r="R85" s="3"/>
      <c r="S85" s="3"/>
      <c r="T85" s="3"/>
      <c r="U85" s="5"/>
      <c r="V85" s="125"/>
      <c r="W85" s="3"/>
      <c r="X85" s="3"/>
      <c r="Y85" s="3"/>
      <c r="Z85" s="3"/>
      <c r="AA85" s="8"/>
      <c r="AB85" s="8"/>
      <c r="AC85" s="3"/>
      <c r="AD85" s="3"/>
      <c r="AE85" s="3"/>
      <c r="AF85" s="3"/>
      <c r="AG85" s="3"/>
      <c r="AH85" s="8"/>
      <c r="AI85" s="8"/>
      <c r="AJ85" s="3"/>
      <c r="AK85" s="3"/>
      <c r="AL85" s="3"/>
      <c r="AM85" s="3"/>
      <c r="AN85" s="3"/>
      <c r="AO85" s="8"/>
      <c r="AP85" s="8"/>
      <c r="AQ85" s="3"/>
      <c r="AR85" s="3"/>
      <c r="AS85" s="3"/>
      <c r="AT85" s="3"/>
      <c r="AU85" s="3"/>
      <c r="AV85" s="8"/>
      <c r="AW85" s="8"/>
      <c r="AX85" s="3"/>
      <c r="AY85" s="3"/>
      <c r="AZ85" s="128"/>
      <c r="BA85" s="5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GP85" s="54"/>
      <c r="GQ85" s="54"/>
    </row>
    <row r="86" spans="1:199" ht="15" hidden="1" customHeight="1" x14ac:dyDescent="0.25">
      <c r="A86" s="102">
        <v>75</v>
      </c>
      <c r="B86" s="103"/>
      <c r="C86" s="104"/>
      <c r="D86" s="1"/>
      <c r="E86" s="105"/>
      <c r="F86" s="105"/>
      <c r="G86" s="100" t="str">
        <f t="shared" si="4"/>
        <v/>
      </c>
      <c r="H86" s="100" t="str">
        <f t="shared" si="5"/>
        <v/>
      </c>
      <c r="I86" s="101">
        <f t="shared" si="0"/>
        <v>0</v>
      </c>
      <c r="J86" s="100" t="str">
        <f t="shared" si="14"/>
        <v/>
      </c>
      <c r="K86" s="6" t="str">
        <f t="shared" si="6"/>
        <v/>
      </c>
      <c r="L86" s="6" t="str">
        <f t="shared" si="6"/>
        <v/>
      </c>
      <c r="M86" s="6">
        <f t="shared" si="15"/>
        <v>0</v>
      </c>
      <c r="N86" s="7">
        <f t="shared" si="16"/>
        <v>0</v>
      </c>
      <c r="O86" s="4"/>
      <c r="P86" s="3"/>
      <c r="Q86" s="3"/>
      <c r="R86" s="3"/>
      <c r="S86" s="3"/>
      <c r="T86" s="3"/>
      <c r="U86" s="5"/>
      <c r="V86" s="125"/>
      <c r="W86" s="3"/>
      <c r="X86" s="3"/>
      <c r="Y86" s="3"/>
      <c r="Z86" s="3"/>
      <c r="AA86" s="8"/>
      <c r="AB86" s="8"/>
      <c r="AC86" s="3"/>
      <c r="AD86" s="3"/>
      <c r="AE86" s="3"/>
      <c r="AF86" s="3"/>
      <c r="AG86" s="3"/>
      <c r="AH86" s="8"/>
      <c r="AI86" s="8"/>
      <c r="AJ86" s="3"/>
      <c r="AK86" s="3"/>
      <c r="AL86" s="3"/>
      <c r="AM86" s="3"/>
      <c r="AN86" s="3"/>
      <c r="AO86" s="8"/>
      <c r="AP86" s="8"/>
      <c r="AQ86" s="3"/>
      <c r="AR86" s="3"/>
      <c r="AS86" s="3"/>
      <c r="AT86" s="3"/>
      <c r="AU86" s="3"/>
      <c r="AV86" s="8"/>
      <c r="AW86" s="8"/>
      <c r="AX86" s="3"/>
      <c r="AY86" s="3"/>
      <c r="AZ86" s="128"/>
      <c r="BA86" s="5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GP86" s="54"/>
      <c r="GQ86" s="54"/>
    </row>
    <row r="87" spans="1:199" ht="15" hidden="1" customHeight="1" x14ac:dyDescent="0.25">
      <c r="A87" s="102">
        <v>76</v>
      </c>
      <c r="B87" s="103"/>
      <c r="C87" s="104"/>
      <c r="D87" s="1"/>
      <c r="E87" s="105"/>
      <c r="F87" s="105"/>
      <c r="G87" s="100" t="str">
        <f t="shared" si="4"/>
        <v/>
      </c>
      <c r="H87" s="100" t="str">
        <f t="shared" si="5"/>
        <v/>
      </c>
      <c r="I87" s="101">
        <f t="shared" si="0"/>
        <v>0</v>
      </c>
      <c r="J87" s="100" t="str">
        <f t="shared" si="14"/>
        <v/>
      </c>
      <c r="K87" s="6" t="str">
        <f t="shared" si="6"/>
        <v/>
      </c>
      <c r="L87" s="6" t="str">
        <f t="shared" si="6"/>
        <v/>
      </c>
      <c r="M87" s="6">
        <f t="shared" si="15"/>
        <v>0</v>
      </c>
      <c r="N87" s="7">
        <f t="shared" si="16"/>
        <v>0</v>
      </c>
      <c r="O87" s="4"/>
      <c r="P87" s="3"/>
      <c r="Q87" s="3"/>
      <c r="R87" s="3"/>
      <c r="S87" s="3"/>
      <c r="T87" s="3"/>
      <c r="U87" s="5"/>
      <c r="V87" s="125"/>
      <c r="W87" s="3"/>
      <c r="X87" s="3"/>
      <c r="Y87" s="3"/>
      <c r="Z87" s="3"/>
      <c r="AA87" s="8"/>
      <c r="AB87" s="8"/>
      <c r="AC87" s="3"/>
      <c r="AD87" s="3"/>
      <c r="AE87" s="3"/>
      <c r="AF87" s="3"/>
      <c r="AG87" s="3"/>
      <c r="AH87" s="8"/>
      <c r="AI87" s="8"/>
      <c r="AJ87" s="3"/>
      <c r="AK87" s="3"/>
      <c r="AL87" s="3"/>
      <c r="AM87" s="3"/>
      <c r="AN87" s="3"/>
      <c r="AO87" s="8"/>
      <c r="AP87" s="8"/>
      <c r="AQ87" s="3"/>
      <c r="AR87" s="3"/>
      <c r="AS87" s="3"/>
      <c r="AT87" s="3"/>
      <c r="AU87" s="3"/>
      <c r="AV87" s="8"/>
      <c r="AW87" s="8"/>
      <c r="AX87" s="3"/>
      <c r="AY87" s="3"/>
      <c r="AZ87" s="128"/>
      <c r="BA87" s="5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GP87" s="54"/>
      <c r="GQ87" s="54"/>
    </row>
    <row r="88" spans="1:199" ht="15" hidden="1" customHeight="1" x14ac:dyDescent="0.25">
      <c r="A88" s="102">
        <v>77</v>
      </c>
      <c r="B88" s="103"/>
      <c r="C88" s="104"/>
      <c r="D88" s="1"/>
      <c r="E88" s="105"/>
      <c r="F88" s="105"/>
      <c r="G88" s="100" t="str">
        <f t="shared" si="4"/>
        <v/>
      </c>
      <c r="H88" s="100" t="str">
        <f t="shared" si="5"/>
        <v/>
      </c>
      <c r="I88" s="101">
        <f t="shared" si="0"/>
        <v>0</v>
      </c>
      <c r="J88" s="100" t="str">
        <f t="shared" si="14"/>
        <v/>
      </c>
      <c r="K88" s="6" t="str">
        <f t="shared" si="6"/>
        <v/>
      </c>
      <c r="L88" s="6" t="str">
        <f t="shared" si="6"/>
        <v/>
      </c>
      <c r="M88" s="6">
        <f t="shared" si="15"/>
        <v>0</v>
      </c>
      <c r="N88" s="7">
        <f t="shared" si="16"/>
        <v>0</v>
      </c>
      <c r="O88" s="4"/>
      <c r="P88" s="3"/>
      <c r="Q88" s="3"/>
      <c r="R88" s="3"/>
      <c r="S88" s="3"/>
      <c r="T88" s="3"/>
      <c r="U88" s="5"/>
      <c r="V88" s="125"/>
      <c r="W88" s="3"/>
      <c r="X88" s="3"/>
      <c r="Y88" s="3"/>
      <c r="Z88" s="3"/>
      <c r="AA88" s="8"/>
      <c r="AB88" s="8"/>
      <c r="AC88" s="3"/>
      <c r="AD88" s="3"/>
      <c r="AE88" s="3"/>
      <c r="AF88" s="3"/>
      <c r="AG88" s="3"/>
      <c r="AH88" s="8"/>
      <c r="AI88" s="8"/>
      <c r="AJ88" s="3"/>
      <c r="AK88" s="3"/>
      <c r="AL88" s="3"/>
      <c r="AM88" s="3"/>
      <c r="AN88" s="3"/>
      <c r="AO88" s="8"/>
      <c r="AP88" s="8"/>
      <c r="AQ88" s="3"/>
      <c r="AR88" s="3"/>
      <c r="AS88" s="3"/>
      <c r="AT88" s="3"/>
      <c r="AU88" s="3"/>
      <c r="AV88" s="8"/>
      <c r="AW88" s="8"/>
      <c r="AX88" s="3"/>
      <c r="AY88" s="3"/>
      <c r="AZ88" s="128"/>
      <c r="BA88" s="5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GP88" s="54"/>
      <c r="GQ88" s="54"/>
    </row>
    <row r="89" spans="1:199" ht="15" hidden="1" customHeight="1" x14ac:dyDescent="0.25">
      <c r="A89" s="97">
        <v>78</v>
      </c>
      <c r="B89" s="103"/>
      <c r="C89" s="104"/>
      <c r="D89" s="1"/>
      <c r="E89" s="105"/>
      <c r="F89" s="105"/>
      <c r="G89" s="100" t="str">
        <f t="shared" si="4"/>
        <v/>
      </c>
      <c r="H89" s="100" t="str">
        <f t="shared" si="5"/>
        <v/>
      </c>
      <c r="I89" s="101">
        <f t="shared" si="0"/>
        <v>0</v>
      </c>
      <c r="J89" s="100" t="str">
        <f t="shared" si="14"/>
        <v/>
      </c>
      <c r="K89" s="6" t="str">
        <f t="shared" si="6"/>
        <v/>
      </c>
      <c r="L89" s="6" t="str">
        <f t="shared" si="6"/>
        <v/>
      </c>
      <c r="M89" s="6">
        <f t="shared" si="15"/>
        <v>0</v>
      </c>
      <c r="N89" s="7">
        <f t="shared" si="16"/>
        <v>0</v>
      </c>
      <c r="O89" s="4"/>
      <c r="P89" s="3"/>
      <c r="Q89" s="3"/>
      <c r="R89" s="3"/>
      <c r="S89" s="3"/>
      <c r="T89" s="3"/>
      <c r="U89" s="5"/>
      <c r="V89" s="125"/>
      <c r="W89" s="3"/>
      <c r="X89" s="3"/>
      <c r="Y89" s="3"/>
      <c r="Z89" s="3"/>
      <c r="AA89" s="8"/>
      <c r="AB89" s="8"/>
      <c r="AC89" s="3"/>
      <c r="AD89" s="3"/>
      <c r="AE89" s="3"/>
      <c r="AF89" s="3"/>
      <c r="AG89" s="3"/>
      <c r="AH89" s="8"/>
      <c r="AI89" s="8"/>
      <c r="AJ89" s="3"/>
      <c r="AK89" s="3"/>
      <c r="AL89" s="3"/>
      <c r="AM89" s="3"/>
      <c r="AN89" s="3"/>
      <c r="AO89" s="8"/>
      <c r="AP89" s="8"/>
      <c r="AQ89" s="3"/>
      <c r="AR89" s="3"/>
      <c r="AS89" s="3"/>
      <c r="AT89" s="3"/>
      <c r="AU89" s="3"/>
      <c r="AV89" s="8"/>
      <c r="AW89" s="8"/>
      <c r="AX89" s="3"/>
      <c r="AY89" s="3"/>
      <c r="AZ89" s="128"/>
      <c r="BA89" s="5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GP89" s="54"/>
      <c r="GQ89" s="54"/>
    </row>
    <row r="90" spans="1:199" ht="15" hidden="1" customHeight="1" x14ac:dyDescent="0.25">
      <c r="A90" s="102">
        <v>79</v>
      </c>
      <c r="B90" s="103"/>
      <c r="C90" s="104"/>
      <c r="D90" s="1"/>
      <c r="E90" s="105"/>
      <c r="F90" s="105"/>
      <c r="G90" s="100" t="str">
        <f t="shared" si="4"/>
        <v/>
      </c>
      <c r="H90" s="100" t="str">
        <f t="shared" si="5"/>
        <v/>
      </c>
      <c r="I90" s="101">
        <f t="shared" si="0"/>
        <v>0</v>
      </c>
      <c r="J90" s="100" t="str">
        <f t="shared" si="14"/>
        <v/>
      </c>
      <c r="K90" s="6" t="str">
        <f t="shared" si="6"/>
        <v/>
      </c>
      <c r="L90" s="6" t="str">
        <f t="shared" si="6"/>
        <v/>
      </c>
      <c r="M90" s="6">
        <f t="shared" si="15"/>
        <v>0</v>
      </c>
      <c r="N90" s="7">
        <f t="shared" si="16"/>
        <v>0</v>
      </c>
      <c r="O90" s="4"/>
      <c r="P90" s="3"/>
      <c r="Q90" s="3"/>
      <c r="R90" s="3"/>
      <c r="S90" s="3"/>
      <c r="T90" s="3"/>
      <c r="U90" s="5"/>
      <c r="V90" s="125"/>
      <c r="W90" s="3"/>
      <c r="X90" s="3"/>
      <c r="Y90" s="3"/>
      <c r="Z90" s="3"/>
      <c r="AA90" s="8"/>
      <c r="AB90" s="8"/>
      <c r="AC90" s="3"/>
      <c r="AD90" s="3"/>
      <c r="AE90" s="3"/>
      <c r="AF90" s="3"/>
      <c r="AG90" s="3"/>
      <c r="AH90" s="8"/>
      <c r="AI90" s="8"/>
      <c r="AJ90" s="3"/>
      <c r="AK90" s="3"/>
      <c r="AL90" s="3"/>
      <c r="AM90" s="3"/>
      <c r="AN90" s="3"/>
      <c r="AO90" s="8"/>
      <c r="AP90" s="8"/>
      <c r="AQ90" s="3"/>
      <c r="AR90" s="3"/>
      <c r="AS90" s="3"/>
      <c r="AT90" s="3"/>
      <c r="AU90" s="3"/>
      <c r="AV90" s="8"/>
      <c r="AW90" s="8"/>
      <c r="AX90" s="3"/>
      <c r="AY90" s="3"/>
      <c r="AZ90" s="128"/>
      <c r="BA90" s="5"/>
      <c r="BB90" s="59"/>
      <c r="BC90" s="59"/>
      <c r="GP90" s="54"/>
      <c r="GQ90" s="54"/>
    </row>
    <row r="91" spans="1:199" ht="15" hidden="1" customHeight="1" x14ac:dyDescent="0.25">
      <c r="A91" s="102">
        <v>80</v>
      </c>
      <c r="B91" s="103"/>
      <c r="C91" s="104"/>
      <c r="D91" s="1"/>
      <c r="E91" s="105"/>
      <c r="F91" s="105"/>
      <c r="G91" s="100" t="str">
        <f t="shared" si="4"/>
        <v/>
      </c>
      <c r="H91" s="100" t="str">
        <f t="shared" si="5"/>
        <v/>
      </c>
      <c r="I91" s="101">
        <f t="shared" si="0"/>
        <v>0</v>
      </c>
      <c r="J91" s="100" t="str">
        <f t="shared" si="14"/>
        <v/>
      </c>
      <c r="K91" s="6" t="str">
        <f t="shared" si="6"/>
        <v/>
      </c>
      <c r="L91" s="6" t="str">
        <f t="shared" si="6"/>
        <v/>
      </c>
      <c r="M91" s="6">
        <f t="shared" si="15"/>
        <v>0</v>
      </c>
      <c r="N91" s="7">
        <f t="shared" si="16"/>
        <v>0</v>
      </c>
      <c r="O91" s="4"/>
      <c r="P91" s="3"/>
      <c r="Q91" s="3"/>
      <c r="R91" s="3"/>
      <c r="S91" s="3"/>
      <c r="T91" s="3"/>
      <c r="U91" s="5"/>
      <c r="V91" s="125"/>
      <c r="W91" s="3"/>
      <c r="X91" s="3"/>
      <c r="Y91" s="3"/>
      <c r="Z91" s="3"/>
      <c r="AA91" s="8"/>
      <c r="AB91" s="8"/>
      <c r="AC91" s="3"/>
      <c r="AD91" s="3"/>
      <c r="AE91" s="3"/>
      <c r="AF91" s="3"/>
      <c r="AG91" s="3"/>
      <c r="AH91" s="8"/>
      <c r="AI91" s="8"/>
      <c r="AJ91" s="3"/>
      <c r="AK91" s="3"/>
      <c r="AL91" s="3"/>
      <c r="AM91" s="3"/>
      <c r="AN91" s="3"/>
      <c r="AO91" s="8"/>
      <c r="AP91" s="8"/>
      <c r="AQ91" s="3"/>
      <c r="AR91" s="3"/>
      <c r="AS91" s="3"/>
      <c r="AT91" s="3"/>
      <c r="AU91" s="3"/>
      <c r="AV91" s="8"/>
      <c r="AW91" s="8"/>
      <c r="AX91" s="3"/>
      <c r="AY91" s="3"/>
      <c r="AZ91" s="128"/>
      <c r="BA91" s="5"/>
      <c r="BB91" s="59"/>
      <c r="BC91" s="59"/>
      <c r="GP91" s="54"/>
      <c r="GQ91" s="54"/>
    </row>
    <row r="92" spans="1:199" ht="15" hidden="1" customHeight="1" x14ac:dyDescent="0.25">
      <c r="A92" s="102">
        <v>81</v>
      </c>
      <c r="B92" s="103"/>
      <c r="C92" s="104"/>
      <c r="D92" s="1"/>
      <c r="E92" s="105"/>
      <c r="F92" s="105"/>
      <c r="G92" s="100" t="str">
        <f t="shared" si="4"/>
        <v/>
      </c>
      <c r="H92" s="100" t="str">
        <f t="shared" si="5"/>
        <v/>
      </c>
      <c r="I92" s="101">
        <f t="shared" si="0"/>
        <v>0</v>
      </c>
      <c r="J92" s="100" t="str">
        <f t="shared" si="14"/>
        <v/>
      </c>
      <c r="K92" s="6" t="str">
        <f t="shared" si="6"/>
        <v/>
      </c>
      <c r="L92" s="6" t="str">
        <f t="shared" si="6"/>
        <v/>
      </c>
      <c r="M92" s="6">
        <f t="shared" si="15"/>
        <v>0</v>
      </c>
      <c r="N92" s="7">
        <f t="shared" si="16"/>
        <v>0</v>
      </c>
      <c r="O92" s="4"/>
      <c r="P92" s="3"/>
      <c r="Q92" s="3"/>
      <c r="R92" s="3"/>
      <c r="S92" s="3"/>
      <c r="T92" s="3"/>
      <c r="U92" s="5"/>
      <c r="V92" s="125"/>
      <c r="W92" s="3"/>
      <c r="X92" s="3"/>
      <c r="Y92" s="3"/>
      <c r="Z92" s="3"/>
      <c r="AA92" s="8"/>
      <c r="AB92" s="8"/>
      <c r="AC92" s="3"/>
      <c r="AD92" s="3"/>
      <c r="AE92" s="3"/>
      <c r="AF92" s="3"/>
      <c r="AG92" s="3"/>
      <c r="AH92" s="8"/>
      <c r="AI92" s="8"/>
      <c r="AJ92" s="3"/>
      <c r="AK92" s="3"/>
      <c r="AL92" s="3"/>
      <c r="AM92" s="3"/>
      <c r="AN92" s="3"/>
      <c r="AO92" s="8"/>
      <c r="AP92" s="8"/>
      <c r="AQ92" s="3"/>
      <c r="AR92" s="3"/>
      <c r="AS92" s="3"/>
      <c r="AT92" s="3"/>
      <c r="AU92" s="3"/>
      <c r="AV92" s="8"/>
      <c r="AW92" s="8"/>
      <c r="AX92" s="3"/>
      <c r="AY92" s="3"/>
      <c r="AZ92" s="128"/>
      <c r="BA92" s="5"/>
      <c r="BB92" s="59"/>
      <c r="BC92" s="59"/>
      <c r="GP92" s="54"/>
      <c r="GQ92" s="54"/>
    </row>
    <row r="93" spans="1:199" ht="15" hidden="1" customHeight="1" x14ac:dyDescent="0.25">
      <c r="A93" s="97">
        <v>82</v>
      </c>
      <c r="B93" s="103"/>
      <c r="C93" s="104"/>
      <c r="D93" s="1"/>
      <c r="E93" s="105"/>
      <c r="F93" s="105"/>
      <c r="G93" s="100" t="str">
        <f t="shared" si="4"/>
        <v/>
      </c>
      <c r="H93" s="100" t="str">
        <f t="shared" si="5"/>
        <v/>
      </c>
      <c r="I93" s="101">
        <f t="shared" si="0"/>
        <v>0</v>
      </c>
      <c r="J93" s="100" t="str">
        <f t="shared" si="14"/>
        <v/>
      </c>
      <c r="K93" s="6" t="str">
        <f t="shared" si="6"/>
        <v/>
      </c>
      <c r="L93" s="6" t="str">
        <f t="shared" si="6"/>
        <v/>
      </c>
      <c r="M93" s="6">
        <f t="shared" si="15"/>
        <v>0</v>
      </c>
      <c r="N93" s="7">
        <f t="shared" si="16"/>
        <v>0</v>
      </c>
      <c r="O93" s="4"/>
      <c r="P93" s="3"/>
      <c r="Q93" s="3"/>
      <c r="R93" s="3"/>
      <c r="S93" s="3"/>
      <c r="T93" s="3"/>
      <c r="U93" s="5"/>
      <c r="V93" s="125"/>
      <c r="W93" s="3"/>
      <c r="X93" s="3"/>
      <c r="Y93" s="3"/>
      <c r="Z93" s="3"/>
      <c r="AA93" s="8"/>
      <c r="AB93" s="8"/>
      <c r="AC93" s="3"/>
      <c r="AD93" s="3"/>
      <c r="AE93" s="3"/>
      <c r="AF93" s="3"/>
      <c r="AG93" s="3"/>
      <c r="AH93" s="8"/>
      <c r="AI93" s="8"/>
      <c r="AJ93" s="3"/>
      <c r="AK93" s="3"/>
      <c r="AL93" s="3"/>
      <c r="AM93" s="3"/>
      <c r="AN93" s="3"/>
      <c r="AO93" s="8"/>
      <c r="AP93" s="8"/>
      <c r="AQ93" s="3"/>
      <c r="AR93" s="3"/>
      <c r="AS93" s="3"/>
      <c r="AT93" s="3"/>
      <c r="AU93" s="3"/>
      <c r="AV93" s="8"/>
      <c r="AW93" s="8"/>
      <c r="AX93" s="3"/>
      <c r="AY93" s="3"/>
      <c r="AZ93" s="128"/>
      <c r="BA93" s="5"/>
      <c r="BB93" s="58"/>
      <c r="BC93" s="59"/>
      <c r="GP93" s="54"/>
      <c r="GQ93" s="54"/>
    </row>
    <row r="94" spans="1:199" ht="15" hidden="1" customHeight="1" x14ac:dyDescent="0.25">
      <c r="A94" s="102">
        <v>83</v>
      </c>
      <c r="B94" s="103"/>
      <c r="C94" s="104"/>
      <c r="D94" s="1"/>
      <c r="E94" s="105"/>
      <c r="F94" s="105"/>
      <c r="G94" s="100" t="str">
        <f t="shared" si="4"/>
        <v/>
      </c>
      <c r="H94" s="100" t="str">
        <f t="shared" si="5"/>
        <v/>
      </c>
      <c r="I94" s="101">
        <f t="shared" si="0"/>
        <v>0</v>
      </c>
      <c r="J94" s="100" t="str">
        <f t="shared" si="14"/>
        <v/>
      </c>
      <c r="K94" s="6" t="str">
        <f t="shared" si="6"/>
        <v/>
      </c>
      <c r="L94" s="6" t="str">
        <f t="shared" si="6"/>
        <v/>
      </c>
      <c r="M94" s="6">
        <f t="shared" si="15"/>
        <v>0</v>
      </c>
      <c r="N94" s="7">
        <f t="shared" si="16"/>
        <v>0</v>
      </c>
      <c r="O94" s="4"/>
      <c r="P94" s="3"/>
      <c r="Q94" s="3"/>
      <c r="R94" s="3"/>
      <c r="S94" s="3"/>
      <c r="T94" s="3"/>
      <c r="U94" s="5"/>
      <c r="V94" s="125"/>
      <c r="W94" s="3"/>
      <c r="X94" s="3"/>
      <c r="Y94" s="3"/>
      <c r="Z94" s="3"/>
      <c r="AA94" s="8"/>
      <c r="AB94" s="8"/>
      <c r="AC94" s="3"/>
      <c r="AD94" s="3"/>
      <c r="AE94" s="3"/>
      <c r="AF94" s="3"/>
      <c r="AG94" s="3"/>
      <c r="AH94" s="8"/>
      <c r="AI94" s="8"/>
      <c r="AJ94" s="3"/>
      <c r="AK94" s="3"/>
      <c r="AL94" s="3"/>
      <c r="AM94" s="3"/>
      <c r="AN94" s="3"/>
      <c r="AO94" s="8"/>
      <c r="AP94" s="8"/>
      <c r="AQ94" s="3"/>
      <c r="AR94" s="3"/>
      <c r="AS94" s="3"/>
      <c r="AT94" s="3"/>
      <c r="AU94" s="3"/>
      <c r="AV94" s="8"/>
      <c r="AW94" s="8"/>
      <c r="AX94" s="3"/>
      <c r="AY94" s="3"/>
      <c r="AZ94" s="128"/>
      <c r="BA94" s="5"/>
      <c r="BB94" s="58"/>
      <c r="BC94" s="59"/>
      <c r="GP94" s="54"/>
      <c r="GQ94" s="54"/>
    </row>
    <row r="95" spans="1:199" ht="15" hidden="1" customHeight="1" x14ac:dyDescent="0.25">
      <c r="A95" s="102">
        <v>84</v>
      </c>
      <c r="B95" s="103"/>
      <c r="C95" s="104"/>
      <c r="D95" s="1"/>
      <c r="E95" s="105"/>
      <c r="F95" s="105"/>
      <c r="G95" s="100" t="str">
        <f t="shared" si="4"/>
        <v/>
      </c>
      <c r="H95" s="100" t="str">
        <f t="shared" si="5"/>
        <v/>
      </c>
      <c r="I95" s="101">
        <f t="shared" si="0"/>
        <v>0</v>
      </c>
      <c r="J95" s="100" t="str">
        <f t="shared" si="14"/>
        <v/>
      </c>
      <c r="K95" s="6" t="str">
        <f t="shared" si="6"/>
        <v/>
      </c>
      <c r="L95" s="6" t="str">
        <f t="shared" si="6"/>
        <v/>
      </c>
      <c r="M95" s="6">
        <f t="shared" si="15"/>
        <v>0</v>
      </c>
      <c r="N95" s="7">
        <f t="shared" si="16"/>
        <v>0</v>
      </c>
      <c r="O95" s="4"/>
      <c r="P95" s="3"/>
      <c r="Q95" s="3"/>
      <c r="R95" s="3"/>
      <c r="S95" s="3"/>
      <c r="T95" s="3"/>
      <c r="U95" s="5"/>
      <c r="V95" s="125"/>
      <c r="W95" s="3"/>
      <c r="X95" s="3"/>
      <c r="Y95" s="3"/>
      <c r="Z95" s="3"/>
      <c r="AA95" s="8"/>
      <c r="AB95" s="8"/>
      <c r="AC95" s="3"/>
      <c r="AD95" s="3"/>
      <c r="AE95" s="3"/>
      <c r="AF95" s="3"/>
      <c r="AG95" s="3"/>
      <c r="AH95" s="8"/>
      <c r="AI95" s="8"/>
      <c r="AJ95" s="3"/>
      <c r="AK95" s="3"/>
      <c r="AL95" s="3"/>
      <c r="AM95" s="3"/>
      <c r="AN95" s="3"/>
      <c r="AO95" s="8"/>
      <c r="AP95" s="8"/>
      <c r="AQ95" s="3"/>
      <c r="AR95" s="3"/>
      <c r="AS95" s="3"/>
      <c r="AT95" s="3"/>
      <c r="AU95" s="3"/>
      <c r="AV95" s="8"/>
      <c r="AW95" s="8"/>
      <c r="AX95" s="3"/>
      <c r="AY95" s="3"/>
      <c r="AZ95" s="128"/>
      <c r="BA95" s="5"/>
      <c r="BB95" s="59"/>
      <c r="BC95" s="59"/>
      <c r="GP95" s="54"/>
      <c r="GQ95" s="54"/>
    </row>
    <row r="96" spans="1:199" ht="15" hidden="1" customHeight="1" x14ac:dyDescent="0.25">
      <c r="A96" s="102">
        <v>85</v>
      </c>
      <c r="B96" s="103"/>
      <c r="C96" s="104"/>
      <c r="D96" s="1"/>
      <c r="E96" s="105"/>
      <c r="F96" s="105"/>
      <c r="G96" s="100" t="str">
        <f t="shared" si="4"/>
        <v/>
      </c>
      <c r="H96" s="100" t="str">
        <f t="shared" si="5"/>
        <v/>
      </c>
      <c r="I96" s="101">
        <f t="shared" si="0"/>
        <v>0</v>
      </c>
      <c r="J96" s="100" t="str">
        <f t="shared" si="14"/>
        <v/>
      </c>
      <c r="K96" s="6" t="str">
        <f t="shared" si="6"/>
        <v/>
      </c>
      <c r="L96" s="6" t="str">
        <f t="shared" si="6"/>
        <v/>
      </c>
      <c r="M96" s="6">
        <f t="shared" si="15"/>
        <v>0</v>
      </c>
      <c r="N96" s="7">
        <f t="shared" si="16"/>
        <v>0</v>
      </c>
      <c r="O96" s="4"/>
      <c r="P96" s="3"/>
      <c r="Q96" s="3"/>
      <c r="R96" s="3"/>
      <c r="S96" s="3"/>
      <c r="T96" s="3"/>
      <c r="U96" s="5"/>
      <c r="V96" s="125"/>
      <c r="W96" s="3"/>
      <c r="X96" s="3"/>
      <c r="Y96" s="3"/>
      <c r="Z96" s="3"/>
      <c r="AA96" s="8"/>
      <c r="AB96" s="8"/>
      <c r="AC96" s="3"/>
      <c r="AD96" s="3"/>
      <c r="AE96" s="3"/>
      <c r="AF96" s="3"/>
      <c r="AG96" s="3"/>
      <c r="AH96" s="8"/>
      <c r="AI96" s="8"/>
      <c r="AJ96" s="3"/>
      <c r="AK96" s="3"/>
      <c r="AL96" s="3"/>
      <c r="AM96" s="3"/>
      <c r="AN96" s="3"/>
      <c r="AO96" s="8"/>
      <c r="AP96" s="8"/>
      <c r="AQ96" s="3"/>
      <c r="AR96" s="3"/>
      <c r="AS96" s="3"/>
      <c r="AT96" s="3"/>
      <c r="AU96" s="3"/>
      <c r="AV96" s="8"/>
      <c r="AW96" s="8"/>
      <c r="AX96" s="3"/>
      <c r="AY96" s="3"/>
      <c r="AZ96" s="128"/>
      <c r="BA96" s="5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GP96" s="54"/>
      <c r="GQ96" s="54"/>
    </row>
    <row r="97" spans="1:199" ht="15" hidden="1" customHeight="1" x14ac:dyDescent="0.25">
      <c r="A97" s="102">
        <v>86</v>
      </c>
      <c r="B97" s="103"/>
      <c r="C97" s="104"/>
      <c r="D97" s="1"/>
      <c r="E97" s="105"/>
      <c r="F97" s="105"/>
      <c r="G97" s="100" t="str">
        <f t="shared" si="4"/>
        <v/>
      </c>
      <c r="H97" s="100" t="str">
        <f t="shared" si="5"/>
        <v/>
      </c>
      <c r="I97" s="101">
        <f t="shared" si="0"/>
        <v>0</v>
      </c>
      <c r="J97" s="100" t="str">
        <f t="shared" si="14"/>
        <v/>
      </c>
      <c r="K97" s="6" t="str">
        <f t="shared" si="6"/>
        <v/>
      </c>
      <c r="L97" s="6" t="str">
        <f t="shared" si="6"/>
        <v/>
      </c>
      <c r="M97" s="6">
        <f t="shared" si="15"/>
        <v>0</v>
      </c>
      <c r="N97" s="7">
        <f t="shared" si="16"/>
        <v>0</v>
      </c>
      <c r="O97" s="4"/>
      <c r="P97" s="3"/>
      <c r="Q97" s="3"/>
      <c r="R97" s="3"/>
      <c r="S97" s="3"/>
      <c r="T97" s="3"/>
      <c r="U97" s="5"/>
      <c r="V97" s="125"/>
      <c r="W97" s="3"/>
      <c r="X97" s="3"/>
      <c r="Y97" s="3"/>
      <c r="Z97" s="3"/>
      <c r="AA97" s="8"/>
      <c r="AB97" s="8"/>
      <c r="AC97" s="3"/>
      <c r="AD97" s="3"/>
      <c r="AE97" s="3"/>
      <c r="AF97" s="3"/>
      <c r="AG97" s="3"/>
      <c r="AH97" s="8"/>
      <c r="AI97" s="8"/>
      <c r="AJ97" s="3"/>
      <c r="AK97" s="3"/>
      <c r="AL97" s="3"/>
      <c r="AM97" s="3"/>
      <c r="AN97" s="3"/>
      <c r="AO97" s="8"/>
      <c r="AP97" s="8"/>
      <c r="AQ97" s="3"/>
      <c r="AR97" s="3"/>
      <c r="AS97" s="3"/>
      <c r="AT97" s="3"/>
      <c r="AU97" s="3"/>
      <c r="AV97" s="8"/>
      <c r="AW97" s="8"/>
      <c r="AX97" s="3"/>
      <c r="AY97" s="3"/>
      <c r="AZ97" s="128"/>
      <c r="BA97" s="5"/>
      <c r="BB97" s="106"/>
      <c r="BC97" s="59"/>
      <c r="GP97" s="54"/>
      <c r="GQ97" s="54"/>
    </row>
    <row r="98" spans="1:199" ht="15" hidden="1" customHeight="1" x14ac:dyDescent="0.25">
      <c r="A98" s="97">
        <v>87</v>
      </c>
      <c r="B98" s="103"/>
      <c r="C98" s="104"/>
      <c r="D98" s="1"/>
      <c r="E98" s="105"/>
      <c r="F98" s="105"/>
      <c r="G98" s="100" t="str">
        <f t="shared" si="4"/>
        <v/>
      </c>
      <c r="H98" s="100" t="str">
        <f t="shared" si="5"/>
        <v/>
      </c>
      <c r="I98" s="101">
        <f t="shared" si="0"/>
        <v>0</v>
      </c>
      <c r="J98" s="100" t="str">
        <f t="shared" si="14"/>
        <v/>
      </c>
      <c r="K98" s="6" t="str">
        <f t="shared" si="6"/>
        <v/>
      </c>
      <c r="L98" s="6" t="str">
        <f t="shared" si="6"/>
        <v/>
      </c>
      <c r="M98" s="6">
        <f t="shared" si="15"/>
        <v>0</v>
      </c>
      <c r="N98" s="7">
        <f t="shared" si="16"/>
        <v>0</v>
      </c>
      <c r="O98" s="4"/>
      <c r="P98" s="3"/>
      <c r="Q98" s="3"/>
      <c r="R98" s="3"/>
      <c r="S98" s="3"/>
      <c r="T98" s="3"/>
      <c r="U98" s="5"/>
      <c r="V98" s="125"/>
      <c r="W98" s="3"/>
      <c r="X98" s="3"/>
      <c r="Y98" s="3"/>
      <c r="Z98" s="3"/>
      <c r="AA98" s="8"/>
      <c r="AB98" s="8"/>
      <c r="AC98" s="3"/>
      <c r="AD98" s="3"/>
      <c r="AE98" s="3"/>
      <c r="AF98" s="3"/>
      <c r="AG98" s="3"/>
      <c r="AH98" s="8"/>
      <c r="AI98" s="8"/>
      <c r="AJ98" s="3"/>
      <c r="AK98" s="3"/>
      <c r="AL98" s="3"/>
      <c r="AM98" s="3"/>
      <c r="AN98" s="3"/>
      <c r="AO98" s="8"/>
      <c r="AP98" s="8"/>
      <c r="AQ98" s="3"/>
      <c r="AR98" s="3"/>
      <c r="AS98" s="3"/>
      <c r="AT98" s="3"/>
      <c r="AU98" s="3"/>
      <c r="AV98" s="8"/>
      <c r="AW98" s="8"/>
      <c r="AX98" s="3"/>
      <c r="AY98" s="3"/>
      <c r="AZ98" s="128"/>
      <c r="BA98" s="5"/>
      <c r="BB98" s="59"/>
      <c r="BC98" s="59"/>
      <c r="GP98" s="54"/>
      <c r="GQ98" s="54"/>
    </row>
    <row r="99" spans="1:199" ht="15" hidden="1" customHeight="1" x14ac:dyDescent="0.25">
      <c r="A99" s="102">
        <v>88</v>
      </c>
      <c r="B99" s="103"/>
      <c r="C99" s="104"/>
      <c r="D99" s="1"/>
      <c r="E99" s="105"/>
      <c r="F99" s="105"/>
      <c r="G99" s="100" t="str">
        <f t="shared" si="4"/>
        <v/>
      </c>
      <c r="H99" s="100" t="str">
        <f t="shared" si="5"/>
        <v/>
      </c>
      <c r="I99" s="101">
        <f t="shared" si="0"/>
        <v>0</v>
      </c>
      <c r="J99" s="100" t="str">
        <f t="shared" si="14"/>
        <v/>
      </c>
      <c r="K99" s="6" t="str">
        <f t="shared" si="6"/>
        <v/>
      </c>
      <c r="L99" s="6" t="str">
        <f t="shared" si="6"/>
        <v/>
      </c>
      <c r="M99" s="6">
        <f t="shared" si="15"/>
        <v>0</v>
      </c>
      <c r="N99" s="7">
        <f t="shared" si="16"/>
        <v>0</v>
      </c>
      <c r="O99" s="4"/>
      <c r="P99" s="3"/>
      <c r="Q99" s="3"/>
      <c r="R99" s="3"/>
      <c r="S99" s="3"/>
      <c r="T99" s="3"/>
      <c r="U99" s="5"/>
      <c r="V99" s="125"/>
      <c r="W99" s="3"/>
      <c r="X99" s="3"/>
      <c r="Y99" s="3"/>
      <c r="Z99" s="3"/>
      <c r="AA99" s="8"/>
      <c r="AB99" s="8"/>
      <c r="AC99" s="3"/>
      <c r="AD99" s="3"/>
      <c r="AE99" s="3"/>
      <c r="AF99" s="3"/>
      <c r="AG99" s="3"/>
      <c r="AH99" s="8"/>
      <c r="AI99" s="8"/>
      <c r="AJ99" s="3"/>
      <c r="AK99" s="3"/>
      <c r="AL99" s="3"/>
      <c r="AM99" s="3"/>
      <c r="AN99" s="3"/>
      <c r="AO99" s="8"/>
      <c r="AP99" s="8"/>
      <c r="AQ99" s="3"/>
      <c r="AR99" s="3"/>
      <c r="AS99" s="3"/>
      <c r="AT99" s="3"/>
      <c r="AU99" s="3"/>
      <c r="AV99" s="8"/>
      <c r="AW99" s="8"/>
      <c r="AX99" s="3"/>
      <c r="AY99" s="3"/>
      <c r="AZ99" s="128"/>
      <c r="BA99" s="5"/>
      <c r="BB99" s="59"/>
      <c r="BC99" s="59"/>
      <c r="GP99" s="54"/>
      <c r="GQ99" s="54"/>
    </row>
    <row r="100" spans="1:199" ht="15" hidden="1" customHeight="1" x14ac:dyDescent="0.25">
      <c r="A100" s="102">
        <v>89</v>
      </c>
      <c r="B100" s="103"/>
      <c r="C100" s="104"/>
      <c r="D100" s="2"/>
      <c r="E100" s="105"/>
      <c r="F100" s="105"/>
      <c r="G100" s="100" t="str">
        <f t="shared" si="4"/>
        <v/>
      </c>
      <c r="H100" s="100" t="str">
        <f t="shared" si="5"/>
        <v/>
      </c>
      <c r="I100" s="101">
        <f t="shared" si="0"/>
        <v>0</v>
      </c>
      <c r="J100" s="100" t="str">
        <f t="shared" si="14"/>
        <v/>
      </c>
      <c r="K100" s="6" t="str">
        <f t="shared" si="6"/>
        <v/>
      </c>
      <c r="L100" s="6" t="str">
        <f t="shared" si="6"/>
        <v/>
      </c>
      <c r="M100" s="6">
        <f t="shared" si="15"/>
        <v>0</v>
      </c>
      <c r="N100" s="7">
        <f t="shared" si="16"/>
        <v>0</v>
      </c>
      <c r="O100" s="4"/>
      <c r="P100" s="3"/>
      <c r="Q100" s="3"/>
      <c r="R100" s="3"/>
      <c r="S100" s="3"/>
      <c r="T100" s="3"/>
      <c r="U100" s="5"/>
      <c r="V100" s="125"/>
      <c r="W100" s="3"/>
      <c r="X100" s="3"/>
      <c r="Y100" s="3"/>
      <c r="Z100" s="3"/>
      <c r="AA100" s="8"/>
      <c r="AB100" s="8"/>
      <c r="AC100" s="3"/>
      <c r="AD100" s="3"/>
      <c r="AE100" s="3"/>
      <c r="AF100" s="3"/>
      <c r="AG100" s="3"/>
      <c r="AH100" s="8"/>
      <c r="AI100" s="8"/>
      <c r="AJ100" s="3"/>
      <c r="AK100" s="3"/>
      <c r="AL100" s="3"/>
      <c r="AM100" s="3"/>
      <c r="AN100" s="3"/>
      <c r="AO100" s="8"/>
      <c r="AP100" s="8"/>
      <c r="AQ100" s="3"/>
      <c r="AR100" s="3"/>
      <c r="AS100" s="3"/>
      <c r="AT100" s="3"/>
      <c r="AU100" s="3"/>
      <c r="AV100" s="8"/>
      <c r="AW100" s="8"/>
      <c r="AX100" s="3"/>
      <c r="AY100" s="3"/>
      <c r="AZ100" s="128"/>
      <c r="BA100" s="5"/>
      <c r="BB100" s="59"/>
      <c r="BC100" s="59"/>
      <c r="GP100" s="54"/>
      <c r="GQ100" s="54"/>
    </row>
    <row r="101" spans="1:199" ht="15" hidden="1" customHeight="1" x14ac:dyDescent="0.25">
      <c r="A101" s="102">
        <v>90</v>
      </c>
      <c r="B101" s="103"/>
      <c r="C101" s="104"/>
      <c r="D101" s="1"/>
      <c r="E101" s="105"/>
      <c r="F101" s="105"/>
      <c r="G101" s="100" t="str">
        <f t="shared" si="4"/>
        <v/>
      </c>
      <c r="H101" s="100" t="str">
        <f t="shared" si="5"/>
        <v/>
      </c>
      <c r="I101" s="101">
        <f t="shared" si="0"/>
        <v>0</v>
      </c>
      <c r="J101" s="100" t="str">
        <f t="shared" si="14"/>
        <v/>
      </c>
      <c r="K101" s="6" t="str">
        <f t="shared" si="6"/>
        <v/>
      </c>
      <c r="L101" s="6" t="str">
        <f t="shared" si="6"/>
        <v/>
      </c>
      <c r="M101" s="6">
        <f t="shared" si="15"/>
        <v>0</v>
      </c>
      <c r="N101" s="7">
        <f t="shared" si="16"/>
        <v>0</v>
      </c>
      <c r="O101" s="4"/>
      <c r="P101" s="3"/>
      <c r="Q101" s="3"/>
      <c r="R101" s="3"/>
      <c r="S101" s="3"/>
      <c r="T101" s="3"/>
      <c r="U101" s="5"/>
      <c r="V101" s="125"/>
      <c r="W101" s="3"/>
      <c r="X101" s="3"/>
      <c r="Y101" s="3"/>
      <c r="Z101" s="3"/>
      <c r="AA101" s="8"/>
      <c r="AB101" s="8"/>
      <c r="AC101" s="3"/>
      <c r="AD101" s="3"/>
      <c r="AE101" s="3"/>
      <c r="AF101" s="3"/>
      <c r="AG101" s="3"/>
      <c r="AH101" s="8"/>
      <c r="AI101" s="8"/>
      <c r="AJ101" s="3"/>
      <c r="AK101" s="3"/>
      <c r="AL101" s="3"/>
      <c r="AM101" s="3"/>
      <c r="AN101" s="3"/>
      <c r="AO101" s="8"/>
      <c r="AP101" s="8"/>
      <c r="AQ101" s="3"/>
      <c r="AR101" s="3"/>
      <c r="AS101" s="3"/>
      <c r="AT101" s="3"/>
      <c r="AU101" s="3"/>
      <c r="AV101" s="8"/>
      <c r="AW101" s="8"/>
      <c r="AX101" s="3"/>
      <c r="AY101" s="3"/>
      <c r="AZ101" s="128"/>
      <c r="BA101" s="5"/>
      <c r="BB101" s="59"/>
      <c r="BC101" s="59"/>
      <c r="GP101" s="54"/>
      <c r="GQ101" s="54"/>
    </row>
    <row r="102" spans="1:199" ht="15" hidden="1" customHeight="1" x14ac:dyDescent="0.25">
      <c r="A102" s="97">
        <v>91</v>
      </c>
      <c r="B102" s="103"/>
      <c r="C102" s="104"/>
      <c r="D102" s="1"/>
      <c r="E102" s="105"/>
      <c r="F102" s="105"/>
      <c r="G102" s="100" t="str">
        <f t="shared" si="4"/>
        <v/>
      </c>
      <c r="H102" s="100" t="str">
        <f t="shared" si="5"/>
        <v/>
      </c>
      <c r="I102" s="101">
        <f t="shared" si="0"/>
        <v>0</v>
      </c>
      <c r="J102" s="100" t="str">
        <f t="shared" si="14"/>
        <v/>
      </c>
      <c r="K102" s="6" t="str">
        <f t="shared" si="6"/>
        <v/>
      </c>
      <c r="L102" s="6" t="str">
        <f t="shared" si="6"/>
        <v/>
      </c>
      <c r="M102" s="6">
        <f t="shared" si="15"/>
        <v>0</v>
      </c>
      <c r="N102" s="7">
        <f t="shared" si="16"/>
        <v>0</v>
      </c>
      <c r="O102" s="4"/>
      <c r="P102" s="3"/>
      <c r="Q102" s="3"/>
      <c r="R102" s="3"/>
      <c r="S102" s="3"/>
      <c r="T102" s="3"/>
      <c r="U102" s="5"/>
      <c r="V102" s="125"/>
      <c r="W102" s="3"/>
      <c r="X102" s="3"/>
      <c r="Y102" s="3"/>
      <c r="Z102" s="3"/>
      <c r="AA102" s="8"/>
      <c r="AB102" s="8"/>
      <c r="AC102" s="3"/>
      <c r="AD102" s="3"/>
      <c r="AE102" s="3"/>
      <c r="AF102" s="3"/>
      <c r="AG102" s="3"/>
      <c r="AH102" s="8"/>
      <c r="AI102" s="8"/>
      <c r="AJ102" s="3"/>
      <c r="AK102" s="3"/>
      <c r="AL102" s="3"/>
      <c r="AM102" s="3"/>
      <c r="AN102" s="3"/>
      <c r="AO102" s="8"/>
      <c r="AP102" s="8"/>
      <c r="AQ102" s="3"/>
      <c r="AR102" s="3"/>
      <c r="AS102" s="3"/>
      <c r="AT102" s="3"/>
      <c r="AU102" s="3"/>
      <c r="AV102" s="8"/>
      <c r="AW102" s="8"/>
      <c r="AX102" s="3"/>
      <c r="AY102" s="3"/>
      <c r="AZ102" s="128"/>
      <c r="BA102" s="5"/>
      <c r="BB102" s="59"/>
      <c r="BC102" s="59"/>
      <c r="GP102" s="54"/>
      <c r="GQ102" s="54"/>
    </row>
    <row r="103" spans="1:199" ht="15" hidden="1" customHeight="1" x14ac:dyDescent="0.25">
      <c r="A103" s="102">
        <v>92</v>
      </c>
      <c r="B103" s="103"/>
      <c r="C103" s="104"/>
      <c r="D103" s="1"/>
      <c r="E103" s="105"/>
      <c r="F103" s="105"/>
      <c r="G103" s="100" t="str">
        <f t="shared" si="4"/>
        <v/>
      </c>
      <c r="H103" s="100" t="str">
        <f t="shared" si="5"/>
        <v/>
      </c>
      <c r="I103" s="101">
        <f t="shared" si="0"/>
        <v>0</v>
      </c>
      <c r="J103" s="100" t="str">
        <f t="shared" si="14"/>
        <v/>
      </c>
      <c r="K103" s="6" t="str">
        <f t="shared" si="6"/>
        <v/>
      </c>
      <c r="L103" s="6" t="str">
        <f t="shared" si="6"/>
        <v/>
      </c>
      <c r="M103" s="6">
        <f t="shared" si="15"/>
        <v>0</v>
      </c>
      <c r="N103" s="7">
        <f t="shared" si="16"/>
        <v>0</v>
      </c>
      <c r="O103" s="4"/>
      <c r="P103" s="3"/>
      <c r="Q103" s="3"/>
      <c r="R103" s="3"/>
      <c r="S103" s="3"/>
      <c r="T103" s="3"/>
      <c r="U103" s="5"/>
      <c r="V103" s="125"/>
      <c r="W103" s="3"/>
      <c r="X103" s="3"/>
      <c r="Y103" s="3"/>
      <c r="Z103" s="3"/>
      <c r="AA103" s="8"/>
      <c r="AB103" s="8"/>
      <c r="AC103" s="3"/>
      <c r="AD103" s="3"/>
      <c r="AE103" s="3"/>
      <c r="AF103" s="3"/>
      <c r="AG103" s="3"/>
      <c r="AH103" s="8"/>
      <c r="AI103" s="8"/>
      <c r="AJ103" s="3"/>
      <c r="AK103" s="3"/>
      <c r="AL103" s="3"/>
      <c r="AM103" s="3"/>
      <c r="AN103" s="3"/>
      <c r="AO103" s="8"/>
      <c r="AP103" s="8"/>
      <c r="AQ103" s="3"/>
      <c r="AR103" s="3"/>
      <c r="AS103" s="3"/>
      <c r="AT103" s="3"/>
      <c r="AU103" s="3"/>
      <c r="AV103" s="8"/>
      <c r="AW103" s="8"/>
      <c r="AX103" s="3"/>
      <c r="AY103" s="3"/>
      <c r="AZ103" s="128"/>
      <c r="BA103" s="5"/>
      <c r="BB103" s="59"/>
      <c r="BC103" s="59"/>
      <c r="GP103" s="54"/>
      <c r="GQ103" s="54"/>
    </row>
    <row r="104" spans="1:199" ht="15" hidden="1" customHeight="1" x14ac:dyDescent="0.25">
      <c r="A104" s="102">
        <v>93</v>
      </c>
      <c r="B104" s="103"/>
      <c r="C104" s="104"/>
      <c r="D104" s="1"/>
      <c r="E104" s="105"/>
      <c r="F104" s="105"/>
      <c r="G104" s="100" t="str">
        <f t="shared" si="4"/>
        <v/>
      </c>
      <c r="H104" s="100" t="str">
        <f t="shared" si="5"/>
        <v/>
      </c>
      <c r="I104" s="101">
        <f t="shared" si="0"/>
        <v>0</v>
      </c>
      <c r="J104" s="100" t="str">
        <f t="shared" si="14"/>
        <v/>
      </c>
      <c r="K104" s="6" t="str">
        <f t="shared" si="6"/>
        <v/>
      </c>
      <c r="L104" s="6" t="str">
        <f t="shared" si="6"/>
        <v/>
      </c>
      <c r="M104" s="6">
        <f t="shared" si="15"/>
        <v>0</v>
      </c>
      <c r="N104" s="7">
        <f t="shared" si="16"/>
        <v>0</v>
      </c>
      <c r="O104" s="4"/>
      <c r="P104" s="3"/>
      <c r="Q104" s="3"/>
      <c r="R104" s="3"/>
      <c r="S104" s="3"/>
      <c r="T104" s="3"/>
      <c r="U104" s="5"/>
      <c r="V104" s="125"/>
      <c r="W104" s="3"/>
      <c r="X104" s="3"/>
      <c r="Y104" s="3"/>
      <c r="Z104" s="3"/>
      <c r="AA104" s="8"/>
      <c r="AB104" s="8"/>
      <c r="AC104" s="3"/>
      <c r="AD104" s="3"/>
      <c r="AE104" s="3"/>
      <c r="AF104" s="3"/>
      <c r="AG104" s="3"/>
      <c r="AH104" s="8"/>
      <c r="AI104" s="8"/>
      <c r="AJ104" s="3"/>
      <c r="AK104" s="3"/>
      <c r="AL104" s="3"/>
      <c r="AM104" s="3"/>
      <c r="AN104" s="3"/>
      <c r="AO104" s="8"/>
      <c r="AP104" s="8"/>
      <c r="AQ104" s="3"/>
      <c r="AR104" s="3"/>
      <c r="AS104" s="3"/>
      <c r="AT104" s="3"/>
      <c r="AU104" s="3"/>
      <c r="AV104" s="8"/>
      <c r="AW104" s="8"/>
      <c r="AX104" s="3"/>
      <c r="AY104" s="3"/>
      <c r="AZ104" s="128"/>
      <c r="BA104" s="5"/>
      <c r="BB104" s="59"/>
      <c r="BC104" s="59"/>
      <c r="GP104" s="54"/>
      <c r="GQ104" s="54"/>
    </row>
    <row r="105" spans="1:199" ht="15" hidden="1" customHeight="1" x14ac:dyDescent="0.25">
      <c r="A105" s="102">
        <v>94</v>
      </c>
      <c r="B105" s="103"/>
      <c r="C105" s="104"/>
      <c r="D105" s="1"/>
      <c r="E105" s="105"/>
      <c r="F105" s="105"/>
      <c r="G105" s="100" t="str">
        <f t="shared" si="4"/>
        <v/>
      </c>
      <c r="H105" s="100" t="str">
        <f t="shared" si="5"/>
        <v/>
      </c>
      <c r="I105" s="101">
        <f t="shared" si="0"/>
        <v>0</v>
      </c>
      <c r="J105" s="100" t="str">
        <f t="shared" si="14"/>
        <v/>
      </c>
      <c r="K105" s="6" t="str">
        <f t="shared" si="6"/>
        <v/>
      </c>
      <c r="L105" s="6" t="str">
        <f t="shared" si="6"/>
        <v/>
      </c>
      <c r="M105" s="6">
        <f t="shared" si="15"/>
        <v>0</v>
      </c>
      <c r="N105" s="7">
        <f t="shared" si="16"/>
        <v>0</v>
      </c>
      <c r="O105" s="4"/>
      <c r="P105" s="3"/>
      <c r="Q105" s="3"/>
      <c r="R105" s="3"/>
      <c r="S105" s="3"/>
      <c r="T105" s="3"/>
      <c r="U105" s="5"/>
      <c r="V105" s="125"/>
      <c r="W105" s="3"/>
      <c r="X105" s="3"/>
      <c r="Y105" s="3"/>
      <c r="Z105" s="3"/>
      <c r="AA105" s="8"/>
      <c r="AB105" s="8"/>
      <c r="AC105" s="3"/>
      <c r="AD105" s="3"/>
      <c r="AE105" s="3"/>
      <c r="AF105" s="3"/>
      <c r="AG105" s="3"/>
      <c r="AH105" s="8"/>
      <c r="AI105" s="8"/>
      <c r="AJ105" s="3"/>
      <c r="AK105" s="3"/>
      <c r="AL105" s="3"/>
      <c r="AM105" s="3"/>
      <c r="AN105" s="3"/>
      <c r="AO105" s="8"/>
      <c r="AP105" s="8"/>
      <c r="AQ105" s="3"/>
      <c r="AR105" s="3"/>
      <c r="AS105" s="3"/>
      <c r="AT105" s="3"/>
      <c r="AU105" s="3"/>
      <c r="AV105" s="8"/>
      <c r="AW105" s="8"/>
      <c r="AX105" s="3"/>
      <c r="AY105" s="3"/>
      <c r="AZ105" s="128"/>
      <c r="BA105" s="5"/>
      <c r="BB105" s="59"/>
      <c r="BC105" s="59"/>
      <c r="GP105" s="54"/>
      <c r="GQ105" s="54"/>
    </row>
    <row r="106" spans="1:199" ht="15" hidden="1" customHeight="1" x14ac:dyDescent="0.25">
      <c r="A106" s="102">
        <v>95</v>
      </c>
      <c r="B106" s="103"/>
      <c r="C106" s="104"/>
      <c r="D106" s="1"/>
      <c r="E106" s="105"/>
      <c r="F106" s="105"/>
      <c r="G106" s="100" t="str">
        <f t="shared" si="4"/>
        <v/>
      </c>
      <c r="H106" s="100" t="str">
        <f t="shared" si="5"/>
        <v/>
      </c>
      <c r="I106" s="101">
        <f t="shared" si="0"/>
        <v>0</v>
      </c>
      <c r="J106" s="100" t="str">
        <f t="shared" si="14"/>
        <v/>
      </c>
      <c r="K106" s="6" t="str">
        <f t="shared" si="6"/>
        <v/>
      </c>
      <c r="L106" s="6" t="str">
        <f t="shared" si="6"/>
        <v/>
      </c>
      <c r="M106" s="6">
        <f t="shared" si="15"/>
        <v>0</v>
      </c>
      <c r="N106" s="7">
        <f t="shared" si="16"/>
        <v>0</v>
      </c>
      <c r="O106" s="4"/>
      <c r="P106" s="3"/>
      <c r="Q106" s="3"/>
      <c r="R106" s="3"/>
      <c r="S106" s="3"/>
      <c r="T106" s="3"/>
      <c r="U106" s="5"/>
      <c r="V106" s="125"/>
      <c r="W106" s="3"/>
      <c r="X106" s="3"/>
      <c r="Y106" s="3"/>
      <c r="Z106" s="3"/>
      <c r="AA106" s="8"/>
      <c r="AB106" s="8"/>
      <c r="AC106" s="3"/>
      <c r="AD106" s="3"/>
      <c r="AE106" s="3"/>
      <c r="AF106" s="3"/>
      <c r="AG106" s="3"/>
      <c r="AH106" s="8"/>
      <c r="AI106" s="8"/>
      <c r="AJ106" s="3"/>
      <c r="AK106" s="3"/>
      <c r="AL106" s="3"/>
      <c r="AM106" s="3"/>
      <c r="AN106" s="3"/>
      <c r="AO106" s="8"/>
      <c r="AP106" s="8"/>
      <c r="AQ106" s="3"/>
      <c r="AR106" s="3"/>
      <c r="AS106" s="3"/>
      <c r="AT106" s="3"/>
      <c r="AU106" s="3"/>
      <c r="AV106" s="8"/>
      <c r="AW106" s="8"/>
      <c r="AX106" s="3"/>
      <c r="AY106" s="3"/>
      <c r="AZ106" s="128"/>
      <c r="BA106" s="5"/>
      <c r="BB106" s="59"/>
      <c r="BC106" s="59"/>
      <c r="GP106" s="54"/>
      <c r="GQ106" s="54"/>
    </row>
    <row r="107" spans="1:199" ht="15" hidden="1" customHeight="1" x14ac:dyDescent="0.25">
      <c r="A107" s="97">
        <v>96</v>
      </c>
      <c r="B107" s="103"/>
      <c r="C107" s="104"/>
      <c r="D107" s="1"/>
      <c r="E107" s="105"/>
      <c r="F107" s="105"/>
      <c r="G107" s="100" t="str">
        <f t="shared" si="4"/>
        <v/>
      </c>
      <c r="H107" s="100" t="str">
        <f t="shared" si="5"/>
        <v/>
      </c>
      <c r="I107" s="101">
        <f t="shared" si="0"/>
        <v>0</v>
      </c>
      <c r="J107" s="100" t="str">
        <f t="shared" si="14"/>
        <v/>
      </c>
      <c r="K107" s="6" t="str">
        <f t="shared" si="6"/>
        <v/>
      </c>
      <c r="L107" s="6" t="str">
        <f t="shared" si="6"/>
        <v/>
      </c>
      <c r="M107" s="6">
        <f t="shared" si="15"/>
        <v>0</v>
      </c>
      <c r="N107" s="7">
        <f t="shared" si="16"/>
        <v>0</v>
      </c>
      <c r="O107" s="4"/>
      <c r="P107" s="3"/>
      <c r="Q107" s="3"/>
      <c r="R107" s="3"/>
      <c r="S107" s="3"/>
      <c r="T107" s="3"/>
      <c r="U107" s="5"/>
      <c r="V107" s="125"/>
      <c r="W107" s="3"/>
      <c r="X107" s="3"/>
      <c r="Y107" s="3"/>
      <c r="Z107" s="3"/>
      <c r="AA107" s="8"/>
      <c r="AB107" s="8"/>
      <c r="AC107" s="3"/>
      <c r="AD107" s="3"/>
      <c r="AE107" s="3"/>
      <c r="AF107" s="3"/>
      <c r="AG107" s="3"/>
      <c r="AH107" s="8"/>
      <c r="AI107" s="8"/>
      <c r="AJ107" s="3"/>
      <c r="AK107" s="3"/>
      <c r="AL107" s="3"/>
      <c r="AM107" s="3"/>
      <c r="AN107" s="3"/>
      <c r="AO107" s="8"/>
      <c r="AP107" s="8"/>
      <c r="AQ107" s="3"/>
      <c r="AR107" s="3"/>
      <c r="AS107" s="3"/>
      <c r="AT107" s="3"/>
      <c r="AU107" s="3"/>
      <c r="AV107" s="8"/>
      <c r="AW107" s="8"/>
      <c r="AX107" s="3"/>
      <c r="AY107" s="3"/>
      <c r="AZ107" s="128"/>
      <c r="BA107" s="5"/>
      <c r="BB107" s="59"/>
      <c r="BC107" s="59"/>
      <c r="GP107" s="54"/>
      <c r="GQ107" s="54"/>
    </row>
    <row r="108" spans="1:199" ht="15" hidden="1" customHeight="1" x14ac:dyDescent="0.25">
      <c r="A108" s="102">
        <v>97</v>
      </c>
      <c r="B108" s="103"/>
      <c r="C108" s="104"/>
      <c r="D108" s="1"/>
      <c r="E108" s="105"/>
      <c r="F108" s="105"/>
      <c r="G108" s="100" t="str">
        <f t="shared" si="4"/>
        <v/>
      </c>
      <c r="H108" s="100" t="str">
        <f t="shared" si="5"/>
        <v/>
      </c>
      <c r="I108" s="101">
        <f t="shared" si="0"/>
        <v>0</v>
      </c>
      <c r="J108" s="100" t="str">
        <f t="shared" si="14"/>
        <v/>
      </c>
      <c r="K108" s="6" t="str">
        <f t="shared" si="6"/>
        <v/>
      </c>
      <c r="L108" s="6" t="str">
        <f t="shared" si="6"/>
        <v/>
      </c>
      <c r="M108" s="6">
        <f t="shared" si="15"/>
        <v>0</v>
      </c>
      <c r="N108" s="7">
        <f t="shared" ref="N108:N111" si="17">(IF(O108="x",4,0))+(IF(P108="x",4,0))+(IF(Q108="x",4,0))+(IF(R108="x",4,0))+(IF(S108="x",4,0))+U108+(COUNTIF(W108:BA108,"x"))</f>
        <v>0</v>
      </c>
      <c r="O108" s="4"/>
      <c r="P108" s="3"/>
      <c r="Q108" s="3"/>
      <c r="R108" s="3"/>
      <c r="S108" s="3"/>
      <c r="T108" s="3"/>
      <c r="U108" s="5"/>
      <c r="V108" s="125"/>
      <c r="W108" s="3"/>
      <c r="X108" s="3"/>
      <c r="Y108" s="3"/>
      <c r="Z108" s="3"/>
      <c r="AA108" s="8"/>
      <c r="AB108" s="8"/>
      <c r="AC108" s="3"/>
      <c r="AD108" s="3"/>
      <c r="AE108" s="3"/>
      <c r="AF108" s="3"/>
      <c r="AG108" s="3"/>
      <c r="AH108" s="8"/>
      <c r="AI108" s="8"/>
      <c r="AJ108" s="3"/>
      <c r="AK108" s="3"/>
      <c r="AL108" s="3"/>
      <c r="AM108" s="3"/>
      <c r="AN108" s="3"/>
      <c r="AO108" s="8"/>
      <c r="AP108" s="8"/>
      <c r="AQ108" s="3"/>
      <c r="AR108" s="3"/>
      <c r="AS108" s="3"/>
      <c r="AT108" s="3"/>
      <c r="AU108" s="3"/>
      <c r="AV108" s="8"/>
      <c r="AW108" s="8"/>
      <c r="AX108" s="3"/>
      <c r="AY108" s="3"/>
      <c r="AZ108" s="128"/>
      <c r="BA108" s="5"/>
      <c r="BB108" s="59"/>
      <c r="BC108" s="59"/>
      <c r="GP108" s="54"/>
      <c r="GQ108" s="54"/>
    </row>
    <row r="109" spans="1:199" ht="15" hidden="1" customHeight="1" x14ac:dyDescent="0.25">
      <c r="A109" s="102">
        <v>98</v>
      </c>
      <c r="B109" s="103"/>
      <c r="C109" s="104"/>
      <c r="D109" s="2"/>
      <c r="E109" s="105"/>
      <c r="F109" s="105"/>
      <c r="G109" s="100" t="str">
        <f t="shared" si="4"/>
        <v/>
      </c>
      <c r="H109" s="100" t="str">
        <f t="shared" si="5"/>
        <v/>
      </c>
      <c r="I109" s="101">
        <f t="shared" si="0"/>
        <v>0</v>
      </c>
      <c r="J109" s="100" t="str">
        <f t="shared" si="14"/>
        <v/>
      </c>
      <c r="K109" s="6" t="str">
        <f t="shared" si="6"/>
        <v/>
      </c>
      <c r="L109" s="6" t="str">
        <f t="shared" si="6"/>
        <v/>
      </c>
      <c r="M109" s="6">
        <f t="shared" si="15"/>
        <v>0</v>
      </c>
      <c r="N109" s="7">
        <f t="shared" si="17"/>
        <v>0</v>
      </c>
      <c r="O109" s="4"/>
      <c r="P109" s="3"/>
      <c r="Q109" s="3"/>
      <c r="R109" s="3"/>
      <c r="S109" s="3"/>
      <c r="T109" s="3"/>
      <c r="U109" s="5"/>
      <c r="V109" s="125"/>
      <c r="W109" s="3"/>
      <c r="X109" s="3"/>
      <c r="Y109" s="3"/>
      <c r="Z109" s="3"/>
      <c r="AA109" s="8"/>
      <c r="AB109" s="8"/>
      <c r="AC109" s="3"/>
      <c r="AD109" s="3"/>
      <c r="AE109" s="3"/>
      <c r="AF109" s="3"/>
      <c r="AG109" s="3"/>
      <c r="AH109" s="8"/>
      <c r="AI109" s="8"/>
      <c r="AJ109" s="3"/>
      <c r="AK109" s="3"/>
      <c r="AL109" s="3"/>
      <c r="AM109" s="3"/>
      <c r="AN109" s="3"/>
      <c r="AO109" s="8"/>
      <c r="AP109" s="8"/>
      <c r="AQ109" s="3"/>
      <c r="AR109" s="3"/>
      <c r="AS109" s="3"/>
      <c r="AT109" s="3"/>
      <c r="AU109" s="3"/>
      <c r="AV109" s="8"/>
      <c r="AW109" s="8"/>
      <c r="AX109" s="3"/>
      <c r="AY109" s="3"/>
      <c r="AZ109" s="128"/>
      <c r="BA109" s="5"/>
      <c r="BB109" s="59"/>
      <c r="BC109" s="59"/>
      <c r="GP109" s="54"/>
      <c r="GQ109" s="54"/>
    </row>
    <row r="110" spans="1:199" ht="15" hidden="1" customHeight="1" x14ac:dyDescent="0.25">
      <c r="A110" s="102">
        <v>99</v>
      </c>
      <c r="B110" s="103"/>
      <c r="C110" s="104"/>
      <c r="D110" s="1"/>
      <c r="E110" s="105"/>
      <c r="F110" s="105"/>
      <c r="G110" s="100" t="str">
        <f t="shared" si="4"/>
        <v/>
      </c>
      <c r="H110" s="100" t="str">
        <f t="shared" si="5"/>
        <v/>
      </c>
      <c r="I110" s="101">
        <f t="shared" si="0"/>
        <v>0</v>
      </c>
      <c r="J110" s="100" t="str">
        <f t="shared" si="14"/>
        <v/>
      </c>
      <c r="K110" s="6" t="str">
        <f t="shared" si="6"/>
        <v/>
      </c>
      <c r="L110" s="6" t="str">
        <f t="shared" si="6"/>
        <v/>
      </c>
      <c r="M110" s="6">
        <f t="shared" si="15"/>
        <v>0</v>
      </c>
      <c r="N110" s="7">
        <f t="shared" si="17"/>
        <v>0</v>
      </c>
      <c r="O110" s="4"/>
      <c r="P110" s="3"/>
      <c r="Q110" s="3"/>
      <c r="R110" s="3"/>
      <c r="S110" s="3"/>
      <c r="T110" s="3"/>
      <c r="U110" s="5"/>
      <c r="V110" s="125"/>
      <c r="W110" s="3"/>
      <c r="X110" s="3"/>
      <c r="Y110" s="3"/>
      <c r="Z110" s="3"/>
      <c r="AA110" s="8"/>
      <c r="AB110" s="8"/>
      <c r="AC110" s="3"/>
      <c r="AD110" s="3"/>
      <c r="AE110" s="3"/>
      <c r="AF110" s="3"/>
      <c r="AG110" s="3"/>
      <c r="AH110" s="8"/>
      <c r="AI110" s="8"/>
      <c r="AJ110" s="3"/>
      <c r="AK110" s="3"/>
      <c r="AL110" s="3"/>
      <c r="AM110" s="3"/>
      <c r="AN110" s="3"/>
      <c r="AO110" s="8"/>
      <c r="AP110" s="8"/>
      <c r="AQ110" s="3"/>
      <c r="AR110" s="3"/>
      <c r="AS110" s="3"/>
      <c r="AT110" s="3"/>
      <c r="AU110" s="3"/>
      <c r="AV110" s="8"/>
      <c r="AW110" s="8"/>
      <c r="AX110" s="3"/>
      <c r="AY110" s="3"/>
      <c r="AZ110" s="128"/>
      <c r="BA110" s="5"/>
      <c r="BB110" s="59"/>
      <c r="BC110" s="59"/>
      <c r="GP110" s="54"/>
      <c r="GQ110" s="54"/>
    </row>
    <row r="111" spans="1:199" ht="15" hidden="1" customHeight="1" thickBot="1" x14ac:dyDescent="0.3">
      <c r="A111" s="97">
        <v>100</v>
      </c>
      <c r="B111" s="103"/>
      <c r="C111" s="104"/>
      <c r="D111" s="1"/>
      <c r="E111" s="105"/>
      <c r="F111" s="105"/>
      <c r="G111" s="100" t="str">
        <f t="shared" si="4"/>
        <v/>
      </c>
      <c r="H111" s="100" t="str">
        <f t="shared" si="5"/>
        <v/>
      </c>
      <c r="I111" s="101">
        <f t="shared" si="0"/>
        <v>0</v>
      </c>
      <c r="J111" s="100" t="str">
        <f>IF(I111&gt;0,12,"")</f>
        <v/>
      </c>
      <c r="K111" s="6" t="str">
        <f t="shared" si="6"/>
        <v/>
      </c>
      <c r="L111" s="6" t="str">
        <f t="shared" si="6"/>
        <v/>
      </c>
      <c r="M111" s="6">
        <f t="shared" si="15"/>
        <v>0</v>
      </c>
      <c r="N111" s="7">
        <f t="shared" si="17"/>
        <v>0</v>
      </c>
      <c r="O111" s="4"/>
      <c r="P111" s="3"/>
      <c r="Q111" s="3"/>
      <c r="R111" s="3"/>
      <c r="S111" s="3"/>
      <c r="T111" s="3"/>
      <c r="U111" s="5"/>
      <c r="V111" s="125"/>
      <c r="W111" s="3"/>
      <c r="X111" s="3"/>
      <c r="Y111" s="3"/>
      <c r="Z111" s="3"/>
      <c r="AA111" s="8"/>
      <c r="AB111" s="8"/>
      <c r="AC111" s="3"/>
      <c r="AD111" s="3"/>
      <c r="AE111" s="3"/>
      <c r="AF111" s="3"/>
      <c r="AG111" s="3"/>
      <c r="AH111" s="8"/>
      <c r="AI111" s="8"/>
      <c r="AJ111" s="3"/>
      <c r="AK111" s="3"/>
      <c r="AL111" s="3"/>
      <c r="AM111" s="3"/>
      <c r="AN111" s="3"/>
      <c r="AO111" s="8"/>
      <c r="AP111" s="8"/>
      <c r="AQ111" s="3"/>
      <c r="AR111" s="3"/>
      <c r="AS111" s="3"/>
      <c r="AT111" s="3"/>
      <c r="AU111" s="3"/>
      <c r="AV111" s="8"/>
      <c r="AW111" s="8"/>
      <c r="AX111" s="3"/>
      <c r="AY111" s="3"/>
      <c r="AZ111" s="128"/>
      <c r="BA111" s="5"/>
      <c r="BB111" s="59"/>
      <c r="BC111" s="59"/>
      <c r="GP111" s="54"/>
      <c r="GQ111" s="54"/>
    </row>
    <row r="112" spans="1:199" ht="19.649999999999999" customHeight="1" thickTop="1" thickBot="1" x14ac:dyDescent="0.35">
      <c r="A112" s="107"/>
      <c r="B112" s="90" t="s">
        <v>33</v>
      </c>
      <c r="C112" s="90">
        <f>COUNTA(C12:C111)</f>
        <v>0</v>
      </c>
      <c r="D112" s="90" t="s">
        <v>2</v>
      </c>
      <c r="E112" s="90">
        <f>SUM(E12:E111)</f>
        <v>0</v>
      </c>
      <c r="F112" s="90">
        <f>SUM(F12:F111)</f>
        <v>0</v>
      </c>
      <c r="G112" s="108">
        <f>SUM(G12:G111)</f>
        <v>0</v>
      </c>
      <c r="H112" s="108">
        <f>SUM(H12:H111)</f>
        <v>0</v>
      </c>
      <c r="I112" s="108">
        <f>SUM(I12:I111)</f>
        <v>0</v>
      </c>
      <c r="J112" s="108">
        <f>IF(SUM(J12:J111)=0,0,IF(SUM(J12:J111)&lt;20,20,SUM(J12:J111)))</f>
        <v>0</v>
      </c>
      <c r="K112" s="90"/>
      <c r="L112" s="90"/>
      <c r="M112" s="90"/>
      <c r="N112" s="109"/>
      <c r="O112" s="90"/>
      <c r="P112" s="90"/>
      <c r="Q112" s="90"/>
      <c r="R112" s="90"/>
      <c r="S112" s="90"/>
      <c r="T112" s="90"/>
      <c r="U112" s="90"/>
      <c r="V112" s="126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58"/>
      <c r="BC112" s="58"/>
      <c r="GP112" s="54"/>
      <c r="GQ112" s="54"/>
    </row>
    <row r="113" spans="1:57" ht="15" thickTop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58"/>
      <c r="L113" s="58"/>
      <c r="M113" s="58"/>
      <c r="N113" s="58"/>
      <c r="O113" s="13"/>
      <c r="P113" s="13"/>
      <c r="Q113" s="58"/>
      <c r="R113" s="58"/>
      <c r="S113" s="58"/>
      <c r="T113" s="58"/>
      <c r="U113" s="58"/>
      <c r="V113" s="58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5"/>
      <c r="BC113" s="58"/>
    </row>
    <row r="114" spans="1:57" ht="15" thickBot="1" x14ac:dyDescent="0.3">
      <c r="A114" s="17"/>
      <c r="B114" s="17"/>
      <c r="C114" s="17"/>
      <c r="D114" s="17"/>
      <c r="E114" s="17"/>
      <c r="F114" s="13"/>
      <c r="G114" s="13"/>
      <c r="H114" s="17"/>
      <c r="I114" s="112"/>
      <c r="J114" s="17"/>
      <c r="K114" s="58"/>
      <c r="L114" s="58"/>
      <c r="M114" s="58"/>
      <c r="N114" s="58"/>
      <c r="O114" s="113"/>
      <c r="P114" s="113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4"/>
      <c r="BD114" s="59"/>
      <c r="BE114" s="59"/>
    </row>
    <row r="115" spans="1:57" ht="48.6" customHeight="1" thickTop="1" thickBot="1" x14ac:dyDescent="0.3">
      <c r="A115" s="110" t="s">
        <v>26</v>
      </c>
      <c r="B115" s="164" t="s">
        <v>27</v>
      </c>
      <c r="C115" s="165"/>
      <c r="D115" s="165"/>
      <c r="E115" s="165"/>
      <c r="F115" s="165"/>
      <c r="G115" s="165"/>
      <c r="H115" s="165"/>
      <c r="I115" s="165"/>
      <c r="J115" s="166"/>
      <c r="K115" s="111"/>
      <c r="L115" s="111"/>
      <c r="M115" s="111"/>
      <c r="N115" s="111"/>
      <c r="O115" s="111"/>
      <c r="P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4"/>
      <c r="BD115" s="59"/>
      <c r="BE115" s="59"/>
    </row>
    <row r="116" spans="1:57" ht="28.65" customHeight="1" thickTop="1" x14ac:dyDescent="0.25">
      <c r="A116" s="115"/>
      <c r="B116" s="167"/>
      <c r="C116" s="168"/>
      <c r="D116" s="168"/>
      <c r="E116" s="168"/>
      <c r="F116" s="168"/>
      <c r="G116" s="168"/>
      <c r="H116" s="168"/>
      <c r="I116" s="168"/>
      <c r="J116" s="169"/>
      <c r="K116" s="111"/>
      <c r="L116" s="111"/>
      <c r="M116" s="111"/>
      <c r="N116" s="111"/>
      <c r="O116" s="111"/>
      <c r="P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4"/>
      <c r="BD116" s="59"/>
      <c r="BE116" s="59"/>
    </row>
    <row r="117" spans="1:57" ht="36" customHeight="1" x14ac:dyDescent="0.25">
      <c r="A117" s="116"/>
      <c r="B117" s="151"/>
      <c r="C117" s="152"/>
      <c r="D117" s="152"/>
      <c r="E117" s="152"/>
      <c r="F117" s="152"/>
      <c r="G117" s="152"/>
      <c r="H117" s="152"/>
      <c r="I117" s="152"/>
      <c r="J117" s="153"/>
      <c r="K117" s="111"/>
      <c r="L117" s="111"/>
      <c r="M117" s="111"/>
      <c r="N117" s="111"/>
      <c r="O117" s="111"/>
      <c r="P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4"/>
    </row>
    <row r="118" spans="1:57" ht="36" customHeight="1" x14ac:dyDescent="0.25">
      <c r="A118" s="117"/>
      <c r="B118" s="154"/>
      <c r="C118" s="155"/>
      <c r="D118" s="155"/>
      <c r="E118" s="155"/>
      <c r="F118" s="155"/>
      <c r="G118" s="155"/>
      <c r="H118" s="155"/>
      <c r="I118" s="155"/>
      <c r="J118" s="156"/>
      <c r="K118" s="111"/>
      <c r="L118" s="111"/>
      <c r="M118" s="111"/>
      <c r="N118" s="111"/>
      <c r="O118" s="111"/>
      <c r="P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4"/>
    </row>
    <row r="119" spans="1:57" s="58" customFormat="1" ht="33.9" customHeight="1" x14ac:dyDescent="0.3">
      <c r="A119" s="116"/>
      <c r="B119" s="151"/>
      <c r="C119" s="152"/>
      <c r="D119" s="152"/>
      <c r="E119" s="152"/>
      <c r="F119" s="152"/>
      <c r="G119" s="152"/>
      <c r="H119" s="152"/>
      <c r="I119" s="152"/>
      <c r="J119" s="153"/>
      <c r="K119" s="111"/>
      <c r="L119" s="111"/>
      <c r="M119" s="111"/>
      <c r="N119" s="111"/>
      <c r="O119" s="111"/>
      <c r="P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8"/>
    </row>
    <row r="120" spans="1:57" s="58" customFormat="1" ht="39.15" customHeight="1" x14ac:dyDescent="0.3">
      <c r="A120" s="119"/>
      <c r="B120" s="154"/>
      <c r="C120" s="155"/>
      <c r="D120" s="155"/>
      <c r="E120" s="155"/>
      <c r="F120" s="155"/>
      <c r="G120" s="155"/>
      <c r="H120" s="155"/>
      <c r="I120" s="155"/>
      <c r="J120" s="156"/>
      <c r="K120" s="111"/>
      <c r="L120" s="111"/>
      <c r="M120" s="111"/>
      <c r="N120" s="111"/>
      <c r="O120" s="111"/>
      <c r="P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8"/>
    </row>
    <row r="121" spans="1:57" s="58" customFormat="1" ht="33.9" customHeight="1" x14ac:dyDescent="0.3">
      <c r="A121" s="116"/>
      <c r="B121" s="151"/>
      <c r="C121" s="152"/>
      <c r="D121" s="152"/>
      <c r="E121" s="152"/>
      <c r="F121" s="152"/>
      <c r="G121" s="152"/>
      <c r="H121" s="152"/>
      <c r="I121" s="152"/>
      <c r="J121" s="153"/>
      <c r="K121" s="111"/>
      <c r="L121" s="111"/>
      <c r="M121" s="111"/>
      <c r="N121" s="111"/>
      <c r="O121" s="111"/>
      <c r="P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8"/>
    </row>
    <row r="122" spans="1:57" s="58" customFormat="1" ht="36.75" customHeight="1" x14ac:dyDescent="0.3">
      <c r="A122" s="119"/>
      <c r="B122" s="154"/>
      <c r="C122" s="155"/>
      <c r="D122" s="155"/>
      <c r="E122" s="155"/>
      <c r="F122" s="155"/>
      <c r="G122" s="155"/>
      <c r="H122" s="155"/>
      <c r="I122" s="155"/>
      <c r="J122" s="156"/>
      <c r="K122" s="111"/>
      <c r="L122" s="111"/>
      <c r="M122" s="111"/>
      <c r="N122" s="111"/>
      <c r="O122" s="111"/>
      <c r="P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8"/>
    </row>
    <row r="123" spans="1:57" s="58" customFormat="1" x14ac:dyDescent="0.3">
      <c r="A123" s="13"/>
      <c r="B123" s="13"/>
      <c r="C123" s="13"/>
      <c r="D123" s="13"/>
      <c r="E123" s="13"/>
      <c r="F123" s="13"/>
      <c r="G123" s="13"/>
      <c r="I123" s="13"/>
      <c r="J123" s="13"/>
      <c r="M123" s="111"/>
      <c r="N123" s="111"/>
      <c r="O123" s="13"/>
      <c r="P123" s="13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3"/>
      <c r="BE123" s="59"/>
    </row>
    <row r="124" spans="1:57" s="58" customFormat="1" ht="30" customHeight="1" x14ac:dyDescent="0.3">
      <c r="H124" s="13"/>
      <c r="I124" s="13"/>
      <c r="J124" s="13"/>
      <c r="M124" s="111"/>
      <c r="N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E124" s="59"/>
    </row>
    <row r="125" spans="1:57" s="58" customFormat="1" x14ac:dyDescent="0.3">
      <c r="M125" s="111"/>
      <c r="N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</row>
    <row r="126" spans="1:57" s="58" customFormat="1" x14ac:dyDescent="0.3">
      <c r="M126" s="111"/>
      <c r="N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</row>
    <row r="127" spans="1:57" s="58" customFormat="1" ht="29.25" customHeight="1" x14ac:dyDescent="0.3"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</row>
    <row r="128" spans="1:57" s="58" customFormat="1" ht="30" customHeight="1" x14ac:dyDescent="0.3"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</row>
    <row r="129" spans="23:57" s="58" customFormat="1" x14ac:dyDescent="0.3"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</row>
    <row r="130" spans="23:57" s="58" customFormat="1" x14ac:dyDescent="0.3"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</row>
    <row r="131" spans="23:57" s="58" customFormat="1" x14ac:dyDescent="0.3"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E131" s="59"/>
    </row>
    <row r="132" spans="23:57" s="58" customFormat="1" x14ac:dyDescent="0.3"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E132" s="59"/>
    </row>
    <row r="133" spans="23:57" s="58" customFormat="1" x14ac:dyDescent="0.3"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E133" s="59"/>
    </row>
    <row r="134" spans="23:57" s="58" customFormat="1" x14ac:dyDescent="0.3"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E134" s="59"/>
    </row>
    <row r="135" spans="23:57" s="58" customFormat="1" x14ac:dyDescent="0.3"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E135" s="59"/>
    </row>
    <row r="136" spans="23:57" s="58" customFormat="1" x14ac:dyDescent="0.3"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E136" s="59"/>
    </row>
    <row r="137" spans="23:57" s="58" customFormat="1" x14ac:dyDescent="0.3"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E137" s="59"/>
    </row>
    <row r="138" spans="23:57" s="58" customFormat="1" x14ac:dyDescent="0.3"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E138" s="59"/>
    </row>
    <row r="139" spans="23:57" s="58" customFormat="1" x14ac:dyDescent="0.3"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E139" s="59"/>
    </row>
    <row r="140" spans="23:57" s="58" customFormat="1" x14ac:dyDescent="0.3"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E140" s="59"/>
    </row>
    <row r="141" spans="23:57" s="58" customFormat="1" x14ac:dyDescent="0.3"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E141" s="59"/>
    </row>
    <row r="142" spans="23:57" s="58" customFormat="1" x14ac:dyDescent="0.3"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E142" s="59"/>
    </row>
    <row r="143" spans="23:57" s="58" customFormat="1" x14ac:dyDescent="0.3"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E143" s="59"/>
    </row>
    <row r="144" spans="23:57" s="58" customFormat="1" x14ac:dyDescent="0.3"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E144" s="59"/>
    </row>
    <row r="145" spans="23:57" s="58" customFormat="1" x14ac:dyDescent="0.3"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E145" s="59"/>
    </row>
    <row r="146" spans="23:57" s="58" customFormat="1" x14ac:dyDescent="0.3"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E146" s="59"/>
    </row>
    <row r="147" spans="23:57" s="58" customFormat="1" x14ac:dyDescent="0.3"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E147" s="59"/>
    </row>
    <row r="148" spans="23:57" s="58" customFormat="1" x14ac:dyDescent="0.3"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E148" s="59"/>
    </row>
    <row r="149" spans="23:57" s="58" customFormat="1" x14ac:dyDescent="0.3"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E149" s="59"/>
    </row>
    <row r="150" spans="23:57" s="58" customFormat="1" x14ac:dyDescent="0.3"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E150" s="59"/>
    </row>
    <row r="151" spans="23:57" s="58" customFormat="1" x14ac:dyDescent="0.3"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E151" s="59"/>
    </row>
    <row r="152" spans="23:57" s="58" customFormat="1" x14ac:dyDescent="0.3"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E152" s="59"/>
    </row>
    <row r="153" spans="23:57" s="58" customFormat="1" x14ac:dyDescent="0.3"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E153" s="59"/>
    </row>
    <row r="154" spans="23:57" s="58" customFormat="1" x14ac:dyDescent="0.3"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E154" s="59"/>
    </row>
    <row r="155" spans="23:57" s="58" customFormat="1" x14ac:dyDescent="0.3"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E155" s="59"/>
    </row>
    <row r="156" spans="23:57" s="58" customFormat="1" x14ac:dyDescent="0.3"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E156" s="59"/>
    </row>
    <row r="157" spans="23:57" s="58" customFormat="1" x14ac:dyDescent="0.3"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E157" s="59"/>
    </row>
    <row r="158" spans="23:57" s="58" customFormat="1" x14ac:dyDescent="0.3"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E158" s="59"/>
    </row>
    <row r="159" spans="23:57" s="58" customFormat="1" x14ac:dyDescent="0.3"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E159" s="59"/>
    </row>
    <row r="160" spans="23:57" s="58" customFormat="1" x14ac:dyDescent="0.3"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E160" s="59"/>
    </row>
    <row r="161" spans="23:57" s="58" customFormat="1" x14ac:dyDescent="0.3"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E161" s="59"/>
    </row>
    <row r="162" spans="23:57" s="58" customFormat="1" x14ac:dyDescent="0.3"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E162" s="59"/>
    </row>
    <row r="163" spans="23:57" s="58" customFormat="1" x14ac:dyDescent="0.3"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E163" s="59"/>
    </row>
    <row r="164" spans="23:57" s="58" customFormat="1" x14ac:dyDescent="0.3"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E164" s="59"/>
    </row>
    <row r="165" spans="23:57" s="58" customFormat="1" x14ac:dyDescent="0.3"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E165" s="59"/>
    </row>
    <row r="166" spans="23:57" s="58" customFormat="1" x14ac:dyDescent="0.3"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E166" s="59"/>
    </row>
    <row r="167" spans="23:57" s="58" customFormat="1" x14ac:dyDescent="0.3"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E167" s="59"/>
    </row>
    <row r="168" spans="23:57" s="58" customFormat="1" x14ac:dyDescent="0.3"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E168" s="59"/>
    </row>
    <row r="169" spans="23:57" s="58" customFormat="1" x14ac:dyDescent="0.3"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E169" s="59"/>
    </row>
    <row r="170" spans="23:57" s="58" customFormat="1" x14ac:dyDescent="0.3"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E170" s="59"/>
    </row>
    <row r="171" spans="23:57" s="58" customFormat="1" x14ac:dyDescent="0.3"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E171" s="59"/>
    </row>
    <row r="172" spans="23:57" s="58" customFormat="1" x14ac:dyDescent="0.3"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E172" s="59"/>
    </row>
    <row r="173" spans="23:57" s="58" customFormat="1" x14ac:dyDescent="0.3"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E173" s="59"/>
    </row>
    <row r="174" spans="23:57" s="58" customFormat="1" x14ac:dyDescent="0.3"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E174" s="59"/>
    </row>
    <row r="175" spans="23:57" s="58" customFormat="1" x14ac:dyDescent="0.3"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E175" s="59"/>
    </row>
    <row r="176" spans="23:57" s="58" customFormat="1" x14ac:dyDescent="0.3"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E176" s="59"/>
    </row>
    <row r="177" spans="23:57" s="58" customFormat="1" x14ac:dyDescent="0.3"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E177" s="59"/>
    </row>
    <row r="178" spans="23:57" s="58" customFormat="1" x14ac:dyDescent="0.3"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E178" s="59"/>
    </row>
    <row r="179" spans="23:57" s="58" customFormat="1" x14ac:dyDescent="0.3"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E179" s="59"/>
    </row>
    <row r="180" spans="23:57" s="58" customFormat="1" x14ac:dyDescent="0.3"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E180" s="59"/>
    </row>
    <row r="181" spans="23:57" s="58" customFormat="1" x14ac:dyDescent="0.3"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E181" s="59"/>
    </row>
    <row r="182" spans="23:57" s="58" customFormat="1" x14ac:dyDescent="0.3"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E182" s="59"/>
    </row>
    <row r="183" spans="23:57" s="58" customFormat="1" x14ac:dyDescent="0.3"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E183" s="59"/>
    </row>
    <row r="184" spans="23:57" s="58" customFormat="1" x14ac:dyDescent="0.3"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E184" s="59"/>
    </row>
    <row r="185" spans="23:57" s="58" customFormat="1" x14ac:dyDescent="0.3"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E185" s="59"/>
    </row>
    <row r="186" spans="23:57" s="58" customFormat="1" x14ac:dyDescent="0.3"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E186" s="59"/>
    </row>
    <row r="187" spans="23:57" s="58" customFormat="1" x14ac:dyDescent="0.3"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E187" s="59"/>
    </row>
    <row r="188" spans="23:57" s="58" customFormat="1" x14ac:dyDescent="0.3"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E188" s="59"/>
    </row>
    <row r="189" spans="23:57" s="58" customFormat="1" x14ac:dyDescent="0.3"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E189" s="59"/>
    </row>
    <row r="190" spans="23:57" s="58" customFormat="1" x14ac:dyDescent="0.3"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E190" s="59"/>
    </row>
    <row r="191" spans="23:57" s="58" customFormat="1" x14ac:dyDescent="0.3"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E191" s="59"/>
    </row>
    <row r="192" spans="23:57" s="58" customFormat="1" x14ac:dyDescent="0.3"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E192" s="59"/>
    </row>
    <row r="193" spans="23:57" s="58" customFormat="1" x14ac:dyDescent="0.3"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E193" s="59"/>
    </row>
    <row r="194" spans="23:57" s="58" customFormat="1" x14ac:dyDescent="0.3"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E194" s="59"/>
    </row>
    <row r="195" spans="23:57" s="58" customFormat="1" x14ac:dyDescent="0.3"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E195" s="59"/>
    </row>
    <row r="196" spans="23:57" s="58" customFormat="1" x14ac:dyDescent="0.3"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E196" s="59"/>
    </row>
    <row r="197" spans="23:57" s="58" customFormat="1" x14ac:dyDescent="0.3"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E197" s="59"/>
    </row>
    <row r="198" spans="23:57" s="58" customFormat="1" x14ac:dyDescent="0.3"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E198" s="59"/>
    </row>
    <row r="199" spans="23:57" s="58" customFormat="1" x14ac:dyDescent="0.3"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E199" s="59"/>
    </row>
    <row r="200" spans="23:57" s="58" customFormat="1" x14ac:dyDescent="0.3"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E200" s="59"/>
    </row>
    <row r="201" spans="23:57" s="58" customFormat="1" x14ac:dyDescent="0.3"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E201" s="59"/>
    </row>
    <row r="202" spans="23:57" s="58" customFormat="1" x14ac:dyDescent="0.3"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E202" s="59"/>
    </row>
    <row r="203" spans="23:57" s="58" customFormat="1" x14ac:dyDescent="0.3"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E203" s="59"/>
    </row>
    <row r="204" spans="23:57" s="58" customFormat="1" x14ac:dyDescent="0.3"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E204" s="59"/>
    </row>
    <row r="205" spans="23:57" s="58" customFormat="1" x14ac:dyDescent="0.3"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E205" s="59"/>
    </row>
    <row r="206" spans="23:57" s="58" customFormat="1" x14ac:dyDescent="0.3"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E206" s="59"/>
    </row>
    <row r="207" spans="23:57" s="58" customFormat="1" x14ac:dyDescent="0.3"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E207" s="59"/>
    </row>
    <row r="208" spans="23:57" s="58" customFormat="1" x14ac:dyDescent="0.3"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E208" s="59"/>
    </row>
    <row r="209" spans="23:57" s="58" customFormat="1" x14ac:dyDescent="0.3"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E209" s="59"/>
    </row>
    <row r="210" spans="23:57" s="58" customFormat="1" x14ac:dyDescent="0.3"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E210" s="59"/>
    </row>
    <row r="211" spans="23:57" s="58" customFormat="1" x14ac:dyDescent="0.3"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E211" s="59"/>
    </row>
    <row r="212" spans="23:57" s="58" customFormat="1" x14ac:dyDescent="0.3"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E212" s="59"/>
    </row>
    <row r="213" spans="23:57" s="58" customFormat="1" x14ac:dyDescent="0.3"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E213" s="59"/>
    </row>
    <row r="214" spans="23:57" s="58" customFormat="1" x14ac:dyDescent="0.3"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E214" s="59"/>
    </row>
    <row r="215" spans="23:57" s="58" customFormat="1" x14ac:dyDescent="0.3"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E215" s="59"/>
    </row>
    <row r="216" spans="23:57" s="58" customFormat="1" x14ac:dyDescent="0.3"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E216" s="59"/>
    </row>
    <row r="217" spans="23:57" s="58" customFormat="1" x14ac:dyDescent="0.3"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E217" s="59"/>
    </row>
    <row r="218" spans="23:57" s="58" customFormat="1" x14ac:dyDescent="0.3"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E218" s="59"/>
    </row>
    <row r="219" spans="23:57" s="58" customFormat="1" x14ac:dyDescent="0.3"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E219" s="59"/>
    </row>
    <row r="220" spans="23:57" s="58" customFormat="1" x14ac:dyDescent="0.3"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E220" s="59"/>
    </row>
    <row r="221" spans="23:57" s="58" customFormat="1" x14ac:dyDescent="0.3"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E221" s="59"/>
    </row>
    <row r="222" spans="23:57" s="58" customFormat="1" x14ac:dyDescent="0.3"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E222" s="59"/>
    </row>
    <row r="223" spans="23:57" s="58" customFormat="1" x14ac:dyDescent="0.3"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E223" s="59"/>
    </row>
    <row r="224" spans="23:57" s="58" customFormat="1" x14ac:dyDescent="0.3"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E224" s="59"/>
    </row>
    <row r="225" spans="23:57" s="58" customFormat="1" x14ac:dyDescent="0.3"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E225" s="59"/>
    </row>
    <row r="226" spans="23:57" s="58" customFormat="1" x14ac:dyDescent="0.3"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E226" s="59"/>
    </row>
    <row r="227" spans="23:57" s="58" customFormat="1" x14ac:dyDescent="0.3"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E227" s="59"/>
    </row>
    <row r="228" spans="23:57" s="58" customFormat="1" x14ac:dyDescent="0.3"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E228" s="59"/>
    </row>
    <row r="229" spans="23:57" s="58" customFormat="1" x14ac:dyDescent="0.3"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E229" s="59"/>
    </row>
    <row r="230" spans="23:57" s="58" customFormat="1" x14ac:dyDescent="0.3"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E230" s="59"/>
    </row>
    <row r="231" spans="23:57" s="58" customFormat="1" x14ac:dyDescent="0.3"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E231" s="59"/>
    </row>
    <row r="232" spans="23:57" s="58" customFormat="1" x14ac:dyDescent="0.3"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E232" s="59"/>
    </row>
    <row r="233" spans="23:57" s="58" customFormat="1" x14ac:dyDescent="0.3"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E233" s="59"/>
    </row>
    <row r="234" spans="23:57" s="58" customFormat="1" x14ac:dyDescent="0.3"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E234" s="59"/>
    </row>
    <row r="235" spans="23:57" s="58" customFormat="1" x14ac:dyDescent="0.3"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E235" s="59"/>
    </row>
    <row r="236" spans="23:57" s="58" customFormat="1" x14ac:dyDescent="0.3"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E236" s="59"/>
    </row>
    <row r="237" spans="23:57" s="58" customFormat="1" x14ac:dyDescent="0.3"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E237" s="59"/>
    </row>
    <row r="238" spans="23:57" s="58" customFormat="1" x14ac:dyDescent="0.3"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E238" s="59"/>
    </row>
    <row r="239" spans="23:57" s="58" customFormat="1" x14ac:dyDescent="0.3"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E239" s="59"/>
    </row>
    <row r="240" spans="23:57" s="58" customFormat="1" x14ac:dyDescent="0.3"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E240" s="59"/>
    </row>
    <row r="241" spans="23:57" s="58" customFormat="1" x14ac:dyDescent="0.3"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E241" s="59"/>
    </row>
    <row r="242" spans="23:57" s="58" customFormat="1" x14ac:dyDescent="0.3"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E242" s="59"/>
    </row>
    <row r="243" spans="23:57" s="58" customFormat="1" x14ac:dyDescent="0.3"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E243" s="59"/>
    </row>
    <row r="244" spans="23:57" s="58" customFormat="1" x14ac:dyDescent="0.3"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E244" s="59"/>
    </row>
    <row r="245" spans="23:57" s="58" customFormat="1" x14ac:dyDescent="0.3"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E245" s="59"/>
    </row>
    <row r="246" spans="23:57" s="58" customFormat="1" x14ac:dyDescent="0.3"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E246" s="59"/>
    </row>
    <row r="247" spans="23:57" s="58" customFormat="1" x14ac:dyDescent="0.3"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E247" s="59"/>
    </row>
    <row r="248" spans="23:57" s="58" customFormat="1" x14ac:dyDescent="0.3"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E248" s="59"/>
    </row>
    <row r="249" spans="23:57" s="58" customFormat="1" x14ac:dyDescent="0.3"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E249" s="59"/>
    </row>
    <row r="250" spans="23:57" s="58" customFormat="1" x14ac:dyDescent="0.3"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E250" s="59"/>
    </row>
    <row r="251" spans="23:57" s="58" customFormat="1" x14ac:dyDescent="0.3"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E251" s="59"/>
    </row>
    <row r="252" spans="23:57" s="58" customFormat="1" x14ac:dyDescent="0.3"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E252" s="59"/>
    </row>
    <row r="253" spans="23:57" s="58" customFormat="1" x14ac:dyDescent="0.3"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E253" s="59"/>
    </row>
    <row r="254" spans="23:57" s="58" customFormat="1" x14ac:dyDescent="0.3"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E254" s="59"/>
    </row>
    <row r="255" spans="23:57" s="58" customFormat="1" x14ac:dyDescent="0.3"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E255" s="59"/>
    </row>
    <row r="256" spans="23:57" s="58" customFormat="1" x14ac:dyDescent="0.3"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E256" s="59"/>
    </row>
    <row r="257" spans="23:57" s="58" customFormat="1" x14ac:dyDescent="0.3"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E257" s="59"/>
    </row>
    <row r="258" spans="23:57" s="58" customFormat="1" x14ac:dyDescent="0.3"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E258" s="59"/>
    </row>
    <row r="259" spans="23:57" s="58" customFormat="1" x14ac:dyDescent="0.3"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E259" s="59"/>
    </row>
    <row r="260" spans="23:57" s="58" customFormat="1" x14ac:dyDescent="0.3"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E260" s="59"/>
    </row>
    <row r="261" spans="23:57" s="58" customFormat="1" x14ac:dyDescent="0.3"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E261" s="59"/>
    </row>
    <row r="262" spans="23:57" s="58" customFormat="1" x14ac:dyDescent="0.3"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E262" s="59"/>
    </row>
    <row r="263" spans="23:57" s="58" customFormat="1" x14ac:dyDescent="0.3"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E263" s="59"/>
    </row>
    <row r="264" spans="23:57" s="58" customFormat="1" x14ac:dyDescent="0.3"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E264" s="59"/>
    </row>
    <row r="265" spans="23:57" s="58" customFormat="1" x14ac:dyDescent="0.3"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E265" s="59"/>
    </row>
    <row r="266" spans="23:57" s="58" customFormat="1" x14ac:dyDescent="0.3"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E266" s="59"/>
    </row>
    <row r="267" spans="23:57" s="58" customFormat="1" x14ac:dyDescent="0.3"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E267" s="59"/>
    </row>
    <row r="268" spans="23:57" s="58" customFormat="1" x14ac:dyDescent="0.3"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E268" s="59"/>
    </row>
    <row r="269" spans="23:57" s="58" customFormat="1" x14ac:dyDescent="0.3"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E269" s="59"/>
    </row>
    <row r="270" spans="23:57" s="58" customFormat="1" x14ac:dyDescent="0.3"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E270" s="59"/>
    </row>
    <row r="271" spans="23:57" s="58" customFormat="1" x14ac:dyDescent="0.3"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E271" s="59"/>
    </row>
    <row r="272" spans="23:57" s="58" customFormat="1" x14ac:dyDescent="0.3"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E272" s="59"/>
    </row>
    <row r="273" spans="23:57" s="58" customFormat="1" x14ac:dyDescent="0.3"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E273" s="59"/>
    </row>
    <row r="274" spans="23:57" s="58" customFormat="1" x14ac:dyDescent="0.3"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E274" s="59"/>
    </row>
    <row r="275" spans="23:57" s="58" customFormat="1" x14ac:dyDescent="0.3"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E275" s="59"/>
    </row>
    <row r="276" spans="23:57" s="58" customFormat="1" x14ac:dyDescent="0.3"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E276" s="59"/>
    </row>
    <row r="277" spans="23:57" s="58" customFormat="1" x14ac:dyDescent="0.3"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E277" s="59"/>
    </row>
    <row r="278" spans="23:57" s="58" customFormat="1" x14ac:dyDescent="0.3"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E278" s="59"/>
    </row>
    <row r="279" spans="23:57" s="58" customFormat="1" x14ac:dyDescent="0.3"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E279" s="59"/>
    </row>
    <row r="280" spans="23:57" s="58" customFormat="1" x14ac:dyDescent="0.3"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E280" s="59"/>
    </row>
    <row r="281" spans="23:57" s="58" customFormat="1" x14ac:dyDescent="0.3"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E281" s="59"/>
    </row>
    <row r="282" spans="23:57" s="58" customFormat="1" x14ac:dyDescent="0.3"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E282" s="59"/>
    </row>
    <row r="283" spans="23:57" s="58" customFormat="1" x14ac:dyDescent="0.3"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E283" s="59"/>
    </row>
    <row r="284" spans="23:57" s="58" customFormat="1" x14ac:dyDescent="0.3"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E284" s="59"/>
    </row>
    <row r="285" spans="23:57" s="58" customFormat="1" x14ac:dyDescent="0.3"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E285" s="59"/>
    </row>
    <row r="286" spans="23:57" s="58" customFormat="1" x14ac:dyDescent="0.3"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E286" s="59"/>
    </row>
    <row r="287" spans="23:57" s="58" customFormat="1" x14ac:dyDescent="0.3"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E287" s="59"/>
    </row>
    <row r="288" spans="23:57" s="58" customFormat="1" x14ac:dyDescent="0.3"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E288" s="59"/>
    </row>
    <row r="289" spans="23:57" s="58" customFormat="1" x14ac:dyDescent="0.3"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E289" s="59"/>
    </row>
    <row r="290" spans="23:57" s="58" customFormat="1" x14ac:dyDescent="0.3"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E290" s="59"/>
    </row>
    <row r="291" spans="23:57" s="58" customFormat="1" x14ac:dyDescent="0.3"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E291" s="59"/>
    </row>
    <row r="292" spans="23:57" s="58" customFormat="1" x14ac:dyDescent="0.3"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E292" s="59"/>
    </row>
    <row r="293" spans="23:57" s="58" customFormat="1" x14ac:dyDescent="0.3"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E293" s="59"/>
    </row>
    <row r="294" spans="23:57" s="58" customFormat="1" x14ac:dyDescent="0.3"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E294" s="59"/>
    </row>
    <row r="295" spans="23:57" s="58" customFormat="1" x14ac:dyDescent="0.3"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E295" s="59"/>
    </row>
    <row r="296" spans="23:57" s="58" customFormat="1" x14ac:dyDescent="0.3"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E296" s="59"/>
    </row>
    <row r="297" spans="23:57" s="58" customFormat="1" x14ac:dyDescent="0.3"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E297" s="59"/>
    </row>
    <row r="298" spans="23:57" s="58" customFormat="1" x14ac:dyDescent="0.3"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E298" s="59"/>
    </row>
    <row r="299" spans="23:57" s="58" customFormat="1" x14ac:dyDescent="0.3"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E299" s="59"/>
    </row>
    <row r="300" spans="23:57" s="58" customFormat="1" x14ac:dyDescent="0.3"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E300" s="59"/>
    </row>
    <row r="301" spans="23:57" s="58" customFormat="1" x14ac:dyDescent="0.3"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E301" s="59"/>
    </row>
    <row r="302" spans="23:57" s="58" customFormat="1" x14ac:dyDescent="0.3"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E302" s="59"/>
    </row>
    <row r="303" spans="23:57" s="58" customFormat="1" x14ac:dyDescent="0.3"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E303" s="59"/>
    </row>
    <row r="304" spans="23:57" s="58" customFormat="1" x14ac:dyDescent="0.3"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E304" s="59"/>
    </row>
    <row r="305" spans="23:57" s="58" customFormat="1" x14ac:dyDescent="0.3"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E305" s="59"/>
    </row>
    <row r="306" spans="23:57" s="58" customFormat="1" x14ac:dyDescent="0.3"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E306" s="59"/>
    </row>
    <row r="307" spans="23:57" s="58" customFormat="1" x14ac:dyDescent="0.3"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E307" s="59"/>
    </row>
    <row r="308" spans="23:57" s="58" customFormat="1" x14ac:dyDescent="0.3"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E308" s="59"/>
    </row>
    <row r="309" spans="23:57" s="58" customFormat="1" x14ac:dyDescent="0.3"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E309" s="59"/>
    </row>
    <row r="310" spans="23:57" s="58" customFormat="1" x14ac:dyDescent="0.3"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E310" s="59"/>
    </row>
    <row r="311" spans="23:57" s="58" customFormat="1" x14ac:dyDescent="0.3"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E311" s="59"/>
    </row>
    <row r="312" spans="23:57" s="58" customFormat="1" x14ac:dyDescent="0.3"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E312" s="59"/>
    </row>
    <row r="313" spans="23:57" s="58" customFormat="1" x14ac:dyDescent="0.3"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E313" s="59"/>
    </row>
    <row r="314" spans="23:57" s="58" customFormat="1" x14ac:dyDescent="0.3"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E314" s="59"/>
    </row>
    <row r="315" spans="23:57" s="58" customFormat="1" x14ac:dyDescent="0.3"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E315" s="59"/>
    </row>
    <row r="316" spans="23:57" s="58" customFormat="1" x14ac:dyDescent="0.3"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E316" s="59"/>
    </row>
    <row r="317" spans="23:57" s="58" customFormat="1" x14ac:dyDescent="0.3"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E317" s="59"/>
    </row>
    <row r="318" spans="23:57" s="58" customFormat="1" x14ac:dyDescent="0.3"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E318" s="59"/>
    </row>
    <row r="319" spans="23:57" s="58" customFormat="1" x14ac:dyDescent="0.3"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E319" s="59"/>
    </row>
    <row r="320" spans="23:57" s="58" customFormat="1" x14ac:dyDescent="0.3"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E320" s="59"/>
    </row>
    <row r="321" spans="23:57" s="58" customFormat="1" x14ac:dyDescent="0.3"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E321" s="59"/>
    </row>
    <row r="322" spans="23:57" s="58" customFormat="1" x14ac:dyDescent="0.3"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E322" s="59"/>
    </row>
    <row r="323" spans="23:57" s="58" customFormat="1" x14ac:dyDescent="0.3"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E323" s="59"/>
    </row>
    <row r="324" spans="23:57" s="58" customFormat="1" x14ac:dyDescent="0.3"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</row>
    <row r="325" spans="23:57" s="58" customFormat="1" x14ac:dyDescent="0.3"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</row>
    <row r="326" spans="23:57" s="58" customFormat="1" x14ac:dyDescent="0.3"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</row>
    <row r="327" spans="23:57" s="58" customFormat="1" x14ac:dyDescent="0.3"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</row>
    <row r="328" spans="23:57" s="58" customFormat="1" x14ac:dyDescent="0.3"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</row>
    <row r="329" spans="23:57" s="58" customFormat="1" x14ac:dyDescent="0.3"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</row>
    <row r="330" spans="23:57" s="58" customFormat="1" x14ac:dyDescent="0.3"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</row>
    <row r="331" spans="23:57" s="58" customFormat="1" x14ac:dyDescent="0.3"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</row>
    <row r="332" spans="23:57" s="58" customFormat="1" x14ac:dyDescent="0.3"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</row>
    <row r="333" spans="23:57" s="58" customFormat="1" x14ac:dyDescent="0.3"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</row>
    <row r="334" spans="23:57" s="58" customFormat="1" x14ac:dyDescent="0.3"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</row>
    <row r="335" spans="23:57" s="58" customFormat="1" x14ac:dyDescent="0.3"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</row>
    <row r="336" spans="23:57" s="58" customFormat="1" x14ac:dyDescent="0.3"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</row>
    <row r="337" spans="23:53" s="58" customFormat="1" x14ac:dyDescent="0.3"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</row>
    <row r="338" spans="23:53" s="58" customFormat="1" x14ac:dyDescent="0.3"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</row>
    <row r="339" spans="23:53" s="58" customFormat="1" x14ac:dyDescent="0.3"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</row>
    <row r="340" spans="23:53" s="58" customFormat="1" x14ac:dyDescent="0.3"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</row>
    <row r="341" spans="23:53" s="58" customFormat="1" x14ac:dyDescent="0.3"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</row>
    <row r="342" spans="23:53" s="58" customFormat="1" x14ac:dyDescent="0.3"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</row>
    <row r="343" spans="23:53" s="58" customFormat="1" x14ac:dyDescent="0.3"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</row>
    <row r="344" spans="23:53" s="58" customFormat="1" x14ac:dyDescent="0.3"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</row>
    <row r="345" spans="23:53" s="58" customFormat="1" x14ac:dyDescent="0.3"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</row>
    <row r="346" spans="23:53" s="58" customFormat="1" x14ac:dyDescent="0.3"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</row>
    <row r="347" spans="23:53" s="58" customFormat="1" x14ac:dyDescent="0.3"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</row>
    <row r="348" spans="23:53" s="58" customFormat="1" x14ac:dyDescent="0.3"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</row>
    <row r="349" spans="23:53" s="58" customFormat="1" x14ac:dyDescent="0.3"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</row>
    <row r="350" spans="23:53" s="58" customFormat="1" x14ac:dyDescent="0.3"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</row>
    <row r="351" spans="23:53" s="58" customFormat="1" x14ac:dyDescent="0.3"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</row>
    <row r="352" spans="23:53" s="58" customFormat="1" x14ac:dyDescent="0.3"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</row>
    <row r="353" spans="23:53" s="58" customFormat="1" x14ac:dyDescent="0.3"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</row>
    <row r="354" spans="23:53" s="58" customFormat="1" x14ac:dyDescent="0.3"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</row>
    <row r="355" spans="23:53" s="58" customFormat="1" x14ac:dyDescent="0.3"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</row>
    <row r="356" spans="23:53" s="58" customFormat="1" x14ac:dyDescent="0.3"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</row>
    <row r="357" spans="23:53" s="58" customFormat="1" x14ac:dyDescent="0.3"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</row>
    <row r="358" spans="23:53" s="58" customFormat="1" x14ac:dyDescent="0.3"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</row>
    <row r="359" spans="23:53" s="58" customFormat="1" x14ac:dyDescent="0.3"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</row>
    <row r="360" spans="23:53" s="58" customFormat="1" x14ac:dyDescent="0.3"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</row>
    <row r="361" spans="23:53" s="58" customFormat="1" x14ac:dyDescent="0.3"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</row>
    <row r="362" spans="23:53" s="58" customFormat="1" x14ac:dyDescent="0.3"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</row>
    <row r="363" spans="23:53" s="58" customFormat="1" x14ac:dyDescent="0.3"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</row>
    <row r="364" spans="23:53" s="58" customFormat="1" x14ac:dyDescent="0.3"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</row>
    <row r="365" spans="23:53" s="58" customFormat="1" x14ac:dyDescent="0.3"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</row>
    <row r="366" spans="23:53" s="58" customFormat="1" x14ac:dyDescent="0.3"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</row>
    <row r="367" spans="23:53" s="58" customFormat="1" x14ac:dyDescent="0.3"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</row>
    <row r="368" spans="23:53" s="58" customFormat="1" x14ac:dyDescent="0.3"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</row>
    <row r="369" spans="23:53" s="58" customFormat="1" x14ac:dyDescent="0.3"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</row>
    <row r="370" spans="23:53" s="58" customFormat="1" x14ac:dyDescent="0.3"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</row>
    <row r="371" spans="23:53" s="58" customFormat="1" x14ac:dyDescent="0.3"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</row>
    <row r="372" spans="23:53" s="58" customFormat="1" x14ac:dyDescent="0.3"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</row>
    <row r="373" spans="23:53" s="58" customFormat="1" x14ac:dyDescent="0.3"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</row>
    <row r="374" spans="23:53" s="58" customFormat="1" x14ac:dyDescent="0.3"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</row>
    <row r="375" spans="23:53" s="58" customFormat="1" x14ac:dyDescent="0.3"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</row>
    <row r="376" spans="23:53" s="58" customFormat="1" x14ac:dyDescent="0.3"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</row>
    <row r="377" spans="23:53" s="58" customFormat="1" x14ac:dyDescent="0.3"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</row>
    <row r="378" spans="23:53" s="58" customFormat="1" x14ac:dyDescent="0.3"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</row>
    <row r="379" spans="23:53" s="58" customFormat="1" x14ac:dyDescent="0.3"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</row>
    <row r="380" spans="23:53" s="58" customFormat="1" x14ac:dyDescent="0.3"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</row>
    <row r="381" spans="23:53" s="58" customFormat="1" x14ac:dyDescent="0.3"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</row>
    <row r="382" spans="23:53" s="58" customFormat="1" x14ac:dyDescent="0.3"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</row>
    <row r="383" spans="23:53" s="58" customFormat="1" x14ac:dyDescent="0.3"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</row>
    <row r="384" spans="23:53" s="58" customFormat="1" x14ac:dyDescent="0.3"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</row>
    <row r="385" spans="23:53" s="58" customFormat="1" x14ac:dyDescent="0.3"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</row>
    <row r="386" spans="23:53" s="58" customFormat="1" x14ac:dyDescent="0.3"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</row>
    <row r="387" spans="23:53" s="58" customFormat="1" x14ac:dyDescent="0.3"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</row>
    <row r="388" spans="23:53" s="58" customFormat="1" x14ac:dyDescent="0.3"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</row>
    <row r="389" spans="23:53" s="58" customFormat="1" x14ac:dyDescent="0.3"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</row>
    <row r="390" spans="23:53" s="58" customFormat="1" x14ac:dyDescent="0.3"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</row>
    <row r="391" spans="23:53" s="58" customFormat="1" x14ac:dyDescent="0.3"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</row>
    <row r="392" spans="23:53" s="58" customFormat="1" x14ac:dyDescent="0.3"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</row>
    <row r="393" spans="23:53" s="58" customFormat="1" x14ac:dyDescent="0.3"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</row>
    <row r="394" spans="23:53" s="58" customFormat="1" x14ac:dyDescent="0.3"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</row>
    <row r="395" spans="23:53" s="58" customFormat="1" x14ac:dyDescent="0.3"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</row>
    <row r="396" spans="23:53" s="58" customFormat="1" x14ac:dyDescent="0.3"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</row>
    <row r="397" spans="23:53" s="58" customFormat="1" x14ac:dyDescent="0.3"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</row>
    <row r="398" spans="23:53" s="58" customFormat="1" x14ac:dyDescent="0.3"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</row>
    <row r="399" spans="23:53" s="58" customFormat="1" x14ac:dyDescent="0.3"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</row>
    <row r="400" spans="23:53" s="58" customFormat="1" x14ac:dyDescent="0.3"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</row>
    <row r="401" spans="11:53" s="58" customFormat="1" x14ac:dyDescent="0.3"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</row>
    <row r="402" spans="11:53" s="58" customFormat="1" x14ac:dyDescent="0.3">
      <c r="K402" s="54"/>
      <c r="L402" s="54"/>
      <c r="M402" s="54"/>
      <c r="N402" s="54"/>
      <c r="Q402" s="54"/>
      <c r="R402" s="54"/>
      <c r="S402" s="54"/>
      <c r="T402" s="54"/>
      <c r="U402" s="54"/>
      <c r="V402" s="54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</row>
    <row r="403" spans="11:53" s="58" customFormat="1" x14ac:dyDescent="0.3">
      <c r="K403" s="54"/>
      <c r="L403" s="54"/>
      <c r="M403" s="54"/>
      <c r="N403" s="54"/>
      <c r="Q403" s="54"/>
      <c r="R403" s="54"/>
      <c r="S403" s="54"/>
      <c r="T403" s="54"/>
      <c r="U403" s="54"/>
      <c r="V403" s="54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</row>
    <row r="404" spans="11:53" s="58" customFormat="1" x14ac:dyDescent="0.3">
      <c r="K404" s="54"/>
      <c r="L404" s="54"/>
      <c r="M404" s="54"/>
      <c r="N404" s="54"/>
      <c r="Q404" s="54"/>
      <c r="R404" s="54"/>
      <c r="S404" s="54"/>
      <c r="T404" s="54"/>
      <c r="U404" s="54"/>
      <c r="V404" s="54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</row>
    <row r="405" spans="11:53" s="58" customFormat="1" x14ac:dyDescent="0.3">
      <c r="K405" s="54"/>
      <c r="L405" s="54"/>
      <c r="M405" s="54"/>
      <c r="N405" s="54"/>
      <c r="Q405" s="54"/>
      <c r="R405" s="54"/>
      <c r="S405" s="54"/>
      <c r="T405" s="54"/>
      <c r="U405" s="54"/>
      <c r="V405" s="54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</row>
    <row r="406" spans="11:53" s="58" customFormat="1" x14ac:dyDescent="0.3">
      <c r="K406" s="54"/>
      <c r="L406" s="54"/>
      <c r="M406" s="54"/>
      <c r="N406" s="54"/>
      <c r="Q406" s="54"/>
      <c r="R406" s="54"/>
      <c r="S406" s="54"/>
      <c r="T406" s="54"/>
      <c r="U406" s="54"/>
      <c r="V406" s="54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</row>
    <row r="407" spans="11:53" s="58" customFormat="1" x14ac:dyDescent="0.3">
      <c r="K407" s="54"/>
      <c r="L407" s="54"/>
      <c r="M407" s="54"/>
      <c r="N407" s="54"/>
      <c r="Q407" s="54"/>
      <c r="R407" s="54"/>
      <c r="S407" s="54"/>
      <c r="T407" s="54"/>
      <c r="U407" s="54"/>
      <c r="V407" s="54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</row>
    <row r="408" spans="11:53" s="58" customFormat="1" x14ac:dyDescent="0.3">
      <c r="K408" s="54"/>
      <c r="L408" s="54"/>
      <c r="M408" s="54"/>
      <c r="N408" s="54"/>
      <c r="Q408" s="54"/>
      <c r="R408" s="54"/>
      <c r="S408" s="54"/>
      <c r="T408" s="54"/>
      <c r="U408" s="54"/>
      <c r="V408" s="54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</row>
    <row r="409" spans="11:53" s="58" customFormat="1" x14ac:dyDescent="0.3">
      <c r="K409" s="54"/>
      <c r="L409" s="54"/>
      <c r="M409" s="54"/>
      <c r="N409" s="54"/>
      <c r="Q409" s="54"/>
      <c r="R409" s="54"/>
      <c r="S409" s="54"/>
      <c r="T409" s="54"/>
      <c r="U409" s="54"/>
      <c r="V409" s="54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</row>
    <row r="410" spans="11:53" s="58" customFormat="1" x14ac:dyDescent="0.3">
      <c r="K410" s="54"/>
      <c r="L410" s="54"/>
      <c r="M410" s="54"/>
      <c r="N410" s="54"/>
      <c r="Q410" s="54"/>
      <c r="R410" s="54"/>
      <c r="S410" s="54"/>
      <c r="T410" s="54"/>
      <c r="U410" s="54"/>
      <c r="V410" s="54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</row>
    <row r="411" spans="11:53" s="58" customFormat="1" x14ac:dyDescent="0.3">
      <c r="K411" s="54"/>
      <c r="L411" s="54"/>
      <c r="M411" s="54"/>
      <c r="N411" s="54"/>
      <c r="Q411" s="54"/>
      <c r="R411" s="54"/>
      <c r="S411" s="54"/>
      <c r="T411" s="54"/>
      <c r="U411" s="54"/>
      <c r="V411" s="54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</row>
    <row r="412" spans="11:53" s="58" customFormat="1" x14ac:dyDescent="0.3">
      <c r="K412" s="54"/>
      <c r="L412" s="54"/>
      <c r="M412" s="54"/>
      <c r="N412" s="54"/>
      <c r="Q412" s="54"/>
      <c r="R412" s="54"/>
      <c r="S412" s="54"/>
      <c r="T412" s="54"/>
      <c r="U412" s="54"/>
      <c r="V412" s="54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</row>
    <row r="413" spans="11:53" s="58" customFormat="1" x14ac:dyDescent="0.3">
      <c r="K413" s="54"/>
      <c r="L413" s="54"/>
      <c r="M413" s="54"/>
      <c r="N413" s="54"/>
      <c r="Q413" s="54"/>
      <c r="R413" s="54"/>
      <c r="S413" s="54"/>
      <c r="T413" s="54"/>
      <c r="U413" s="54"/>
      <c r="V413" s="54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</row>
    <row r="414" spans="11:53" s="58" customFormat="1" x14ac:dyDescent="0.3">
      <c r="K414" s="54"/>
      <c r="L414" s="54"/>
      <c r="M414" s="54"/>
      <c r="N414" s="54"/>
      <c r="Q414" s="54"/>
      <c r="R414" s="54"/>
      <c r="S414" s="54"/>
      <c r="T414" s="54"/>
      <c r="U414" s="54"/>
      <c r="V414" s="54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</row>
    <row r="415" spans="11:53" s="58" customFormat="1" x14ac:dyDescent="0.3">
      <c r="K415" s="54"/>
      <c r="L415" s="54"/>
      <c r="M415" s="54"/>
      <c r="N415" s="54"/>
      <c r="Q415" s="54"/>
      <c r="R415" s="54"/>
      <c r="S415" s="54"/>
      <c r="T415" s="54"/>
      <c r="U415" s="54"/>
      <c r="V415" s="54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</row>
    <row r="416" spans="11:53" s="58" customFormat="1" x14ac:dyDescent="0.3">
      <c r="K416" s="54"/>
      <c r="L416" s="54"/>
      <c r="M416" s="54"/>
      <c r="N416" s="54"/>
      <c r="Q416" s="54"/>
      <c r="R416" s="54"/>
      <c r="S416" s="54"/>
      <c r="T416" s="54"/>
      <c r="U416" s="54"/>
      <c r="V416" s="54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</row>
    <row r="417" spans="11:53" s="58" customFormat="1" x14ac:dyDescent="0.3">
      <c r="K417" s="54"/>
      <c r="L417" s="54"/>
      <c r="M417" s="54"/>
      <c r="N417" s="54"/>
      <c r="Q417" s="54"/>
      <c r="R417" s="54"/>
      <c r="S417" s="54"/>
      <c r="T417" s="54"/>
      <c r="U417" s="54"/>
      <c r="V417" s="54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</row>
    <row r="418" spans="11:53" s="58" customFormat="1" x14ac:dyDescent="0.3">
      <c r="K418" s="54"/>
      <c r="L418" s="54"/>
      <c r="M418" s="54"/>
      <c r="N418" s="54"/>
      <c r="Q418" s="54"/>
      <c r="R418" s="54"/>
      <c r="S418" s="54"/>
      <c r="T418" s="54"/>
      <c r="U418" s="54"/>
      <c r="V418" s="54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</row>
    <row r="419" spans="11:53" s="58" customFormat="1" x14ac:dyDescent="0.3">
      <c r="K419" s="54"/>
      <c r="L419" s="54"/>
      <c r="M419" s="54"/>
      <c r="N419" s="54"/>
      <c r="Q419" s="54"/>
      <c r="R419" s="54"/>
      <c r="S419" s="54"/>
      <c r="T419" s="54"/>
      <c r="U419" s="54"/>
      <c r="V419" s="54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</row>
    <row r="420" spans="11:53" s="58" customFormat="1" x14ac:dyDescent="0.3">
      <c r="K420" s="54"/>
      <c r="L420" s="54"/>
      <c r="M420" s="54"/>
      <c r="N420" s="54"/>
      <c r="Q420" s="54"/>
      <c r="R420" s="54"/>
      <c r="S420" s="54"/>
      <c r="T420" s="54"/>
      <c r="U420" s="54"/>
      <c r="V420" s="54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</row>
    <row r="421" spans="11:53" s="58" customFormat="1" x14ac:dyDescent="0.3">
      <c r="K421" s="54"/>
      <c r="L421" s="54"/>
      <c r="M421" s="54"/>
      <c r="N421" s="54"/>
      <c r="Q421" s="54"/>
      <c r="R421" s="54"/>
      <c r="S421" s="54"/>
      <c r="T421" s="54"/>
      <c r="U421" s="54"/>
      <c r="V421" s="54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</row>
    <row r="422" spans="11:53" s="58" customFormat="1" x14ac:dyDescent="0.3">
      <c r="K422" s="54"/>
      <c r="L422" s="54"/>
      <c r="M422" s="54"/>
      <c r="N422" s="54"/>
      <c r="Q422" s="54"/>
      <c r="R422" s="54"/>
      <c r="S422" s="54"/>
      <c r="T422" s="54"/>
      <c r="U422" s="54"/>
      <c r="V422" s="54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</row>
    <row r="423" spans="11:53" s="58" customFormat="1" x14ac:dyDescent="0.3">
      <c r="K423" s="54"/>
      <c r="L423" s="54"/>
      <c r="M423" s="54"/>
      <c r="N423" s="54"/>
      <c r="Q423" s="54"/>
      <c r="R423" s="54"/>
      <c r="S423" s="54"/>
      <c r="T423" s="54"/>
      <c r="U423" s="54"/>
      <c r="V423" s="54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</row>
    <row r="424" spans="11:53" s="58" customFormat="1" x14ac:dyDescent="0.3">
      <c r="K424" s="54"/>
      <c r="L424" s="54"/>
      <c r="M424" s="54"/>
      <c r="N424" s="54"/>
      <c r="Q424" s="54"/>
      <c r="R424" s="54"/>
      <c r="S424" s="54"/>
      <c r="T424" s="54"/>
      <c r="U424" s="54"/>
      <c r="V424" s="54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</row>
    <row r="425" spans="11:53" s="58" customFormat="1" x14ac:dyDescent="0.3">
      <c r="K425" s="54"/>
      <c r="L425" s="54"/>
      <c r="M425" s="54"/>
      <c r="N425" s="54"/>
      <c r="Q425" s="54"/>
      <c r="R425" s="54"/>
      <c r="S425" s="54"/>
      <c r="T425" s="54"/>
      <c r="U425" s="54"/>
      <c r="V425" s="54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</row>
    <row r="426" spans="11:53" s="58" customFormat="1" x14ac:dyDescent="0.3">
      <c r="K426" s="54"/>
      <c r="L426" s="54"/>
      <c r="M426" s="54"/>
      <c r="N426" s="54"/>
      <c r="Q426" s="54"/>
      <c r="R426" s="54"/>
      <c r="S426" s="54"/>
      <c r="T426" s="54"/>
      <c r="U426" s="54"/>
      <c r="V426" s="54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</row>
    <row r="427" spans="11:53" s="58" customFormat="1" x14ac:dyDescent="0.3">
      <c r="K427" s="54"/>
      <c r="L427" s="54"/>
      <c r="M427" s="54"/>
      <c r="N427" s="54"/>
      <c r="Q427" s="54"/>
      <c r="R427" s="54"/>
      <c r="S427" s="54"/>
      <c r="T427" s="54"/>
      <c r="U427" s="54"/>
      <c r="V427" s="54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</row>
    <row r="428" spans="11:53" s="58" customFormat="1" x14ac:dyDescent="0.3">
      <c r="K428" s="54"/>
      <c r="L428" s="54"/>
      <c r="M428" s="54"/>
      <c r="N428" s="54"/>
      <c r="Q428" s="54"/>
      <c r="R428" s="54"/>
      <c r="S428" s="54"/>
      <c r="T428" s="54"/>
      <c r="U428" s="54"/>
      <c r="V428" s="54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</row>
    <row r="429" spans="11:53" s="58" customFormat="1" x14ac:dyDescent="0.3">
      <c r="K429" s="54"/>
      <c r="L429" s="54"/>
      <c r="M429" s="54"/>
      <c r="N429" s="54"/>
      <c r="Q429" s="54"/>
      <c r="R429" s="54"/>
      <c r="S429" s="54"/>
      <c r="T429" s="54"/>
      <c r="U429" s="54"/>
      <c r="V429" s="54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</row>
    <row r="430" spans="11:53" s="58" customFormat="1" x14ac:dyDescent="0.3">
      <c r="K430" s="54"/>
      <c r="L430" s="54"/>
      <c r="M430" s="54"/>
      <c r="N430" s="54"/>
      <c r="Q430" s="54"/>
      <c r="R430" s="54"/>
      <c r="S430" s="54"/>
      <c r="T430" s="54"/>
      <c r="U430" s="54"/>
      <c r="V430" s="54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</row>
    <row r="431" spans="11:53" s="58" customFormat="1" x14ac:dyDescent="0.3">
      <c r="K431" s="54"/>
      <c r="L431" s="54"/>
      <c r="M431" s="54"/>
      <c r="N431" s="54"/>
      <c r="Q431" s="54"/>
      <c r="R431" s="54"/>
      <c r="S431" s="54"/>
      <c r="T431" s="54"/>
      <c r="U431" s="54"/>
      <c r="V431" s="54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</row>
    <row r="432" spans="11:53" s="58" customFormat="1" x14ac:dyDescent="0.3">
      <c r="K432" s="54"/>
      <c r="L432" s="54"/>
      <c r="M432" s="54"/>
      <c r="N432" s="54"/>
      <c r="Q432" s="54"/>
      <c r="R432" s="54"/>
      <c r="S432" s="54"/>
      <c r="T432" s="54"/>
      <c r="U432" s="54"/>
      <c r="V432" s="54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</row>
    <row r="433" spans="8:53" s="58" customFormat="1" x14ac:dyDescent="0.3">
      <c r="K433" s="54"/>
      <c r="L433" s="54"/>
      <c r="M433" s="54"/>
      <c r="N433" s="54"/>
      <c r="Q433" s="54"/>
      <c r="R433" s="54"/>
      <c r="S433" s="54"/>
      <c r="T433" s="54"/>
      <c r="U433" s="54"/>
      <c r="V433" s="54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</row>
    <row r="434" spans="8:53" s="58" customFormat="1" x14ac:dyDescent="0.3">
      <c r="K434" s="54"/>
      <c r="L434" s="54"/>
      <c r="M434" s="54"/>
      <c r="N434" s="54"/>
      <c r="Q434" s="54"/>
      <c r="R434" s="54"/>
      <c r="S434" s="54"/>
      <c r="T434" s="54"/>
      <c r="U434" s="54"/>
      <c r="V434" s="54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</row>
    <row r="435" spans="8:53" s="58" customFormat="1" x14ac:dyDescent="0.3">
      <c r="K435" s="54"/>
      <c r="L435" s="54"/>
      <c r="M435" s="54"/>
      <c r="N435" s="54"/>
      <c r="Q435" s="54"/>
      <c r="R435" s="54"/>
      <c r="S435" s="54"/>
      <c r="T435" s="54"/>
      <c r="U435" s="54"/>
      <c r="V435" s="54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</row>
    <row r="436" spans="8:53" s="58" customFormat="1" x14ac:dyDescent="0.3">
      <c r="K436" s="54"/>
      <c r="L436" s="54"/>
      <c r="M436" s="54"/>
      <c r="N436" s="54"/>
      <c r="Q436" s="54"/>
      <c r="R436" s="54"/>
      <c r="S436" s="54"/>
      <c r="T436" s="54"/>
      <c r="U436" s="54"/>
      <c r="V436" s="54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</row>
    <row r="437" spans="8:53" s="58" customFormat="1" x14ac:dyDescent="0.3">
      <c r="K437" s="54"/>
      <c r="L437" s="54"/>
      <c r="M437" s="54"/>
      <c r="N437" s="54"/>
      <c r="Q437" s="54"/>
      <c r="R437" s="54"/>
      <c r="S437" s="54"/>
      <c r="T437" s="54"/>
      <c r="U437" s="54"/>
      <c r="V437" s="54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</row>
    <row r="438" spans="8:53" x14ac:dyDescent="0.3">
      <c r="H438" s="58"/>
      <c r="I438" s="58"/>
      <c r="J438" s="58"/>
    </row>
  </sheetData>
  <sheetProtection password="C1F5" sheet="1" formatCells="0" selectLockedCells="1" sort="0"/>
  <mergeCells count="11">
    <mergeCell ref="W10:BA10"/>
    <mergeCell ref="A7:B7"/>
    <mergeCell ref="B115:J115"/>
    <mergeCell ref="B116:J116"/>
    <mergeCell ref="B119:J119"/>
    <mergeCell ref="B120:J120"/>
    <mergeCell ref="B121:J121"/>
    <mergeCell ref="B122:J122"/>
    <mergeCell ref="O10:U10"/>
    <mergeCell ref="B117:J117"/>
    <mergeCell ref="B118:J118"/>
  </mergeCells>
  <conditionalFormatting sqref="J12:J111">
    <cfRule type="cellIs" dxfId="3" priority="2" operator="lessThan">
      <formula>2</formula>
    </cfRule>
  </conditionalFormatting>
  <conditionalFormatting sqref="I12:I111">
    <cfRule type="cellIs" dxfId="2" priority="1" operator="lessThan">
      <formula>10</formula>
    </cfRule>
  </conditionalFormatting>
  <conditionalFormatting sqref="J12:J111">
    <cfRule type="cellIs" dxfId="1" priority="3" operator="lessThan">
      <formula>#REF!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4" fitToHeight="0" orientation="landscape" r:id="rId1"/>
  <rowBreaks count="1" manualBreakCount="1">
    <brk id="105" max="5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stopIfTrue="1" operator="lessThanOrEqual" id="{6864923D-3A7B-4C49-8374-2FEEEF340DE0}">
            <xm:f>Jahresübersicht!$B$48</xm:f>
            <x14:dxf>
              <font>
                <b/>
                <i val="0"/>
                <color rgb="FFFF0000"/>
              </font>
            </x14:dxf>
          </x14:cfRule>
          <xm:sqref>D12:D111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25</vt:i4>
      </vt:variant>
    </vt:vector>
  </HeadingPairs>
  <TitlesOfParts>
    <vt:vector size="38" baseType="lpstr">
      <vt:lpstr>Jahresübersicht</vt:lpstr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  <vt:lpstr>April!Druckbereich</vt:lpstr>
      <vt:lpstr>August!Druckbereich</vt:lpstr>
      <vt:lpstr>Dezember!Druckbereich</vt:lpstr>
      <vt:lpstr>Februar!Druckbereich</vt:lpstr>
      <vt:lpstr>Jahresübersicht!Druckbereich</vt:lpstr>
      <vt:lpstr>Januar!Druckbereich</vt:lpstr>
      <vt:lpstr>Juli!Druckbereich</vt:lpstr>
      <vt:lpstr>Juni!Druckbereich</vt:lpstr>
      <vt:lpstr>Mai!Druckbereich</vt:lpstr>
      <vt:lpstr>März!Druckbereich</vt:lpstr>
      <vt:lpstr>November!Druckbereich</vt:lpstr>
      <vt:lpstr>Oktober!Druckbereich</vt:lpstr>
      <vt:lpstr>September!Druckbereich</vt:lpstr>
      <vt:lpstr>April!Drucktitel</vt:lpstr>
      <vt:lpstr>August!Drucktitel</vt:lpstr>
      <vt:lpstr>Dezember!Drucktitel</vt:lpstr>
      <vt:lpstr>Februar!Drucktitel</vt:lpstr>
      <vt:lpstr>Januar!Drucktitel</vt:lpstr>
      <vt:lpstr>Juli!Drucktitel</vt:lpstr>
      <vt:lpstr>Juni!Drucktitel</vt:lpstr>
      <vt:lpstr>Mai!Drucktitel</vt:lpstr>
      <vt:lpstr>März!Drucktitel</vt:lpstr>
      <vt:lpstr>November!Drucktitel</vt:lpstr>
      <vt:lpstr>Oktober!Drucktitel</vt:lpstr>
      <vt:lpstr>September!Drucktitel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khinni@outlook.com</dc:creator>
  <cp:lastModifiedBy>Rohde Sabrina</cp:lastModifiedBy>
  <cp:lastPrinted>2021-12-02T10:16:47Z</cp:lastPrinted>
  <dcterms:created xsi:type="dcterms:W3CDTF">2019-07-05T12:34:09Z</dcterms:created>
  <dcterms:modified xsi:type="dcterms:W3CDTF">2025-11-18T14:32:03Z</dcterms:modified>
</cp:coreProperties>
</file>