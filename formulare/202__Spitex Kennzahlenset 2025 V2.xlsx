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DieseArbeitsmappe" defaultThemeVersion="164011"/>
  <mc:AlternateContent xmlns:mc="http://schemas.openxmlformats.org/markup-compatibility/2006">
    <mc:Choice Requires="x15">
      <x15ac:absPath xmlns:x15ac="http://schemas.microsoft.com/office/spreadsheetml/2010/11/ac" url="H:\40_GESUNDHEITSAMT\51_Alter_Pflege_NEU\03_Finanzierung\80_R&amp;C\85 KORE Spitex\2_SH Kennzahlenset\#Vorlagen_für_HP\Version 2025\"/>
    </mc:Choice>
  </mc:AlternateContent>
  <workbookProtection workbookPassword="FA05" lockStructure="1"/>
  <bookViews>
    <workbookView xWindow="-120" yWindow="-120" windowWidth="29040" windowHeight="15720"/>
  </bookViews>
  <sheets>
    <sheet name="A_ Personal" sheetId="12" r:id="rId1"/>
    <sheet name="Hilfsblatt Stunden" sheetId="13" state="hidden" r:id="rId2"/>
    <sheet name="B_Schlüssel" sheetId="4" r:id="rId3"/>
    <sheet name="C_Betriebsrechnung" sheetId="8" r:id="rId4"/>
    <sheet name="Basis" sheetId="9" state="hidden" r:id="rId5"/>
    <sheet name="D1_KORE" sheetId="10" r:id="rId6"/>
    <sheet name="D2_eigene_KORE" sheetId="1" r:id="rId7"/>
    <sheet name="E_Minuten_Gde" sheetId="6" r:id="rId8"/>
    <sheet name="KST KOA" sheetId="5" state="hidden" r:id="rId9"/>
  </sheets>
  <definedNames>
    <definedName name="akjahr">'A_ Personal'!$D$3</definedName>
    <definedName name="_xlnm.Print_Area" localSheetId="0">'A_ Personal'!$A$1:$E$63</definedName>
    <definedName name="_xlnm.Print_Area" localSheetId="2">B_Schlüssel!$A$1:$J$93</definedName>
    <definedName name="_xlnm.Print_Area" localSheetId="4">Basis!$A$1:$C$45</definedName>
    <definedName name="_xlnm.Print_Area" localSheetId="3">C_Betriebsrechnung!$A$1:$G$59</definedName>
    <definedName name="_xlnm.Print_Area" localSheetId="5">D1_KORE!$A$1:$H$55</definedName>
    <definedName name="_xlnm.Print_Area" localSheetId="6">D2_eigene_KORE!$A$1:$F$67</definedName>
    <definedName name="_xlnm.Print_Area" localSheetId="7">E_Minuten_Gde!$A$1:$M$46</definedName>
    <definedName name="Ein_A">B_Schlüssel!$H$58</definedName>
    <definedName name="Ein_B">B_Schlüssel!$H$59</definedName>
    <definedName name="Ein_C">B_Schlüssel!$H$60</definedName>
    <definedName name="Ein_CA">B_Schlüssel!$H$61</definedName>
    <definedName name="SozL">C_Betriebsrechnung!$D$15</definedName>
    <definedName name="stellen">'A_ Personal'!$D$46:$D$56</definedName>
    <definedName name="Version">'A_ Personal'!$E$1</definedName>
    <definedName name="ZSR">'A_ Personal'!$C$6</definedName>
  </definedNames>
  <calcPr calcId="162913" iterate="1" iterateCount="200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2" i="8" l="1"/>
  <c r="F31" i="8"/>
  <c r="F30" i="8"/>
  <c r="F29" i="8"/>
  <c r="F28" i="8"/>
  <c r="F27" i="8"/>
  <c r="F26" i="8"/>
  <c r="F25" i="8"/>
  <c r="F24" i="8"/>
  <c r="F22" i="8"/>
  <c r="F21" i="8"/>
  <c r="F20" i="8"/>
  <c r="F19" i="8"/>
  <c r="C7" i="6" l="1"/>
  <c r="C7" i="1"/>
  <c r="C7" i="10"/>
  <c r="C6" i="8"/>
  <c r="C7" i="4"/>
  <c r="C21" i="9" l="1"/>
  <c r="D47" i="1"/>
  <c r="C47" i="1"/>
  <c r="F7" i="6" l="1"/>
  <c r="D7" i="1" l="1"/>
  <c r="G7" i="10"/>
  <c r="E6" i="8"/>
  <c r="F7" i="4"/>
  <c r="I45" i="10"/>
  <c r="I43" i="10"/>
  <c r="I41" i="10"/>
  <c r="I39" i="10"/>
  <c r="I35" i="10"/>
  <c r="I33" i="10"/>
  <c r="I22" i="10"/>
  <c r="I24" i="10"/>
  <c r="B38" i="9"/>
  <c r="B21" i="10" s="1"/>
  <c r="B14" i="9"/>
  <c r="B18" i="9"/>
  <c r="D46" i="4" l="1"/>
  <c r="G7" i="13"/>
  <c r="G8" i="13"/>
  <c r="G11" i="13"/>
  <c r="G6" i="13"/>
  <c r="E10" i="13"/>
  <c r="E12" i="13" s="1"/>
  <c r="F10" i="13"/>
  <c r="F12" i="13" s="1"/>
  <c r="C10" i="13"/>
  <c r="C12" i="13" s="1"/>
  <c r="B10" i="13"/>
  <c r="B12" i="13" s="1"/>
  <c r="D10" i="13"/>
  <c r="D12" i="13" s="1"/>
  <c r="G10" i="13" l="1"/>
  <c r="G12" i="13"/>
  <c r="B52" i="1" l="1"/>
  <c r="B47" i="1"/>
  <c r="B48" i="1"/>
  <c r="B49" i="1"/>
  <c r="B50" i="1"/>
  <c r="B46" i="1"/>
  <c r="E48" i="8" l="1"/>
  <c r="D48" i="8"/>
  <c r="C48" i="8"/>
  <c r="C8" i="6" l="1"/>
  <c r="B63" i="1"/>
  <c r="F37" i="1"/>
  <c r="E37" i="1"/>
  <c r="D37" i="1"/>
  <c r="C37" i="1"/>
  <c r="B36" i="1"/>
  <c r="B34" i="1"/>
  <c r="B33" i="1"/>
  <c r="B32" i="1"/>
  <c r="F31" i="1"/>
  <c r="F35" i="1" s="1"/>
  <c r="E31" i="1"/>
  <c r="E35" i="1" s="1"/>
  <c r="D31" i="1"/>
  <c r="D38" i="1" s="1"/>
  <c r="C31" i="1"/>
  <c r="C35" i="1" s="1"/>
  <c r="B30" i="1"/>
  <c r="B37" i="1" s="1"/>
  <c r="D53" i="1"/>
  <c r="C53" i="1"/>
  <c r="D54" i="1"/>
  <c r="C51" i="1"/>
  <c r="D39" i="1" l="1"/>
  <c r="D40" i="1" s="1"/>
  <c r="E38" i="1"/>
  <c r="E39" i="1" s="1"/>
  <c r="E40" i="1" s="1"/>
  <c r="D35" i="1"/>
  <c r="B35" i="1" s="1"/>
  <c r="F38" i="1"/>
  <c r="F39" i="1" s="1"/>
  <c r="F40" i="1" s="1"/>
  <c r="B31" i="1"/>
  <c r="C38" i="1"/>
  <c r="C39" i="1" s="1"/>
  <c r="C40" i="1" s="1"/>
  <c r="D51" i="1"/>
  <c r="B51" i="1" s="1"/>
  <c r="C54" i="1"/>
  <c r="D48" i="4"/>
  <c r="C48" i="4"/>
  <c r="C37" i="4"/>
  <c r="K37" i="4" s="1"/>
  <c r="E28" i="4"/>
  <c r="A57" i="12"/>
  <c r="C57" i="12" s="1"/>
  <c r="G48" i="4" l="1"/>
  <c r="K48" i="4" s="1"/>
  <c r="D57" i="12"/>
  <c r="C25" i="4" s="1"/>
  <c r="B38" i="1"/>
  <c r="B39" i="1" s="1"/>
  <c r="B40" i="1" s="1"/>
  <c r="C28" i="10"/>
  <c r="D49" i="10" s="1"/>
  <c r="D28" i="10"/>
  <c r="E49" i="10" s="1"/>
  <c r="E28" i="10"/>
  <c r="F49" i="10" s="1"/>
  <c r="F28" i="10"/>
  <c r="G49" i="10" s="1"/>
  <c r="G28" i="10"/>
  <c r="H28" i="10"/>
  <c r="B28" i="10"/>
  <c r="C21" i="1" l="1"/>
  <c r="D21" i="1"/>
  <c r="E21" i="1"/>
  <c r="F21" i="1"/>
  <c r="J1" i="4" l="1"/>
  <c r="F41" i="4" l="1"/>
  <c r="G41" i="4"/>
  <c r="H41" i="4"/>
  <c r="I41" i="4"/>
  <c r="J41" i="4"/>
  <c r="F43" i="4" l="1"/>
  <c r="E43" i="4"/>
  <c r="H43" i="4"/>
  <c r="I43" i="4"/>
  <c r="G43" i="4"/>
  <c r="D50" i="4"/>
  <c r="D51" i="4"/>
  <c r="C51" i="4"/>
  <c r="E41" i="4"/>
  <c r="C40" i="4"/>
  <c r="K40" i="4" s="1"/>
  <c r="C5" i="9"/>
  <c r="J51" i="4" l="1"/>
  <c r="C43" i="4"/>
  <c r="G51" i="4"/>
  <c r="E51" i="4"/>
  <c r="H51" i="4"/>
  <c r="I51" i="4"/>
  <c r="F51" i="4"/>
  <c r="C37" i="9"/>
  <c r="C33" i="9"/>
  <c r="C34" i="9"/>
  <c r="C35" i="9"/>
  <c r="C40" i="9"/>
  <c r="B21" i="9"/>
  <c r="C18" i="9"/>
  <c r="B30" i="10" s="1"/>
  <c r="C16" i="9"/>
  <c r="F50" i="8"/>
  <c r="F49" i="8"/>
  <c r="F47" i="8"/>
  <c r="F46" i="8"/>
  <c r="F43" i="8"/>
  <c r="F42" i="8"/>
  <c r="F41" i="8"/>
  <c r="F40" i="8"/>
  <c r="F39" i="8"/>
  <c r="F38" i="8"/>
  <c r="F17" i="8"/>
  <c r="F16" i="8"/>
  <c r="F15" i="8"/>
  <c r="F14" i="8"/>
  <c r="F13" i="8"/>
  <c r="F12" i="8"/>
  <c r="B35" i="9" l="1"/>
  <c r="B34" i="9"/>
  <c r="B37" i="9"/>
  <c r="B33" i="9"/>
  <c r="B32" i="9" s="1"/>
  <c r="B31" i="9" s="1"/>
  <c r="I13" i="8"/>
  <c r="K13" i="8" s="1"/>
  <c r="K51" i="4"/>
  <c r="H13" i="8"/>
  <c r="J13" i="8" s="1"/>
  <c r="H12" i="8"/>
  <c r="J12" i="8" s="1"/>
  <c r="C22" i="9"/>
  <c r="C32" i="9"/>
  <c r="C36" i="9"/>
  <c r="D36" i="8"/>
  <c r="E36" i="8"/>
  <c r="C36" i="8"/>
  <c r="B16" i="9"/>
  <c r="D45" i="8"/>
  <c r="E45" i="8"/>
  <c r="C45" i="8"/>
  <c r="E10" i="8"/>
  <c r="F10" i="8" s="1"/>
  <c r="C19" i="9" l="1"/>
  <c r="J16" i="8"/>
  <c r="B19" i="9"/>
  <c r="B17" i="9" s="1"/>
  <c r="B15" i="9"/>
  <c r="H14" i="8"/>
  <c r="J14" i="8" s="1"/>
  <c r="F45" i="8"/>
  <c r="B40" i="9" s="1"/>
  <c r="C31" i="9"/>
  <c r="F36" i="8"/>
  <c r="D52" i="8"/>
  <c r="D23" i="8"/>
  <c r="B26" i="9" s="1"/>
  <c r="E23" i="8"/>
  <c r="C26" i="9" s="1"/>
  <c r="D18" i="8"/>
  <c r="E18" i="8"/>
  <c r="C25" i="9" s="1"/>
  <c r="D11" i="8"/>
  <c r="B22" i="9" l="1"/>
  <c r="B31" i="10"/>
  <c r="C23" i="9"/>
  <c r="F18" i="8"/>
  <c r="B24" i="9"/>
  <c r="B34" i="10" s="1"/>
  <c r="C20" i="9"/>
  <c r="F23" i="8"/>
  <c r="F48" i="8"/>
  <c r="C39" i="9" s="1"/>
  <c r="D34" i="8"/>
  <c r="E11" i="8"/>
  <c r="E52" i="8"/>
  <c r="F52" i="8" s="1"/>
  <c r="G49" i="8" l="1"/>
  <c r="G45" i="8"/>
  <c r="G37" i="8"/>
  <c r="G48" i="8"/>
  <c r="G46" i="8"/>
  <c r="G47" i="8"/>
  <c r="G50" i="8"/>
  <c r="G43" i="8"/>
  <c r="G38" i="8"/>
  <c r="G40" i="8"/>
  <c r="G42" i="8"/>
  <c r="G39" i="8"/>
  <c r="G41" i="8"/>
  <c r="G36" i="8"/>
  <c r="B23" i="10"/>
  <c r="H23" i="10" s="1"/>
  <c r="C41" i="9"/>
  <c r="B23" i="9"/>
  <c r="B36" i="10"/>
  <c r="E34" i="8"/>
  <c r="E54" i="8" s="1"/>
  <c r="F11" i="8"/>
  <c r="D54" i="8"/>
  <c r="I23" i="10" l="1"/>
  <c r="F34" i="8"/>
  <c r="F54" i="8"/>
  <c r="G54" i="8" l="1"/>
  <c r="G18" i="8"/>
  <c r="G14" i="8"/>
  <c r="G17" i="8"/>
  <c r="G12" i="8"/>
  <c r="G23" i="8"/>
  <c r="G15" i="8"/>
  <c r="G32" i="8"/>
  <c r="G16" i="8"/>
  <c r="G13" i="8"/>
  <c r="G11" i="8"/>
  <c r="C50" i="4"/>
  <c r="D49" i="4"/>
  <c r="C49" i="4"/>
  <c r="D47" i="4"/>
  <c r="C47" i="4"/>
  <c r="C46" i="4"/>
  <c r="D45" i="4"/>
  <c r="C45" i="4"/>
  <c r="C53" i="12"/>
  <c r="D53" i="12"/>
  <c r="D52" i="4" l="1"/>
  <c r="F1" i="1"/>
  <c r="M1" i="6"/>
  <c r="H3" i="10"/>
  <c r="C4" i="9"/>
  <c r="F28" i="4" l="1"/>
  <c r="B15" i="10" l="1"/>
  <c r="D51" i="12"/>
  <c r="B16" i="10"/>
  <c r="B17" i="10"/>
  <c r="C51" i="12" l="1"/>
  <c r="B32" i="10"/>
  <c r="A31" i="10"/>
  <c r="A32" i="10"/>
  <c r="A30" i="10"/>
  <c r="B20" i="10"/>
  <c r="A3" i="12"/>
  <c r="A56" i="12"/>
  <c r="A55" i="12"/>
  <c r="A54" i="12"/>
  <c r="A52" i="12"/>
  <c r="A50" i="12"/>
  <c r="A49" i="12"/>
  <c r="A48" i="12"/>
  <c r="A47" i="12"/>
  <c r="A46" i="12"/>
  <c r="E41" i="12"/>
  <c r="D41" i="12"/>
  <c r="D45" i="12"/>
  <c r="C45" i="12"/>
  <c r="F21" i="10" l="1"/>
  <c r="C21" i="10"/>
  <c r="E21" i="10"/>
  <c r="D21" i="10"/>
  <c r="G21" i="10"/>
  <c r="G20" i="10"/>
  <c r="I20" i="10" s="1"/>
  <c r="B19" i="10"/>
  <c r="D46" i="12"/>
  <c r="C16" i="4" s="1"/>
  <c r="C46" i="12"/>
  <c r="C50" i="12"/>
  <c r="D50" i="12"/>
  <c r="C20" i="4" s="1"/>
  <c r="D47" i="12"/>
  <c r="C17" i="4" s="1"/>
  <c r="C47" i="12"/>
  <c r="D52" i="12"/>
  <c r="C21" i="4" s="1"/>
  <c r="C52" i="12"/>
  <c r="D48" i="12"/>
  <c r="C18" i="4" s="1"/>
  <c r="C48" i="12"/>
  <c r="D54" i="12"/>
  <c r="C22" i="4" s="1"/>
  <c r="C54" i="12"/>
  <c r="D49" i="12"/>
  <c r="C19" i="4" s="1"/>
  <c r="C49" i="12"/>
  <c r="D55" i="12"/>
  <c r="C23" i="4" s="1"/>
  <c r="C55" i="12"/>
  <c r="C56" i="12"/>
  <c r="D56" i="12"/>
  <c r="C24" i="4" s="1"/>
  <c r="I21" i="10" l="1"/>
  <c r="D59" i="12"/>
  <c r="C59" i="12"/>
  <c r="E50" i="10" l="1"/>
  <c r="G50" i="10"/>
  <c r="D50" i="10"/>
  <c r="C34" i="4"/>
  <c r="C35" i="4"/>
  <c r="K35" i="4" s="1"/>
  <c r="C36" i="4"/>
  <c r="K36" i="4" s="1"/>
  <c r="C38" i="4"/>
  <c r="K38" i="4" s="1"/>
  <c r="C39" i="4"/>
  <c r="K39" i="4" s="1"/>
  <c r="J49" i="4" l="1"/>
  <c r="G49" i="4"/>
  <c r="J50" i="4"/>
  <c r="G50" i="4"/>
  <c r="J45" i="4"/>
  <c r="G45" i="4"/>
  <c r="J47" i="4"/>
  <c r="G47" i="4"/>
  <c r="J46" i="4"/>
  <c r="G46" i="4"/>
  <c r="K34" i="4"/>
  <c r="C41" i="4"/>
  <c r="H49" i="4"/>
  <c r="I49" i="4"/>
  <c r="E49" i="4"/>
  <c r="F49" i="4"/>
  <c r="H50" i="4"/>
  <c r="F50" i="4"/>
  <c r="E50" i="4"/>
  <c r="H47" i="4"/>
  <c r="I47" i="4"/>
  <c r="E47" i="4"/>
  <c r="F47" i="4"/>
  <c r="I45" i="4"/>
  <c r="E45" i="4"/>
  <c r="F45" i="4"/>
  <c r="H45" i="4"/>
  <c r="H46" i="4"/>
  <c r="F46" i="4"/>
  <c r="I46" i="4"/>
  <c r="E46" i="4"/>
  <c r="A3" i="4"/>
  <c r="K47" i="4" l="1"/>
  <c r="K46" i="4"/>
  <c r="K49" i="4"/>
  <c r="K45" i="4"/>
  <c r="H42" i="4"/>
  <c r="E42" i="4"/>
  <c r="I42" i="4"/>
  <c r="F42" i="4"/>
  <c r="J42" i="4"/>
  <c r="G42" i="4"/>
  <c r="J52" i="4"/>
  <c r="D54" i="4" s="1"/>
  <c r="F52" i="4"/>
  <c r="E52" i="4"/>
  <c r="H52" i="4"/>
  <c r="F54" i="4" l="1"/>
  <c r="D31" i="10" s="1"/>
  <c r="E53" i="4"/>
  <c r="E54" i="4"/>
  <c r="C31" i="10" s="1"/>
  <c r="H53" i="4"/>
  <c r="H54" i="4"/>
  <c r="F36" i="10"/>
  <c r="H30" i="10"/>
  <c r="D36" i="10"/>
  <c r="G36" i="10"/>
  <c r="E36" i="10"/>
  <c r="D30" i="10"/>
  <c r="F53" i="4"/>
  <c r="D34" i="10"/>
  <c r="C36" i="10"/>
  <c r="C34" i="10"/>
  <c r="F34" i="10"/>
  <c r="F30" i="10"/>
  <c r="C30" i="10"/>
  <c r="B36" i="9"/>
  <c r="F26" i="4"/>
  <c r="F24" i="4"/>
  <c r="F23" i="4"/>
  <c r="F22" i="4"/>
  <c r="F21" i="4"/>
  <c r="F20" i="4"/>
  <c r="F19" i="4"/>
  <c r="F18" i="4"/>
  <c r="F17" i="4"/>
  <c r="B41" i="9" l="1"/>
  <c r="D59" i="10" s="1"/>
  <c r="F31" i="10"/>
  <c r="H36" i="10"/>
  <c r="I36" i="10" s="1"/>
  <c r="D32" i="10"/>
  <c r="C32" i="10"/>
  <c r="F32" i="10"/>
  <c r="H26" i="10"/>
  <c r="B25" i="10"/>
  <c r="F25" i="10" l="1"/>
  <c r="C25" i="10"/>
  <c r="D25" i="10"/>
  <c r="C27" i="4" l="1"/>
  <c r="C29" i="4" s="1"/>
  <c r="G3" i="8" l="1"/>
  <c r="E27" i="4" l="1"/>
  <c r="D27" i="4"/>
  <c r="C58" i="4" s="1"/>
  <c r="J27" i="4" l="1"/>
  <c r="H27" i="4"/>
  <c r="D29" i="4"/>
  <c r="E29" i="4"/>
  <c r="C67" i="4"/>
  <c r="C88" i="4" s="1"/>
  <c r="F27" i="4"/>
  <c r="G21" i="4" l="1"/>
  <c r="G25" i="4"/>
  <c r="G22" i="4"/>
  <c r="G24" i="4"/>
  <c r="G18" i="4"/>
  <c r="G26" i="4"/>
  <c r="G19" i="4"/>
  <c r="G23" i="4"/>
  <c r="G20" i="4"/>
  <c r="G17" i="4"/>
  <c r="F29" i="4"/>
  <c r="C60" i="4"/>
  <c r="F60" i="4" s="1"/>
  <c r="C61" i="4"/>
  <c r="F61" i="4" s="1"/>
  <c r="G61" i="4" s="1"/>
  <c r="C59" i="4"/>
  <c r="F59" i="4" s="1"/>
  <c r="G59" i="4" s="1"/>
  <c r="F58" i="4"/>
  <c r="G58" i="4" s="1"/>
  <c r="D87" i="4"/>
  <c r="D83" i="4"/>
  <c r="D79" i="4"/>
  <c r="D75" i="4"/>
  <c r="D71" i="4"/>
  <c r="D86" i="4"/>
  <c r="D82" i="4"/>
  <c r="D78" i="4"/>
  <c r="D74" i="4"/>
  <c r="D70" i="4"/>
  <c r="D85" i="4"/>
  <c r="D81" i="4"/>
  <c r="D77" i="4"/>
  <c r="D73" i="4"/>
  <c r="D69" i="4"/>
  <c r="D84" i="4"/>
  <c r="D80" i="4"/>
  <c r="D76" i="4"/>
  <c r="D72" i="4"/>
  <c r="D68" i="4"/>
  <c r="D67" i="4"/>
  <c r="D88" i="4" l="1"/>
  <c r="C52" i="8" l="1"/>
  <c r="C23" i="8"/>
  <c r="C18" i="8"/>
  <c r="C11" i="8"/>
  <c r="G28" i="8" l="1"/>
  <c r="G24" i="8"/>
  <c r="G19" i="8"/>
  <c r="G27" i="8"/>
  <c r="G22" i="8"/>
  <c r="G26" i="8"/>
  <c r="G20" i="8"/>
  <c r="G31" i="8"/>
  <c r="G29" i="8"/>
  <c r="G30" i="8"/>
  <c r="G21" i="8"/>
  <c r="G25" i="8"/>
  <c r="C34" i="8"/>
  <c r="C54" i="8" l="1"/>
  <c r="A3" i="6"/>
  <c r="A3" i="5"/>
  <c r="G34" i="8" l="1"/>
  <c r="G52" i="8"/>
  <c r="L13" i="6"/>
  <c r="I14" i="6"/>
  <c r="J14" i="6"/>
  <c r="K14" i="6"/>
  <c r="L14" i="6"/>
  <c r="I15" i="6"/>
  <c r="J15" i="6"/>
  <c r="K15" i="6"/>
  <c r="L15" i="6"/>
  <c r="I16" i="6"/>
  <c r="J16" i="6"/>
  <c r="K16" i="6"/>
  <c r="L16" i="6"/>
  <c r="I17" i="6"/>
  <c r="J17" i="6"/>
  <c r="K17" i="6"/>
  <c r="L17" i="6"/>
  <c r="I19" i="6"/>
  <c r="J19" i="6"/>
  <c r="K19" i="6"/>
  <c r="L19" i="6"/>
  <c r="I20" i="6"/>
  <c r="J20" i="6"/>
  <c r="K20" i="6"/>
  <c r="L20" i="6"/>
  <c r="I21" i="6"/>
  <c r="J21" i="6"/>
  <c r="K21" i="6"/>
  <c r="L21" i="6"/>
  <c r="I22" i="6"/>
  <c r="J22" i="6"/>
  <c r="K22" i="6"/>
  <c r="L22" i="6"/>
  <c r="I23" i="6"/>
  <c r="J23" i="6"/>
  <c r="K23" i="6"/>
  <c r="L23" i="6"/>
  <c r="I24" i="6"/>
  <c r="J24" i="6"/>
  <c r="K24" i="6"/>
  <c r="L24" i="6"/>
  <c r="I25" i="6"/>
  <c r="J25" i="6"/>
  <c r="L25" i="6"/>
  <c r="I26" i="6"/>
  <c r="J26" i="6"/>
  <c r="K26" i="6"/>
  <c r="L26" i="6"/>
  <c r="I27" i="6"/>
  <c r="J27" i="6"/>
  <c r="K27" i="6"/>
  <c r="L27" i="6"/>
  <c r="I28" i="6"/>
  <c r="J28" i="6"/>
  <c r="K28" i="6"/>
  <c r="L28" i="6"/>
  <c r="I29" i="6"/>
  <c r="J29" i="6"/>
  <c r="K29" i="6"/>
  <c r="L29" i="6"/>
  <c r="I30" i="6"/>
  <c r="J30" i="6"/>
  <c r="K30" i="6"/>
  <c r="L30" i="6"/>
  <c r="I31" i="6"/>
  <c r="J31" i="6"/>
  <c r="K31" i="6"/>
  <c r="L31" i="6"/>
  <c r="I32" i="6"/>
  <c r="J32" i="6"/>
  <c r="K32" i="6"/>
  <c r="L32" i="6"/>
  <c r="I33" i="6"/>
  <c r="J33" i="6"/>
  <c r="K33" i="6"/>
  <c r="L33" i="6"/>
  <c r="I34" i="6"/>
  <c r="J34" i="6"/>
  <c r="K34" i="6"/>
  <c r="L34" i="6"/>
  <c r="I35" i="6"/>
  <c r="J35" i="6"/>
  <c r="K35" i="6"/>
  <c r="L35" i="6"/>
  <c r="I36" i="6"/>
  <c r="J36" i="6"/>
  <c r="K36" i="6"/>
  <c r="L36" i="6"/>
  <c r="I37" i="6"/>
  <c r="J37" i="6"/>
  <c r="K37" i="6"/>
  <c r="L37" i="6"/>
  <c r="I38" i="6"/>
  <c r="J38" i="6"/>
  <c r="L38" i="6"/>
  <c r="G14" i="6"/>
  <c r="G15" i="6"/>
  <c r="G16" i="6"/>
  <c r="G17" i="6"/>
  <c r="G18" i="6"/>
  <c r="I18" i="6" s="1"/>
  <c r="G19" i="6"/>
  <c r="G20" i="6"/>
  <c r="G21" i="6"/>
  <c r="G22" i="6"/>
  <c r="G23" i="6"/>
  <c r="G24" i="6"/>
  <c r="G25" i="6"/>
  <c r="K25" i="6" s="1"/>
  <c r="G26" i="6"/>
  <c r="G27" i="6"/>
  <c r="G28" i="6"/>
  <c r="G29" i="6"/>
  <c r="G30" i="6"/>
  <c r="G31" i="6"/>
  <c r="G32" i="6"/>
  <c r="G33" i="6"/>
  <c r="G34" i="6"/>
  <c r="G35" i="6"/>
  <c r="G36" i="6"/>
  <c r="G37" i="6"/>
  <c r="G38" i="6"/>
  <c r="K38" i="6" s="1"/>
  <c r="G13" i="6"/>
  <c r="I13" i="6" s="1"/>
  <c r="G12" i="6"/>
  <c r="J12" i="6" s="1"/>
  <c r="F39" i="6"/>
  <c r="E39" i="6"/>
  <c r="D39" i="6"/>
  <c r="C39" i="6"/>
  <c r="K18" i="6" l="1"/>
  <c r="M28" i="6"/>
  <c r="M36" i="6"/>
  <c r="M24" i="6"/>
  <c r="M23" i="6"/>
  <c r="M22" i="6"/>
  <c r="M20" i="6"/>
  <c r="M33" i="6"/>
  <c r="M29" i="6"/>
  <c r="L18" i="6"/>
  <c r="J18" i="6"/>
  <c r="K13" i="6"/>
  <c r="M13" i="6" s="1"/>
  <c r="J13" i="6"/>
  <c r="M38" i="6"/>
  <c r="M16" i="6"/>
  <c r="M25" i="6"/>
  <c r="M35" i="6"/>
  <c r="M30" i="6"/>
  <c r="M21" i="6"/>
  <c r="M34" i="6"/>
  <c r="M31" i="6"/>
  <c r="M37" i="6"/>
  <c r="M32" i="6"/>
  <c r="M27" i="6"/>
  <c r="M26" i="6"/>
  <c r="L12" i="6"/>
  <c r="K12" i="6"/>
  <c r="I12" i="6"/>
  <c r="M19" i="6"/>
  <c r="M14" i="6"/>
  <c r="M15" i="6"/>
  <c r="M17" i="6"/>
  <c r="G39" i="6"/>
  <c r="I39" i="6" s="1"/>
  <c r="M18" i="6" l="1"/>
  <c r="L39" i="6"/>
  <c r="K39" i="6"/>
  <c r="J39" i="6"/>
  <c r="M12" i="6"/>
  <c r="M39" i="6" l="1"/>
  <c r="A13" i="6"/>
  <c r="A14" i="6" s="1"/>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A38" i="6" s="1"/>
  <c r="F16" i="4" l="1"/>
  <c r="G16" i="4" s="1"/>
  <c r="L40" i="4" l="1"/>
  <c r="L37" i="4" l="1"/>
  <c r="L39" i="4"/>
  <c r="L36" i="4"/>
  <c r="L35" i="4"/>
  <c r="L38" i="4"/>
  <c r="L34" i="4"/>
  <c r="B20" i="1" l="1"/>
  <c r="B16" i="1"/>
  <c r="B17" i="1"/>
  <c r="B18" i="1"/>
  <c r="B14" i="1"/>
  <c r="B60" i="1" s="1"/>
  <c r="D15" i="1"/>
  <c r="E15" i="1"/>
  <c r="E22" i="1" s="1"/>
  <c r="E23" i="1" s="1"/>
  <c r="E24" i="1" s="1"/>
  <c r="F15" i="1"/>
  <c r="F22" i="1" s="1"/>
  <c r="F23" i="1" s="1"/>
  <c r="F24" i="1" s="1"/>
  <c r="C15" i="1"/>
  <c r="C22" i="1" s="1"/>
  <c r="C23" i="1" s="1"/>
  <c r="C24" i="1" s="1"/>
  <c r="B21" i="1" l="1"/>
  <c r="D19" i="1"/>
  <c r="D22" i="1"/>
  <c r="D23" i="1" s="1"/>
  <c r="D24" i="1" s="1"/>
  <c r="F19" i="1"/>
  <c r="E19" i="1"/>
  <c r="B15" i="1"/>
  <c r="B61" i="1" s="1"/>
  <c r="C19" i="1"/>
  <c r="B62" i="1" l="1"/>
  <c r="B22" i="1"/>
  <c r="B23" i="1" s="1"/>
  <c r="B24" i="1" s="1"/>
  <c r="B19" i="1" l="1"/>
  <c r="C6" i="9" l="1"/>
  <c r="C8" i="10"/>
  <c r="C7" i="8"/>
  <c r="C8" i="4"/>
  <c r="C8" i="1"/>
  <c r="B7" i="5" s="1"/>
  <c r="B20" i="9"/>
  <c r="B40" i="10" s="1"/>
  <c r="D29" i="10" l="1"/>
  <c r="D37" i="10" s="1"/>
  <c r="B13" i="9"/>
  <c r="B29" i="10" l="1"/>
  <c r="C29" i="10"/>
  <c r="B28" i="9"/>
  <c r="C37" i="10" l="1"/>
  <c r="B42" i="10"/>
  <c r="B37" i="10"/>
  <c r="B43" i="9"/>
  <c r="B38" i="10" l="1"/>
  <c r="D38" i="10"/>
  <c r="D40" i="10" s="1"/>
  <c r="D42" i="10" s="1"/>
  <c r="C38" i="10"/>
  <c r="B60" i="10"/>
  <c r="C13" i="9"/>
  <c r="C17" i="9"/>
  <c r="E51" i="10" l="1"/>
  <c r="C40" i="10"/>
  <c r="C42" i="10" s="1"/>
  <c r="C28" i="9"/>
  <c r="F50" i="10"/>
  <c r="C50" i="10" s="1"/>
  <c r="H50" i="10"/>
  <c r="D51" i="10" l="1"/>
  <c r="C43" i="9"/>
  <c r="F59" i="10" s="1"/>
  <c r="B59" i="10"/>
  <c r="B50" i="10"/>
  <c r="B51" i="10" s="1"/>
  <c r="G60" i="4"/>
  <c r="I50" i="4"/>
  <c r="I52" i="4" l="1"/>
  <c r="I53" i="4" s="1"/>
  <c r="K50" i="4"/>
  <c r="G19" i="10"/>
  <c r="G62" i="4"/>
  <c r="H60" i="4" s="1"/>
  <c r="C42" i="4"/>
  <c r="E34" i="10"/>
  <c r="E25" i="10"/>
  <c r="G34" i="10"/>
  <c r="G52" i="4"/>
  <c r="G30" i="10" l="1"/>
  <c r="G53" i="4"/>
  <c r="J53" i="4" s="1"/>
  <c r="C53" i="4" s="1"/>
  <c r="G54" i="4"/>
  <c r="H62" i="4"/>
  <c r="H59" i="4"/>
  <c r="H61" i="4"/>
  <c r="H58" i="4"/>
  <c r="C19" i="10" s="1"/>
  <c r="E19" i="10"/>
  <c r="G25" i="10"/>
  <c r="G26" i="10" s="1"/>
  <c r="H52" i="10" s="1"/>
  <c r="H34" i="10"/>
  <c r="I34" i="10" s="1"/>
  <c r="E18" i="10"/>
  <c r="E30" i="10"/>
  <c r="I25" i="10" l="1"/>
  <c r="I30" i="10"/>
  <c r="E31" i="10"/>
  <c r="I54" i="4"/>
  <c r="G31" i="10" s="1"/>
  <c r="F18" i="10"/>
  <c r="F16" i="10"/>
  <c r="F17" i="10"/>
  <c r="F15" i="10"/>
  <c r="C17" i="10"/>
  <c r="C18" i="10"/>
  <c r="D18" i="10"/>
  <c r="D15" i="10"/>
  <c r="D19" i="10"/>
  <c r="D17" i="10"/>
  <c r="D16" i="10"/>
  <c r="C16" i="10"/>
  <c r="C15" i="10"/>
  <c r="E32" i="10"/>
  <c r="C54" i="4" l="1"/>
  <c r="I18" i="10"/>
  <c r="H31" i="10"/>
  <c r="I31" i="10" s="1"/>
  <c r="E15" i="10"/>
  <c r="I15" i="10" s="1"/>
  <c r="F19" i="10"/>
  <c r="I19" i="10" s="1"/>
  <c r="D14" i="10"/>
  <c r="D26" i="10" s="1"/>
  <c r="D46" i="10" s="1"/>
  <c r="C14" i="10"/>
  <c r="C26" i="10" s="1"/>
  <c r="C46" i="10" s="1"/>
  <c r="G32" i="10"/>
  <c r="E29" i="10"/>
  <c r="F29" i="10"/>
  <c r="F37" i="10" s="1"/>
  <c r="F38" i="10" l="1"/>
  <c r="F40" i="10" s="1"/>
  <c r="F42" i="10" s="1"/>
  <c r="C44" i="10"/>
  <c r="D52" i="10"/>
  <c r="D53" i="10" s="1"/>
  <c r="D44" i="10"/>
  <c r="E52" i="10"/>
  <c r="E53" i="10" s="1"/>
  <c r="H32" i="10"/>
  <c r="I32" i="10" s="1"/>
  <c r="E37" i="10"/>
  <c r="E38" i="10" s="1"/>
  <c r="G51" i="10" l="1"/>
  <c r="H29" i="10"/>
  <c r="H37" i="10" s="1"/>
  <c r="H38" i="10" s="1"/>
  <c r="G29" i="10"/>
  <c r="I29" i="10" l="1"/>
  <c r="G37" i="10"/>
  <c r="E40" i="10"/>
  <c r="I37" i="10" l="1"/>
  <c r="G38" i="10"/>
  <c r="I38" i="10" s="1"/>
  <c r="E42" i="10"/>
  <c r="F51" i="10" l="1"/>
  <c r="C51" i="10"/>
  <c r="G40" i="10"/>
  <c r="H40" i="10" l="1"/>
  <c r="H42" i="10" s="1"/>
  <c r="H46" i="10" s="1"/>
  <c r="G42" i="10"/>
  <c r="G46" i="10" s="1"/>
  <c r="B6" i="5"/>
  <c r="I42" i="10" l="1"/>
  <c r="H44" i="10"/>
  <c r="I40" i="10"/>
  <c r="H51" i="10"/>
  <c r="H53" i="10" s="1"/>
  <c r="G44" i="10"/>
  <c r="F14" i="10"/>
  <c r="F26" i="10" s="1"/>
  <c r="F46" i="10" s="1"/>
  <c r="E16" i="10"/>
  <c r="I16" i="10" s="1"/>
  <c r="E17" i="10"/>
  <c r="I17" i="10" s="1"/>
  <c r="E14" i="10" l="1"/>
  <c r="E26" i="10" s="1"/>
  <c r="E46" i="10" s="1"/>
  <c r="F44" i="10"/>
  <c r="G52" i="10"/>
  <c r="G53" i="10" s="1"/>
  <c r="B14" i="10" l="1"/>
  <c r="C52" i="10"/>
  <c r="C53" i="10" s="1"/>
  <c r="F52" i="10"/>
  <c r="F53" i="10" s="1"/>
  <c r="E44" i="10"/>
  <c r="I14" i="10" l="1"/>
  <c r="B26" i="10"/>
  <c r="I26" i="10" l="1"/>
  <c r="B46" i="10"/>
  <c r="D60" i="10"/>
  <c r="B44" i="10"/>
  <c r="I44" i="10" s="1"/>
  <c r="B52" i="10"/>
  <c r="B53" i="10" s="1"/>
  <c r="F60" i="10" l="1"/>
</calcChain>
</file>

<file path=xl/comments1.xml><?xml version="1.0" encoding="utf-8"?>
<comments xmlns="http://schemas.openxmlformats.org/spreadsheetml/2006/main">
  <authors>
    <author>Marcel</author>
    <author>Kroll Stefan</author>
  </authors>
  <commentList>
    <comment ref="C14" authorId="0" shapeId="0">
      <text>
        <r>
          <rPr>
            <sz val="9"/>
            <color indexed="81"/>
            <rFont val="Segoe UI"/>
            <family val="2"/>
          </rPr>
          <t>von Formular A
übernommen</t>
        </r>
      </text>
    </comment>
    <comment ref="D14" authorId="0" shapeId="0">
      <text>
        <r>
          <rPr>
            <sz val="9"/>
            <color indexed="81"/>
            <rFont val="Segoe UI"/>
            <family val="2"/>
          </rPr>
          <t>Aus Leistungserfassung</t>
        </r>
      </text>
    </comment>
    <comment ref="E14" authorId="0" shapeId="0">
      <text>
        <r>
          <rPr>
            <sz val="9"/>
            <color indexed="81"/>
            <rFont val="Segoe UI"/>
            <family val="2"/>
          </rPr>
          <t xml:space="preserve">Aus Finanzbuchhaltung, </t>
        </r>
      </text>
    </comment>
    <comment ref="A19" authorId="1" shapeId="0">
      <text>
        <r>
          <rPr>
            <b/>
            <sz val="9"/>
            <color indexed="81"/>
            <rFont val="Segoe UI"/>
            <family val="2"/>
          </rPr>
          <t>Kroll Stefan:</t>
        </r>
        <r>
          <rPr>
            <sz val="9"/>
            <color indexed="81"/>
            <rFont val="Segoe UI"/>
            <family val="2"/>
          </rPr>
          <t xml:space="preserve">
allenfalls Kommentar /Ausfüllanleitung hinzufügen
</t>
        </r>
      </text>
    </comment>
    <comment ref="C32" authorId="0" shapeId="0">
      <text>
        <r>
          <rPr>
            <b/>
            <sz val="9"/>
            <color indexed="81"/>
            <rFont val="Segoe UI"/>
            <family val="2"/>
          </rPr>
          <t>obige Stunden zusammengefasst</t>
        </r>
      </text>
    </comment>
    <comment ref="A45" authorId="0" shapeId="0">
      <text>
        <r>
          <rPr>
            <sz val="9"/>
            <color indexed="81"/>
            <rFont val="Segoe UI"/>
            <family val="2"/>
          </rPr>
          <t xml:space="preserve">vgl. grauer Kasten in Blatt A_Personal
</t>
        </r>
      </text>
    </comment>
    <comment ref="G56" authorId="0" shapeId="0">
      <text>
        <r>
          <rPr>
            <sz val="9"/>
            <color indexed="81"/>
            <rFont val="Segoe UI"/>
            <family val="2"/>
          </rPr>
          <t>Total Ertrag je Std multipliziert mit Anzahl Stunden
E</t>
        </r>
      </text>
    </comment>
    <comment ref="C57" authorId="0" shapeId="0">
      <text>
        <r>
          <rPr>
            <sz val="9"/>
            <color indexed="81"/>
            <rFont val="Segoe UI"/>
            <family val="2"/>
          </rPr>
          <t>errechnet aus Ertrag Selbstbehalt dividiert durch Anzahl verrechnete Stunden</t>
        </r>
      </text>
    </comment>
    <comment ref="D57" authorId="0" shapeId="0">
      <text>
        <r>
          <rPr>
            <sz val="9"/>
            <color indexed="81"/>
            <rFont val="Segoe UI"/>
            <family val="2"/>
          </rPr>
          <t>siehe KLV Art. 7a Abs. 1</t>
        </r>
      </text>
    </comment>
  </commentList>
</comments>
</file>

<file path=xl/comments2.xml><?xml version="1.0" encoding="utf-8"?>
<comments xmlns="http://schemas.openxmlformats.org/spreadsheetml/2006/main">
  <authors>
    <author>Marcel</author>
  </authors>
  <commentList>
    <comment ref="C9" authorId="0" shapeId="0">
      <text>
        <r>
          <rPr>
            <sz val="9"/>
            <color indexed="81"/>
            <rFont val="Segoe UI"/>
            <family val="2"/>
          </rPr>
          <t xml:space="preserve">pro Memoria, keine Berechnungsbasis. Inkl. Leistungen in anderen Kantonen
</t>
        </r>
      </text>
    </comment>
    <comment ref="D9" authorId="0" shapeId="0">
      <text>
        <r>
          <rPr>
            <sz val="9"/>
            <color indexed="81"/>
            <rFont val="Segoe UI"/>
            <family val="2"/>
          </rPr>
          <t>Kerndienstleistungen:
KLV-A, KLV-B, KLV-C, AÜP (alle), Hauswirtschaft</t>
        </r>
      </text>
    </comment>
    <comment ref="E9" authorId="0" shapeId="0">
      <text>
        <r>
          <rPr>
            <sz val="9"/>
            <color indexed="81"/>
            <rFont val="Segoe UI"/>
            <family val="2"/>
          </rPr>
          <t>z.B. Personalausleihe, übrige Aktivitäten</t>
        </r>
      </text>
    </comment>
    <comment ref="A11" authorId="0" shapeId="0">
      <text>
        <r>
          <rPr>
            <b/>
            <sz val="9"/>
            <color indexed="81"/>
            <rFont val="Segoe UI"/>
            <family val="2"/>
          </rPr>
          <t>Marcel:</t>
        </r>
        <r>
          <rPr>
            <sz val="9"/>
            <color indexed="81"/>
            <rFont val="Segoe UI"/>
            <family val="2"/>
          </rPr>
          <t xml:space="preserve">
Kontenplan gemäss Finanzmanual </t>
        </r>
      </text>
    </comment>
    <comment ref="H12" authorId="0" shapeId="0">
      <text>
        <r>
          <rPr>
            <sz val="9"/>
            <color indexed="81"/>
            <rFont val="Segoe UI"/>
            <family val="2"/>
          </rPr>
          <t>KLV SH</t>
        </r>
      </text>
    </comment>
    <comment ref="H13" authorId="0" shapeId="0">
      <text>
        <r>
          <rPr>
            <sz val="9"/>
            <color indexed="81"/>
            <rFont val="Segoe UI"/>
            <family val="2"/>
          </rPr>
          <t>KLV andere Fachbereiche</t>
        </r>
      </text>
    </comment>
    <comment ref="I13" authorId="0" shapeId="0">
      <text>
        <r>
          <rPr>
            <sz val="9"/>
            <color indexed="81"/>
            <rFont val="Segoe UI"/>
            <family val="2"/>
          </rPr>
          <t>übrige Fachbereiche</t>
        </r>
      </text>
    </comment>
    <comment ref="H14" authorId="0" shapeId="0">
      <text>
        <r>
          <rPr>
            <sz val="9"/>
            <color indexed="81"/>
            <rFont val="Segoe UI"/>
            <family val="2"/>
          </rPr>
          <t>Verwaltung, Org.</t>
        </r>
      </text>
    </comment>
  </commentList>
</comments>
</file>

<file path=xl/comments3.xml><?xml version="1.0" encoding="utf-8"?>
<comments xmlns="http://schemas.openxmlformats.org/spreadsheetml/2006/main">
  <authors>
    <author>Marcel</author>
  </authors>
  <commentList>
    <comment ref="A13" authorId="0" shapeId="0">
      <text>
        <r>
          <rPr>
            <b/>
            <sz val="9"/>
            <color indexed="81"/>
            <rFont val="Segoe UI"/>
            <family val="2"/>
          </rPr>
          <t>GA SH</t>
        </r>
        <r>
          <rPr>
            <sz val="9"/>
            <color indexed="81"/>
            <rFont val="Segoe UI"/>
            <family val="2"/>
          </rPr>
          <t xml:space="preserve">
Kerndienstleistungen:
KLV-A, KLV-B, KLV-C, AÜP (alle), Hauswirtschaft</t>
        </r>
      </text>
    </comment>
    <comment ref="A17" authorId="0" shapeId="0">
      <text>
        <r>
          <rPr>
            <b/>
            <sz val="9"/>
            <color indexed="81"/>
            <rFont val="Segoe UI"/>
            <family val="2"/>
          </rPr>
          <t>Marcel:</t>
        </r>
        <r>
          <rPr>
            <sz val="9"/>
            <color indexed="81"/>
            <rFont val="Segoe UI"/>
            <family val="2"/>
          </rPr>
          <t xml:space="preserve">
inklusive übrige Dienstleistungen</t>
        </r>
      </text>
    </comment>
    <comment ref="A20" authorId="0" shapeId="0">
      <text>
        <r>
          <rPr>
            <b/>
            <sz val="9"/>
            <color indexed="81"/>
            <rFont val="Segoe UI"/>
            <family val="2"/>
          </rPr>
          <t>Marcel:</t>
        </r>
        <r>
          <rPr>
            <sz val="9"/>
            <color indexed="81"/>
            <rFont val="Segoe UI"/>
            <family val="2"/>
          </rPr>
          <t xml:space="preserve">
inklusive übrige Dienstleistungen</t>
        </r>
      </text>
    </comment>
  </commentList>
</comments>
</file>

<file path=xl/sharedStrings.xml><?xml version="1.0" encoding="utf-8"?>
<sst xmlns="http://schemas.openxmlformats.org/spreadsheetml/2006/main" count="446" uniqueCount="343">
  <si>
    <t>Gesundheitsamt Kanton Schffhausen</t>
  </si>
  <si>
    <t>Total</t>
  </si>
  <si>
    <t>Total KLV</t>
  </si>
  <si>
    <t>Vollkosten</t>
  </si>
  <si>
    <t>Erträge</t>
  </si>
  <si>
    <t>Versicherer</t>
  </si>
  <si>
    <t>öff. Hand</t>
  </si>
  <si>
    <t>Ergebnis</t>
  </si>
  <si>
    <t>Stunden</t>
  </si>
  <si>
    <t xml:space="preserve">Total </t>
  </si>
  <si>
    <t>Organisation</t>
  </si>
  <si>
    <t>Rechnungsjahr</t>
  </si>
  <si>
    <t>1. KLV Pflegeleistungen Kanton Schaffhausen</t>
  </si>
  <si>
    <t>310 Dipl. Pflegefachpersonal mit Zusatzdiplom oder Master</t>
  </si>
  <si>
    <t>314 Grundkurs Pflegehelferin SRK</t>
  </si>
  <si>
    <t>315 Ohne spezifische Ausbildung</t>
  </si>
  <si>
    <t>316 Auszubildene Pflege HF, FH</t>
  </si>
  <si>
    <t>317 Auszubildende Pflege FaGe, FaBe, AGS</t>
  </si>
  <si>
    <t>318 Praktikanten</t>
  </si>
  <si>
    <t>Kosten je Std.</t>
  </si>
  <si>
    <t>V4</t>
  </si>
  <si>
    <t>Adm.</t>
  </si>
  <si>
    <t>Bargen</t>
  </si>
  <si>
    <t>Beggingen</t>
  </si>
  <si>
    <t>Beringen</t>
  </si>
  <si>
    <t>Buch</t>
  </si>
  <si>
    <t>Buchberg</t>
  </si>
  <si>
    <t>Büttenhardt</t>
  </si>
  <si>
    <t>Dörflingen</t>
  </si>
  <si>
    <t>Gächlingen</t>
  </si>
  <si>
    <t>Hallau</t>
  </si>
  <si>
    <t>Hemishofen</t>
  </si>
  <si>
    <t>Löhningen</t>
  </si>
  <si>
    <t>Lohn</t>
  </si>
  <si>
    <t>Merishausen</t>
  </si>
  <si>
    <t>Neuhausen</t>
  </si>
  <si>
    <t>Neunkirch</t>
  </si>
  <si>
    <t>Oberhallau</t>
  </si>
  <si>
    <t>Ramsen</t>
  </si>
  <si>
    <t>Rüdlingen</t>
  </si>
  <si>
    <t>Schaffhausen</t>
  </si>
  <si>
    <t>Schleitheim</t>
  </si>
  <si>
    <t>Siblingen</t>
  </si>
  <si>
    <t>Stein am Rhein</t>
  </si>
  <si>
    <t>Stetten</t>
  </si>
  <si>
    <t>Thayngen</t>
  </si>
  <si>
    <t>Trasadingen</t>
  </si>
  <si>
    <t>Wilchingen</t>
  </si>
  <si>
    <t>Abrechnung an Gemeinden</t>
  </si>
  <si>
    <t>Summe</t>
  </si>
  <si>
    <t>Pflegeteam A</t>
  </si>
  <si>
    <t>Pflegeteam B</t>
  </si>
  <si>
    <t>Pflegeteam C</t>
  </si>
  <si>
    <t>Löhne Administration</t>
  </si>
  <si>
    <t>Löhne Pflegepersonal</t>
  </si>
  <si>
    <t>Sozialabgaben</t>
  </si>
  <si>
    <t>Weiterbildungskosten</t>
  </si>
  <si>
    <t>Miete</t>
  </si>
  <si>
    <t>IT/ Softwarelizenzen</t>
  </si>
  <si>
    <t>Fahrzeugkosten</t>
  </si>
  <si>
    <t>Med. Verbrauchsmaterial</t>
  </si>
  <si>
    <t>Büro- und Administrationsmaterial</t>
  </si>
  <si>
    <t>Abschreibungen</t>
  </si>
  <si>
    <t>Zinsen</t>
  </si>
  <si>
    <t>Sonstige Kosten</t>
  </si>
  <si>
    <t>Mahlzeitendienste</t>
  </si>
  <si>
    <t>Fahrdienst</t>
  </si>
  <si>
    <t>HWL &amp; Betreuung</t>
  </si>
  <si>
    <t>UV HWL &amp; Betreuung</t>
  </si>
  <si>
    <t>Mütter-/ Väterberatung</t>
  </si>
  <si>
    <t>Spezialisierte Pflegeleistungen</t>
  </si>
  <si>
    <t>etc.</t>
  </si>
  <si>
    <t>100-102</t>
  </si>
  <si>
    <t>????</t>
  </si>
  <si>
    <t>Sachkosten</t>
  </si>
  <si>
    <t>Food &amp; Beverage</t>
  </si>
  <si>
    <t>KOA sind auf der KST zulässig</t>
  </si>
  <si>
    <t>KOA-Gruppen:</t>
  </si>
  <si>
    <t>Spitex-Kennzahlenset</t>
  </si>
  <si>
    <t>Gemeinden ausserkantonal</t>
  </si>
  <si>
    <t>Klienten Ist</t>
  </si>
  <si>
    <t>Personalaufwand</t>
  </si>
  <si>
    <t>Besoldung andere Fachbereiche</t>
  </si>
  <si>
    <t>Arbeitsleistungen Dritter</t>
  </si>
  <si>
    <t>Sonstiger Personalaufwand</t>
  </si>
  <si>
    <t>Aufwand Material und Dienstleistungen</t>
  </si>
  <si>
    <t>Medizinischer Bedarf</t>
  </si>
  <si>
    <t>Bezogene Dienstleistungen</t>
  </si>
  <si>
    <t>davon konzerninterne Verrechnungen</t>
  </si>
  <si>
    <t>Raumaufwand</t>
  </si>
  <si>
    <t>Energie und Entsorgung</t>
  </si>
  <si>
    <t>Verwaltung und Informatik</t>
  </si>
  <si>
    <t>Sachversicherungen, Abgaben, Gebühren</t>
  </si>
  <si>
    <t>Abschreibungen und Wertberichtigungen</t>
  </si>
  <si>
    <t>Übriger betrieblicher Aufwand</t>
  </si>
  <si>
    <t>davon Marketing &amp; Kommunikation</t>
  </si>
  <si>
    <t>Fahrzeug- &amp; Transportaufwand</t>
  </si>
  <si>
    <t>Total Aufwand</t>
  </si>
  <si>
    <t>Nettoerlöse aus Lieferungen &amp; Leistungen</t>
  </si>
  <si>
    <t>Nettoerlöse aus KLV-Leistungen</t>
  </si>
  <si>
    <t>Finanzertrag</t>
  </si>
  <si>
    <t>Finanzieller Erfolg</t>
  </si>
  <si>
    <t>Total Ertrag</t>
  </si>
  <si>
    <t>CHF</t>
  </si>
  <si>
    <t>Prozent</t>
  </si>
  <si>
    <t>Zürich</t>
  </si>
  <si>
    <t>Schafffhausen</t>
  </si>
  <si>
    <t>Thurgau</t>
  </si>
  <si>
    <t>Datenherkunft:  Zeit/Leistungserfassung &amp; Lohnsystem</t>
  </si>
  <si>
    <t>Formular D:  Kosten je Kostenstelle und -art</t>
  </si>
  <si>
    <r>
      <rPr>
        <b/>
        <sz val="24"/>
        <color rgb="FFFF0000"/>
        <rFont val="Calibri"/>
        <family val="2"/>
        <scheme val="minor"/>
      </rPr>
      <t>Kostenstellen</t>
    </r>
    <r>
      <rPr>
        <sz val="24"/>
        <color rgb="FFFF0000"/>
        <rFont val="Calibri"/>
        <family val="2"/>
        <scheme val="minor"/>
      </rPr>
      <t xml:space="preserve">
</t>
    </r>
    <r>
      <rPr>
        <sz val="18"/>
        <color rgb="FFFF0000"/>
        <rFont val="Calibri"/>
        <family val="2"/>
        <scheme val="minor"/>
      </rPr>
      <t>Im Minimum braucht es zwei KST: Administration und  Pflegeteam, sofern weitere DL angeboten werden sind KST zu ergänzen</t>
    </r>
  </si>
  <si>
    <t>Pensen (VZÄ)</t>
  </si>
  <si>
    <t>HF, FH</t>
  </si>
  <si>
    <t>FABE/FAGE</t>
  </si>
  <si>
    <t>Assistenz</t>
  </si>
  <si>
    <t>Kosten</t>
  </si>
  <si>
    <t>Basis: Personalkosten je Qualifikation</t>
  </si>
  <si>
    <t>(Spitex Finanzmanual, Kontenrahmen Pos. 310-329)</t>
  </si>
  <si>
    <t>320-329  Besoldung weitere Fachbereiche</t>
  </si>
  <si>
    <t>Erträge KLV</t>
  </si>
  <si>
    <t>Spitex-Dienstleistungen</t>
  </si>
  <si>
    <t>Übrige Erträge aus Spitex</t>
  </si>
  <si>
    <t>Hauswirtschaft</t>
  </si>
  <si>
    <t>Übrige Einnahmen</t>
  </si>
  <si>
    <t>Anteile</t>
  </si>
  <si>
    <t>Löhne</t>
  </si>
  <si>
    <t>Sozialleistungen</t>
  </si>
  <si>
    <t>Übriger Aufwand</t>
  </si>
  <si>
    <t>Total Stunden</t>
  </si>
  <si>
    <t>KLV Pflegeleistungen Kanton Schaffhausen</t>
  </si>
  <si>
    <t>311 Diplomiertes Pflegefachpersonal</t>
  </si>
  <si>
    <t>Hauswirtschaft und Betreuung (560)</t>
  </si>
  <si>
    <t>313 Assistenz (in  Pflege)</t>
  </si>
  <si>
    <t>Std. KLV-A</t>
  </si>
  <si>
    <t>Std. KLV-B</t>
  </si>
  <si>
    <t>Jahr</t>
  </si>
  <si>
    <t>KORE</t>
  </si>
  <si>
    <t>Personen</t>
  </si>
  <si>
    <t>311 Diplomiertes Fachpersonal</t>
  </si>
  <si>
    <t>313 Assistenz</t>
  </si>
  <si>
    <t>Stellen VZÄ</t>
  </si>
  <si>
    <t xml:space="preserve">Spitex-Kennzahlenset </t>
  </si>
  <si>
    <t>Übrige Erträge Spitex</t>
  </si>
  <si>
    <t>Weitere Spitex-Einnahmen</t>
  </si>
  <si>
    <t>Total Einnahmen</t>
  </si>
  <si>
    <t>Deckungsgrad</t>
  </si>
  <si>
    <t>Pflegende Angehörige</t>
  </si>
  <si>
    <t>Erfolg</t>
  </si>
  <si>
    <t>plus = Gewinn, minus = Verlust</t>
  </si>
  <si>
    <t>Sachaufwand</t>
  </si>
  <si>
    <t>Material und Dienstleistungen</t>
  </si>
  <si>
    <t>Beiträge öff. Hand</t>
  </si>
  <si>
    <t>Übrige DL (andere Fachbereiche, 600 ff.)</t>
  </si>
  <si>
    <t>Einnahmen</t>
  </si>
  <si>
    <t>Ausgaben</t>
  </si>
  <si>
    <t>Total KLV Pensen und Stunden</t>
  </si>
  <si>
    <t>Total rapportierte Pensen und Stunden</t>
  </si>
  <si>
    <t>Alle Kostenträger</t>
  </si>
  <si>
    <t>Std. Hauswirt-schaft &amp; Betreuung</t>
  </si>
  <si>
    <t>Stundenverteilung auf Kostenträger</t>
  </si>
  <si>
    <t>Ø Selbstbehalt</t>
  </si>
  <si>
    <t>KLV-A, Abklärung</t>
  </si>
  <si>
    <t>KLV-C, Grundpflege</t>
  </si>
  <si>
    <t>Versicherung</t>
  </si>
  <si>
    <t>Pflegefachfrau FH</t>
  </si>
  <si>
    <t>PhD Nursing Science</t>
  </si>
  <si>
    <t>Dipl. Pflegefachfrau/-mann</t>
  </si>
  <si>
    <t>Hebamme</t>
  </si>
  <si>
    <t>Med. Praxisassistentin</t>
  </si>
  <si>
    <t>Assisten Gesundheit EBA , Pflegeass. SR</t>
  </si>
  <si>
    <t>Assisten Gesundheit SRK</t>
  </si>
  <si>
    <t>Nachdipl. Gesundh.-Schwester</t>
  </si>
  <si>
    <t>Sozialarbeiterin FH, HF</t>
  </si>
  <si>
    <t>Therapeutische Ausbildung</t>
  </si>
  <si>
    <t>Pflegehelferin SRK ordentlich</t>
  </si>
  <si>
    <t>Auszubildende Pflege FH HF</t>
  </si>
  <si>
    <t>Auszubildende Pflege FAGE, FABE</t>
  </si>
  <si>
    <t>Praktikanten</t>
  </si>
  <si>
    <t>Formular D2:  Für Spitex-Betriebe mit eigener Kostenrechnung</t>
  </si>
  <si>
    <t>-</t>
  </si>
  <si>
    <t>Ergebnis Kostenträgerrechnung</t>
  </si>
  <si>
    <t>Keine spez. Ausbildung (Angehörigenpfl.)</t>
  </si>
  <si>
    <t>Personalaufwand Kern-DL</t>
  </si>
  <si>
    <t>330-339 Leitung und Verwaltung</t>
  </si>
  <si>
    <t>Total CHF</t>
  </si>
  <si>
    <t>Prozent  im Vgl. zum Ø</t>
  </si>
  <si>
    <t>Std. KLV-C normal</t>
  </si>
  <si>
    <t>KLV-B, Untersuchung</t>
  </si>
  <si>
    <t>Qualifikation</t>
  </si>
  <si>
    <t>Total Std</t>
  </si>
  <si>
    <t>2. Übrige Pflegeleistungen Kanton Schaffhausen (AÜP, IV, MV, UV)</t>
  </si>
  <si>
    <t>Resultat Kostenträgerrechnung</t>
  </si>
  <si>
    <t>Vollkosten je Stunde</t>
  </si>
  <si>
    <t>Erträge je Stunde</t>
  </si>
  <si>
    <t>Verrechnete Stunden</t>
  </si>
  <si>
    <t>TotaL CHF</t>
  </si>
  <si>
    <t>Unterhalt/Reparatur mobile Anlagen (ohne Fz)</t>
  </si>
  <si>
    <t>Betriebsergebnis (+ = Gewinn, - = Verlust)</t>
  </si>
  <si>
    <t>Nettoerlöse aus Hauswirtschaft und Betreuung</t>
  </si>
  <si>
    <t>davon KLV-Kern DL</t>
  </si>
  <si>
    <t>im Kanton Schaffhausen</t>
  </si>
  <si>
    <t>davon übrige DL</t>
  </si>
  <si>
    <t>davon Klienten</t>
  </si>
  <si>
    <t>davon Versicherer</t>
  </si>
  <si>
    <t>Erträge KLV und AÜP</t>
  </si>
  <si>
    <t>Defizitdeckung</t>
  </si>
  <si>
    <t>Übrige Beiträge</t>
  </si>
  <si>
    <t>Personalaufwand Verwaltung</t>
  </si>
  <si>
    <t>Besoldung Pflege, Betreuung, Hauswirtschaft</t>
  </si>
  <si>
    <t>Sozialversicherungsaufwand Total</t>
  </si>
  <si>
    <t>davon öff. Hand (nur Restkosten)</t>
  </si>
  <si>
    <t>von Klienten</t>
  </si>
  <si>
    <t>von Versicherern</t>
  </si>
  <si>
    <t>von öff. Hand (Restkosten)</t>
  </si>
  <si>
    <t>Personalaufwand übrige DL</t>
  </si>
  <si>
    <t>Beiträge öffentliche Hand (Defizitdeckung)</t>
  </si>
  <si>
    <t>KERN DL</t>
  </si>
  <si>
    <t>ausgeblendet</t>
  </si>
  <si>
    <t>ÜBRIGE DL</t>
  </si>
  <si>
    <t>Formular A: Personen und Stellen analog BFS Spitex-Codes</t>
  </si>
  <si>
    <t>Umlagebasis</t>
  </si>
  <si>
    <t xml:space="preserve">Formular C: Komprimierte Betriebsrechnung </t>
  </si>
  <si>
    <t>Formular B: Errechnung Umlageschlüssel</t>
  </si>
  <si>
    <t>1.2. Stundenverteilung  auf Kostenträger (KLV- und AÜP-Leistungen  A bis C und weitere) nach Qualifikation (nur Std. im Kanton SH)</t>
  </si>
  <si>
    <t>1.3. Personalkostenverteilung  auf Kostenträger (KLV- und AÜP-Leistungen  A bis C und weitere) nach Qualifikation</t>
  </si>
  <si>
    <t>Total verrechnete KLV Stunden</t>
  </si>
  <si>
    <t>1. Stundenleistungen und Pesonalkosten im Kanton Schaffhausen</t>
  </si>
  <si>
    <t>2. KLV Stundenleistungen in weiteren Kantonen</t>
  </si>
  <si>
    <t>Zwischentotal</t>
  </si>
  <si>
    <t>Material + Dienstleistungen Kern-DL</t>
  </si>
  <si>
    <t>Material + Dienstleistungen übrige DL</t>
  </si>
  <si>
    <t>ohne spez. Ausbildung</t>
  </si>
  <si>
    <t>in Ausbildung</t>
  </si>
  <si>
    <t>ohne spezifische Ausbildung</t>
  </si>
  <si>
    <t>Weitere Fachbereiche</t>
  </si>
  <si>
    <t>Basis</t>
  </si>
  <si>
    <t xml:space="preserve">gesamte Unternehmung </t>
  </si>
  <si>
    <t>Finanz-Kennzahlen</t>
  </si>
  <si>
    <t>Theoretische Einnahmen</t>
  </si>
  <si>
    <t>Total Ertrag je h</t>
  </si>
  <si>
    <t>Prozentanteil je Leistung an Erträgen</t>
  </si>
  <si>
    <t>Berechnungsbasis: Stunden-Entschädigungen je Leistung/Stunde 2025</t>
  </si>
  <si>
    <r>
      <t xml:space="preserve">314 Grundkurs Pflegehelferin SRK </t>
    </r>
    <r>
      <rPr>
        <sz val="8"/>
        <color theme="1"/>
        <rFont val="Calibri"/>
        <family val="2"/>
      </rPr>
      <t>(Angehörige)</t>
    </r>
  </si>
  <si>
    <r>
      <t xml:space="preserve">415 Ohne spezifische Ausbildung </t>
    </r>
    <r>
      <rPr>
        <sz val="8"/>
        <color theme="1"/>
        <rFont val="Calibri"/>
        <family val="2"/>
      </rPr>
      <t>(Angehörige)</t>
    </r>
  </si>
  <si>
    <t>KLV-A  Abklärung
(500)</t>
  </si>
  <si>
    <t>KLV-B Untersuchung
(501)</t>
  </si>
  <si>
    <t>KLV-C Grund-pflege 
(502 ohne pflegende Angeh.)</t>
  </si>
  <si>
    <t>KLV-C Grund-pflege 
(502 pfl. Angeh.)</t>
  </si>
  <si>
    <t>Vollkosten pro Stunde</t>
  </si>
  <si>
    <t>KLV-A Abklärung
 (500)</t>
  </si>
  <si>
    <t>KLV-B Unter-suchung
(501)</t>
  </si>
  <si>
    <t>KLV-C Angehörigen-pflege (502 Grundpflege)</t>
  </si>
  <si>
    <t>Erfolg je Stunde</t>
  </si>
  <si>
    <t>Alle KLV-Leistungen (A-C)</t>
  </si>
  <si>
    <t>Erträge pro Stunde</t>
  </si>
  <si>
    <t>1.1 Aufteilung auf Kostenstellen gemäss Spitex-Manual-Kontenplan (ohne übrlge Dienstleistungen)</t>
  </si>
  <si>
    <t>Besoldung  Verwaltung, Organisation, Leitung</t>
  </si>
  <si>
    <t>Code BFS Spitex</t>
  </si>
  <si>
    <t>Master of Science Pflege FH</t>
  </si>
  <si>
    <t>Master of Science Nursing FH</t>
  </si>
  <si>
    <t>Prakt. Krankenpflege (FA SRK)</t>
  </si>
  <si>
    <t>Fachfrau Gesundheit (FAGE)</t>
  </si>
  <si>
    <t>Fachfrau Betreuung (FABE)</t>
  </si>
  <si>
    <t>Qualifizierte Nachdiplome (CAS, MAS etc.)</t>
  </si>
  <si>
    <t>312 Personal mit beruflicher Grundbildung (Pf/Be)</t>
  </si>
  <si>
    <t>Keine spezielle Ausbildung</t>
  </si>
  <si>
    <t>Pflegehelferin (Angehörigenpflege)</t>
  </si>
  <si>
    <t>319 Pflegende Angehörige</t>
  </si>
  <si>
    <t>Std. übrige Dienst-Leistungen</t>
  </si>
  <si>
    <t>Std. KLV-C Angehörige</t>
  </si>
  <si>
    <t>Ausbildung Leitung und Adminisation</t>
  </si>
  <si>
    <t>Sonstiger betrieblicher Aufwand, Steuern</t>
  </si>
  <si>
    <t>Total Ausgaben (Vollkosten)</t>
  </si>
  <si>
    <t>KLV-C Grund-pflege 
(502, ohne Angehörige)</t>
  </si>
  <si>
    <t>3. Übrige Leistungen</t>
  </si>
  <si>
    <t>Erfolg pro Stunde</t>
  </si>
  <si>
    <t>in Prozent Vollkosten</t>
  </si>
  <si>
    <t>Übrige Dienstleistungen (600)</t>
  </si>
  <si>
    <t>4. Erfolg Institution</t>
  </si>
  <si>
    <r>
      <t xml:space="preserve">Anzahl Minuten p.a.
</t>
    </r>
    <r>
      <rPr>
        <sz val="16"/>
        <color theme="1"/>
        <rFont val="Calibri"/>
        <family val="2"/>
        <scheme val="minor"/>
      </rPr>
      <t xml:space="preserve"> absolut</t>
    </r>
  </si>
  <si>
    <t>Anzahl Klienten</t>
  </si>
  <si>
    <t>Lau-fende Nr.</t>
  </si>
  <si>
    <t>Hinweis: Die Summe der mtl. Angaben von Spitex an die Gemeinden (s. Vordruck) muss den Angaben in diesem Blatt entsprechen.</t>
  </si>
  <si>
    <t>KLV-C Grundpflege 
(502, o/Angehörige)</t>
  </si>
  <si>
    <t>KLV-C Angehörigengrundpflege (502 Grundpflege)</t>
  </si>
  <si>
    <t>Basis:</t>
  </si>
  <si>
    <t>revidierte Erfolgsrechnung des Berichtsjahres</t>
  </si>
  <si>
    <t>Finanzaufwand</t>
  </si>
  <si>
    <t>310 Dipl. Pflegefachpersonal mit Zusatzdiplom / Master</t>
  </si>
  <si>
    <t>312 Personal mit berufl. Grundbildung (FABE, FAGE)</t>
  </si>
  <si>
    <t>Zusammenfassung in KORE-Gruppen</t>
  </si>
  <si>
    <t>Text</t>
  </si>
  <si>
    <t>KORE Gruppe</t>
  </si>
  <si>
    <t>Bitte zusätzlich Kostenrechnung in CSV-Format beilegen/zustellen.</t>
  </si>
  <si>
    <t>Bemerkungen zuhanden Gesundheitsamt</t>
  </si>
  <si>
    <t>Kontroll-Summe</t>
  </si>
  <si>
    <t>Kostenzuordnung zu den Kostenarten siehe Spitex-Finanzmanual</t>
  </si>
  <si>
    <t>Beiträge der öffentlichen Hand und Anderen (ohne Beiträge nach KLV Art. 7)</t>
  </si>
  <si>
    <t>Formular D1: Vereinfachte Kostenträgerrechnung</t>
  </si>
  <si>
    <t>Dieses Formular ist nur von  Spitexbetrieben mit eigener Kostenrechnung auszufüllen. Es wird davon ausgegangen, dass die KORE die nachstehenden Kennzahlen liefert. Formular D1 wird vom GA in diesem Fall nur ergänzend beigezogen.</t>
  </si>
  <si>
    <t>Total Anzahl Klienten KLV</t>
  </si>
  <si>
    <t>Total Anzahl übrige Klienten Pflege</t>
  </si>
  <si>
    <t>Total Anzahl Klienten Hauswirtschaft und Betreuung</t>
  </si>
  <si>
    <t>Personalkosten Leitung &amp; Verwaltung</t>
  </si>
  <si>
    <t>BUR-Nummer</t>
  </si>
  <si>
    <r>
      <t xml:space="preserve">Anzahl Minuten p.a.
</t>
    </r>
    <r>
      <rPr>
        <b/>
        <sz val="16"/>
        <color theme="1"/>
        <rFont val="Calibri"/>
        <family val="2"/>
        <scheme val="minor"/>
      </rPr>
      <t>in %</t>
    </r>
  </si>
  <si>
    <t>Restkosten öff. Hand</t>
  </si>
  <si>
    <t xml:space="preserve">1.4. Verteilschlüssel KLV-Erträge auf Kostenträger auf Basis der Erträge (ohne Spezialregelungen für Spezialspitex gemäss § 29b AbPV Abs. 5 und 6) </t>
  </si>
  <si>
    <t>Personalkos-ten ohne Soz.Vers.</t>
  </si>
  <si>
    <t>E-Mail-Adresse</t>
  </si>
  <si>
    <t>Telefon Nr.</t>
  </si>
  <si>
    <t>Pflegefachfrau DNI</t>
  </si>
  <si>
    <t>Krankenschwester/-pfleger Diplom II</t>
  </si>
  <si>
    <t>Dipl. Krankenschwester-/Pfleger AKP</t>
  </si>
  <si>
    <t>Aufteilung verrechnete Stunden gemäss BFS-Spitex</t>
  </si>
  <si>
    <t>Abklärung und Beratung</t>
  </si>
  <si>
    <t>0 bis 4 Jahre</t>
  </si>
  <si>
    <t>5 bis 19 Jahre</t>
  </si>
  <si>
    <t>20 bis 64 Jahre</t>
  </si>
  <si>
    <t>65 bis 79 Jahre</t>
  </si>
  <si>
    <t>über 80 Jahre</t>
  </si>
  <si>
    <t>Untersuchung &amp; Behandlung</t>
  </si>
  <si>
    <t>Grundpflege</t>
  </si>
  <si>
    <t>Akut &amp; Uebergang</t>
  </si>
  <si>
    <t>Gesamttotal</t>
  </si>
  <si>
    <t>Mitgliederbeiträge, Spenden, Legate</t>
  </si>
  <si>
    <t>Andere Erträge</t>
  </si>
  <si>
    <t>KLV-C, Grundpflege Angehörige</t>
  </si>
  <si>
    <t>Schlüssel Verteilung  Nebenerträge Spitex</t>
  </si>
  <si>
    <t>Schlüssel Verteilung  Beiträge öff. Hand</t>
  </si>
  <si>
    <t>Prozente Verteilung Soz V A</t>
  </si>
  <si>
    <t>Anteile mit übrige DL</t>
  </si>
  <si>
    <t>Anteile ohne übrige DL</t>
  </si>
  <si>
    <t>ZSR-Nummer</t>
  </si>
  <si>
    <t>Name</t>
  </si>
  <si>
    <t xml:space="preserve">Franken </t>
  </si>
  <si>
    <t>Aufteilung Sozialversicherungsaufwand</t>
  </si>
  <si>
    <t>Diese Kostenrechnung wird auf der Basis der von Ihnen erfassten Daten automatisch generiert. Sie ist vereinfacht und ersetzt die eigene Kostenrechnung nicht (die teils ab Rechnungsjahr 2027 Pflicht ist).</t>
  </si>
  <si>
    <t>Formular E:  Verrechnete Minuten pro Gemeinde</t>
  </si>
  <si>
    <t>KLV-C Grundpflege Angehörige (502)</t>
  </si>
  <si>
    <t>Spitex DL:</t>
  </si>
  <si>
    <t xml:space="preserve"> </t>
  </si>
  <si>
    <t>Version 2025/2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</si>
</sst>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 #,##0.00_ ;_ * \-#,##0.00_ ;_ * &quot;-&quot;??_ ;_ @_ "/>
    <numFmt numFmtId="164" formatCode="&quot;CHF&quot;\ #,##0"/>
    <numFmt numFmtId="165" formatCode="0.0%"/>
    <numFmt numFmtId="166" formatCode="_ * #,##0_ ;_ * \-#,##0_ ;_ * &quot;-&quot;??_ ;_ @_ "/>
    <numFmt numFmtId="167" formatCode="_ * #,##0.0_ ;_ * \-#,##0.0_ ;_ * &quot;-&quot;??_ ;_ @_ "/>
    <numFmt numFmtId="168" formatCode="&quot;CHF&quot;\ #,##0.00"/>
    <numFmt numFmtId="169" formatCode="_ &quot;CHF&quot;\ * #,##0_ ;_ &quot;CHF&quot;\ * \-#,##0_ ;_ &quot;CHF&quot;\ * &quot;-&quot;??_ ;_ @_ "/>
  </numFmts>
  <fonts count="65" x14ac:knownFonts="1">
    <font>
      <sz val="11"/>
      <color theme="1"/>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
      <b/>
      <sz val="18"/>
      <color theme="1"/>
      <name val="Calibri"/>
      <family val="2"/>
      <scheme val="minor"/>
    </font>
    <font>
      <sz val="16"/>
      <color theme="1"/>
      <name val="Calibri"/>
      <family val="2"/>
      <scheme val="minor"/>
    </font>
    <font>
      <sz val="11"/>
      <color theme="1"/>
      <name val="Calibri"/>
      <family val="2"/>
      <scheme val="minor"/>
    </font>
    <font>
      <sz val="14"/>
      <color theme="1"/>
      <name val="Calibri"/>
      <family val="2"/>
      <scheme val="minor"/>
    </font>
    <font>
      <b/>
      <sz val="20"/>
      <color theme="1"/>
      <name val="Calibri"/>
      <family val="2"/>
      <scheme val="minor"/>
    </font>
    <font>
      <sz val="18"/>
      <color theme="1"/>
      <name val="Calibri"/>
      <family val="2"/>
      <scheme val="minor"/>
    </font>
    <font>
      <sz val="9"/>
      <color indexed="81"/>
      <name val="Segoe UI"/>
      <family val="2"/>
    </font>
    <font>
      <b/>
      <sz val="9"/>
      <color indexed="81"/>
      <name val="Segoe UI"/>
      <family val="2"/>
    </font>
    <font>
      <sz val="11"/>
      <name val="Calibri"/>
      <family val="2"/>
      <scheme val="minor"/>
    </font>
    <font>
      <sz val="14"/>
      <name val="Calibri"/>
      <family val="2"/>
      <scheme val="minor"/>
    </font>
    <font>
      <sz val="24"/>
      <color rgb="FFFF0000"/>
      <name val="Calibri"/>
      <family val="2"/>
      <scheme val="minor"/>
    </font>
    <font>
      <sz val="11"/>
      <color rgb="FFFF0000"/>
      <name val="Calibri"/>
      <family val="2"/>
      <scheme val="minor"/>
    </font>
    <font>
      <b/>
      <sz val="18"/>
      <color rgb="FFFF0000"/>
      <name val="Calibri"/>
      <family val="2"/>
      <scheme val="minor"/>
    </font>
    <font>
      <sz val="14"/>
      <color rgb="FFFF0000"/>
      <name val="Calibri"/>
      <family val="2"/>
      <scheme val="minor"/>
    </font>
    <font>
      <b/>
      <sz val="24"/>
      <color rgb="FFFF0000"/>
      <name val="Calibri"/>
      <family val="2"/>
      <scheme val="minor"/>
    </font>
    <font>
      <sz val="18"/>
      <color rgb="FFFF0000"/>
      <name val="Calibri"/>
      <family val="2"/>
      <scheme val="minor"/>
    </font>
    <font>
      <b/>
      <sz val="12.65"/>
      <color rgb="FFFF0000"/>
      <name val="Calibri"/>
      <family val="2"/>
    </font>
    <font>
      <sz val="12"/>
      <color theme="1"/>
      <name val="Calibri"/>
      <family val="2"/>
      <scheme val="minor"/>
    </font>
    <font>
      <sz val="11"/>
      <color theme="1"/>
      <name val="Calibri"/>
      <family val="2"/>
    </font>
    <font>
      <b/>
      <u/>
      <sz val="11"/>
      <color theme="1"/>
      <name val="Calibri"/>
      <family val="2"/>
      <scheme val="minor"/>
    </font>
    <font>
      <b/>
      <sz val="9"/>
      <color theme="1"/>
      <name val="Calibri"/>
      <family val="2"/>
      <scheme val="minor"/>
    </font>
    <font>
      <b/>
      <sz val="12"/>
      <color theme="1"/>
      <name val="Calibri"/>
      <family val="2"/>
      <scheme val="minor"/>
    </font>
    <font>
      <b/>
      <sz val="12"/>
      <name val="Calibri"/>
      <family val="2"/>
      <scheme val="minor"/>
    </font>
    <font>
      <sz val="9"/>
      <color theme="1"/>
      <name val="Calibri"/>
      <family val="2"/>
      <scheme val="minor"/>
    </font>
    <font>
      <sz val="11"/>
      <color theme="0"/>
      <name val="Calibri"/>
      <family val="2"/>
      <scheme val="minor"/>
    </font>
    <font>
      <sz val="18"/>
      <color theme="0"/>
      <name val="Calibri"/>
      <family val="2"/>
      <scheme val="minor"/>
    </font>
    <font>
      <b/>
      <sz val="11"/>
      <color rgb="FFFF0000"/>
      <name val="Calibri"/>
      <family val="2"/>
      <scheme val="minor"/>
    </font>
    <font>
      <b/>
      <sz val="11"/>
      <name val="Calibri"/>
      <family val="2"/>
      <scheme val="minor"/>
    </font>
    <font>
      <b/>
      <u/>
      <sz val="12"/>
      <color theme="1"/>
      <name val="Calibri"/>
      <family val="2"/>
      <scheme val="minor"/>
    </font>
    <font>
      <sz val="10"/>
      <color theme="1"/>
      <name val="Calibri"/>
      <family val="2"/>
      <scheme val="minor"/>
    </font>
    <font>
      <b/>
      <sz val="10"/>
      <color theme="1"/>
      <name val="Calibri"/>
      <family val="2"/>
      <scheme val="minor"/>
    </font>
    <font>
      <b/>
      <sz val="10"/>
      <name val="Calibri"/>
      <family val="2"/>
      <scheme val="minor"/>
    </font>
    <font>
      <b/>
      <u/>
      <sz val="18"/>
      <name val="Calibri"/>
      <family val="2"/>
      <scheme val="minor"/>
    </font>
    <font>
      <sz val="9"/>
      <color rgb="FFFF0000"/>
      <name val="Calibri"/>
      <family val="2"/>
      <scheme val="minor"/>
    </font>
    <font>
      <sz val="8"/>
      <color rgb="FFFF0000"/>
      <name val="Calibri"/>
      <family val="2"/>
      <scheme val="minor"/>
    </font>
    <font>
      <sz val="16"/>
      <color theme="0"/>
      <name val="Calibri"/>
      <family val="2"/>
      <scheme val="minor"/>
    </font>
    <font>
      <b/>
      <sz val="16"/>
      <color theme="0"/>
      <name val="Calibri"/>
      <family val="2"/>
      <scheme val="minor"/>
    </font>
    <font>
      <sz val="10"/>
      <color rgb="FFFF0000"/>
      <name val="Calibri"/>
      <family val="2"/>
      <scheme val="minor"/>
    </font>
    <font>
      <i/>
      <sz val="9"/>
      <name val="Calibri"/>
      <family val="2"/>
      <scheme val="minor"/>
    </font>
    <font>
      <sz val="9"/>
      <name val="Calibri"/>
      <family val="2"/>
      <scheme val="minor"/>
    </font>
    <font>
      <sz val="10"/>
      <name val="Calibri"/>
      <family val="2"/>
      <scheme val="minor"/>
    </font>
    <font>
      <i/>
      <u/>
      <sz val="11"/>
      <color theme="0"/>
      <name val="Calibri"/>
      <family val="2"/>
      <scheme val="minor"/>
    </font>
    <font>
      <b/>
      <sz val="16"/>
      <color rgb="FFFF0000"/>
      <name val="Calibri"/>
      <family val="2"/>
      <scheme val="minor"/>
    </font>
    <font>
      <sz val="8"/>
      <color theme="1"/>
      <name val="Calibri"/>
      <family val="2"/>
    </font>
    <font>
      <i/>
      <sz val="11"/>
      <color theme="1"/>
      <name val="Calibri"/>
      <family val="2"/>
      <scheme val="minor"/>
    </font>
    <font>
      <b/>
      <i/>
      <sz val="11"/>
      <color theme="1"/>
      <name val="Calibri"/>
      <family val="2"/>
      <scheme val="minor"/>
    </font>
    <font>
      <i/>
      <sz val="10"/>
      <color theme="1"/>
      <name val="Calibri"/>
      <family val="2"/>
      <scheme val="minor"/>
    </font>
    <font>
      <i/>
      <sz val="11"/>
      <name val="Calibri"/>
      <family val="2"/>
      <scheme val="minor"/>
    </font>
    <font>
      <b/>
      <sz val="11"/>
      <color theme="0"/>
      <name val="Calibri"/>
      <family val="2"/>
      <scheme val="minor"/>
    </font>
    <font>
      <i/>
      <sz val="12"/>
      <color theme="1"/>
      <name val="Calibri"/>
      <family val="2"/>
      <scheme val="minor"/>
    </font>
    <font>
      <i/>
      <sz val="14"/>
      <name val="Calibri"/>
      <family val="2"/>
      <scheme val="minor"/>
    </font>
    <font>
      <i/>
      <sz val="14"/>
      <color theme="1"/>
      <name val="Calibri"/>
      <family val="2"/>
      <scheme val="minor"/>
    </font>
    <font>
      <i/>
      <sz val="11"/>
      <color rgb="FFFF0000"/>
      <name val="Calibri"/>
      <family val="2"/>
      <scheme val="minor"/>
    </font>
    <font>
      <sz val="11"/>
      <color rgb="FF0070C0"/>
      <name val="Calibri"/>
      <family val="2"/>
      <scheme val="minor"/>
    </font>
    <font>
      <b/>
      <sz val="11"/>
      <color rgb="FF0070C0"/>
      <name val="Calibri"/>
      <family val="2"/>
      <scheme val="minor"/>
    </font>
    <font>
      <b/>
      <sz val="18"/>
      <color rgb="FF0070C0"/>
      <name val="Calibri"/>
      <family val="2"/>
      <scheme val="minor"/>
    </font>
    <font>
      <sz val="14"/>
      <color rgb="FF0070C0"/>
      <name val="Calibri"/>
      <family val="2"/>
      <scheme val="minor"/>
    </font>
    <font>
      <b/>
      <sz val="16"/>
      <color rgb="FF0070C0"/>
      <name val="Calibri"/>
      <family val="2"/>
      <scheme val="minor"/>
    </font>
    <font>
      <b/>
      <sz val="14"/>
      <color rgb="FF0070C0"/>
      <name val="Calibri"/>
      <family val="2"/>
      <scheme val="minor"/>
    </font>
    <font>
      <i/>
      <sz val="14"/>
      <color rgb="FF0070C0"/>
      <name val="Calibri"/>
      <family val="2"/>
      <scheme val="minor"/>
    </font>
    <font>
      <sz val="10"/>
      <color rgb="FF0070C0"/>
      <name val="Calibri"/>
      <family val="2"/>
      <scheme val="minor"/>
    </font>
  </fonts>
  <fills count="10">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34998626667073579"/>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00"/>
        <bgColor indexed="64"/>
      </patternFill>
    </fill>
    <fill>
      <patternFill patternType="solid">
        <fgColor theme="4" tint="0.79998168889431442"/>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auto="1"/>
      </left>
      <right style="dotted">
        <color auto="1"/>
      </right>
      <top style="thin">
        <color auto="1"/>
      </top>
      <bottom style="dotted">
        <color auto="1"/>
      </bottom>
      <diagonal/>
    </border>
    <border>
      <left style="thin">
        <color auto="1"/>
      </left>
      <right style="dotted">
        <color auto="1"/>
      </right>
      <top style="dotted">
        <color auto="1"/>
      </top>
      <bottom style="dotted">
        <color auto="1"/>
      </bottom>
      <diagonal/>
    </border>
    <border>
      <left style="thin">
        <color auto="1"/>
      </left>
      <right/>
      <top style="dotted">
        <color auto="1"/>
      </top>
      <bottom style="dotted">
        <color auto="1"/>
      </bottom>
      <diagonal/>
    </border>
    <border>
      <left style="thin">
        <color auto="1"/>
      </left>
      <right/>
      <top style="dotted">
        <color auto="1"/>
      </top>
      <bottom/>
      <diagonal/>
    </border>
    <border>
      <left style="thin">
        <color auto="1"/>
      </left>
      <right style="thin">
        <color auto="1"/>
      </right>
      <top style="dotted">
        <color auto="1"/>
      </top>
      <bottom style="thin">
        <color auto="1"/>
      </bottom>
      <diagonal/>
    </border>
    <border>
      <left style="thin">
        <color auto="1"/>
      </left>
      <right style="dotted">
        <color auto="1"/>
      </right>
      <top style="dotted">
        <color auto="1"/>
      </top>
      <bottom style="thin">
        <color auto="1"/>
      </bottom>
      <diagonal/>
    </border>
    <border>
      <left style="dotted">
        <color auto="1"/>
      </left>
      <right/>
      <top style="dotted">
        <color auto="1"/>
      </top>
      <bottom style="thin">
        <color auto="1"/>
      </bottom>
      <diagonal/>
    </border>
    <border>
      <left style="dotted">
        <color auto="1"/>
      </left>
      <right/>
      <top style="dotted">
        <color auto="1"/>
      </top>
      <bottom style="dotted">
        <color auto="1"/>
      </bottom>
      <diagonal/>
    </border>
    <border>
      <left style="thin">
        <color auto="1"/>
      </left>
      <right style="thin">
        <color auto="1"/>
      </right>
      <top style="dotted">
        <color auto="1"/>
      </top>
      <bottom/>
      <diagonal/>
    </border>
    <border>
      <left style="dotted">
        <color auto="1"/>
      </left>
      <right/>
      <top style="thin">
        <color auto="1"/>
      </top>
      <bottom style="dotted">
        <color auto="1"/>
      </bottom>
      <diagonal/>
    </border>
    <border>
      <left style="thin">
        <color auto="1"/>
      </left>
      <right style="thin">
        <color auto="1"/>
      </right>
      <top style="thin">
        <color auto="1"/>
      </top>
      <bottom style="dotted">
        <color auto="1"/>
      </bottom>
      <diagonal/>
    </border>
    <border>
      <left style="thin">
        <color auto="1"/>
      </left>
      <right style="thin">
        <color auto="1"/>
      </right>
      <top style="dotted">
        <color auto="1"/>
      </top>
      <bottom style="dotted">
        <color auto="1"/>
      </bottom>
      <diagonal/>
    </border>
    <border>
      <left/>
      <right style="thin">
        <color auto="1"/>
      </right>
      <top style="dotted">
        <color auto="1"/>
      </top>
      <bottom style="thin">
        <color auto="1"/>
      </bottom>
      <diagonal/>
    </border>
    <border>
      <left/>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top style="thin">
        <color auto="1"/>
      </top>
      <bottom style="dotted">
        <color auto="1"/>
      </bottom>
      <diagonal/>
    </border>
    <border>
      <left/>
      <right style="thin">
        <color auto="1"/>
      </right>
      <top style="thin">
        <color auto="1"/>
      </top>
      <bottom style="dotted">
        <color auto="1"/>
      </bottom>
      <diagonal/>
    </border>
    <border>
      <left/>
      <right style="thin">
        <color auto="1"/>
      </right>
      <top style="dotted">
        <color auto="1"/>
      </top>
      <bottom style="dotted">
        <color auto="1"/>
      </bottom>
      <diagonal/>
    </border>
  </borders>
  <cellStyleXfs count="3">
    <xf numFmtId="0" fontId="0" fillId="0" borderId="0"/>
    <xf numFmtId="43" fontId="6" fillId="0" borderId="0" applyFont="0" applyFill="0" applyBorder="0" applyAlignment="0" applyProtection="0"/>
    <xf numFmtId="9" fontId="6" fillId="0" borderId="0" applyFont="0" applyFill="0" applyBorder="0" applyAlignment="0" applyProtection="0"/>
  </cellStyleXfs>
  <cellXfs count="516">
    <xf numFmtId="0" fontId="0" fillId="0" borderId="0" xfId="0"/>
    <xf numFmtId="0" fontId="1" fillId="0" borderId="0" xfId="0" applyFont="1" applyAlignment="1">
      <alignment horizontal="right"/>
    </xf>
    <xf numFmtId="0" fontId="0" fillId="0" borderId="0" xfId="0" applyAlignment="1">
      <alignment horizontal="left" indent="1"/>
    </xf>
    <xf numFmtId="0" fontId="3" fillId="0" borderId="0" xfId="0" applyFont="1" applyAlignment="1">
      <alignment horizontal="left"/>
    </xf>
    <xf numFmtId="0" fontId="0" fillId="0" borderId="0" xfId="0" applyAlignment="1">
      <alignment horizontal="center"/>
    </xf>
    <xf numFmtId="0" fontId="1" fillId="0" borderId="0" xfId="0" applyFont="1"/>
    <xf numFmtId="0" fontId="15" fillId="0" borderId="0" xfId="0" applyFont="1"/>
    <xf numFmtId="0" fontId="16" fillId="0" borderId="0" xfId="0" applyFont="1"/>
    <xf numFmtId="0" fontId="16" fillId="0" borderId="0" xfId="0" applyFont="1" applyAlignment="1">
      <alignment horizontal="left" vertical="top"/>
    </xf>
    <xf numFmtId="0" fontId="17" fillId="0" borderId="0" xfId="0" applyFont="1"/>
    <xf numFmtId="0" fontId="17" fillId="0" borderId="0" xfId="0" applyFont="1" applyAlignment="1">
      <alignment horizontal="left"/>
    </xf>
    <xf numFmtId="0" fontId="15" fillId="0" borderId="0" xfId="0" applyFont="1" applyAlignment="1">
      <alignment horizontal="center" vertical="center" wrapText="1"/>
    </xf>
    <xf numFmtId="0" fontId="15" fillId="0" borderId="6" xfId="0" applyFont="1" applyBorder="1" applyAlignment="1">
      <alignment horizontal="center" vertical="center" wrapText="1"/>
    </xf>
    <xf numFmtId="0" fontId="15" fillId="0" borderId="8" xfId="0" applyFont="1" applyBorder="1" applyAlignment="1">
      <alignment horizontal="center" vertical="center" wrapText="1"/>
    </xf>
    <xf numFmtId="0" fontId="15" fillId="0" borderId="7" xfId="0" applyFont="1" applyBorder="1"/>
    <xf numFmtId="0" fontId="15" fillId="0" borderId="0" xfId="0" applyFont="1" applyAlignment="1">
      <alignment vertical="center"/>
    </xf>
    <xf numFmtId="0" fontId="15" fillId="5" borderId="7" xfId="0" applyFont="1" applyFill="1" applyBorder="1" applyAlignment="1">
      <alignment vertical="center"/>
    </xf>
    <xf numFmtId="0" fontId="15" fillId="0" borderId="7" xfId="0" applyFont="1" applyBorder="1" applyAlignment="1">
      <alignment vertical="center"/>
    </xf>
    <xf numFmtId="0" fontId="15" fillId="5" borderId="8" xfId="0" applyFont="1" applyFill="1" applyBorder="1" applyAlignment="1">
      <alignment vertical="center"/>
    </xf>
    <xf numFmtId="0" fontId="15" fillId="5" borderId="0" xfId="0" applyFont="1" applyFill="1" applyAlignment="1">
      <alignment vertical="center"/>
    </xf>
    <xf numFmtId="164" fontId="0" fillId="5" borderId="1" xfId="0" applyNumberFormat="1" applyFill="1" applyBorder="1" applyProtection="1">
      <protection locked="0"/>
    </xf>
    <xf numFmtId="3" fontId="0" fillId="5" borderId="1" xfId="0" applyNumberFormat="1" applyFill="1" applyBorder="1" applyProtection="1">
      <protection locked="0"/>
    </xf>
    <xf numFmtId="1" fontId="0" fillId="5" borderId="1" xfId="0" applyNumberFormat="1" applyFill="1" applyBorder="1" applyProtection="1">
      <protection locked="0"/>
    </xf>
    <xf numFmtId="0" fontId="0" fillId="0" borderId="0" xfId="0" applyAlignment="1">
      <alignment vertical="center"/>
    </xf>
    <xf numFmtId="0" fontId="25" fillId="0" borderId="0" xfId="0" applyFont="1"/>
    <xf numFmtId="0" fontId="1" fillId="0" borderId="0" xfId="0" applyFont="1" applyAlignment="1">
      <alignment horizontal="right" vertical="center"/>
    </xf>
    <xf numFmtId="0" fontId="26" fillId="0" borderId="0" xfId="0" applyFont="1"/>
    <xf numFmtId="0" fontId="27" fillId="2" borderId="0" xfId="0" applyFont="1" applyFill="1" applyAlignment="1">
      <alignment horizontal="left" indent="1"/>
    </xf>
    <xf numFmtId="0" fontId="24" fillId="2" borderId="0" xfId="0" applyFont="1" applyFill="1"/>
    <xf numFmtId="0" fontId="24" fillId="2" borderId="0" xfId="0" applyFont="1" applyFill="1" applyAlignment="1">
      <alignment horizontal="right"/>
    </xf>
    <xf numFmtId="0" fontId="27" fillId="2" borderId="0" xfId="0" applyFont="1" applyFill="1" applyAlignment="1">
      <alignment horizontal="center"/>
    </xf>
    <xf numFmtId="0" fontId="27" fillId="2" borderId="0" xfId="0" applyFont="1" applyFill="1"/>
    <xf numFmtId="0" fontId="24" fillId="2" borderId="0" xfId="0" applyFont="1" applyFill="1" applyAlignment="1">
      <alignment horizontal="center"/>
    </xf>
    <xf numFmtId="43" fontId="1" fillId="5" borderId="1" xfId="1" applyFont="1" applyFill="1" applyBorder="1" applyAlignment="1" applyProtection="1">
      <alignment horizontal="right" indent="1"/>
      <protection locked="0"/>
    </xf>
    <xf numFmtId="0" fontId="0" fillId="0" borderId="0" xfId="0" applyAlignment="1">
      <alignment horizontal="right"/>
    </xf>
    <xf numFmtId="0" fontId="33" fillId="0" borderId="0" xfId="0" applyFont="1" applyAlignment="1">
      <alignment horizontal="left"/>
    </xf>
    <xf numFmtId="0" fontId="35" fillId="0" borderId="0" xfId="0" applyFont="1" applyAlignment="1">
      <alignment horizontal="left"/>
    </xf>
    <xf numFmtId="0" fontId="34" fillId="0" borderId="0" xfId="0" applyFont="1" applyAlignment="1">
      <alignment horizontal="left"/>
    </xf>
    <xf numFmtId="0" fontId="34" fillId="0" borderId="0" xfId="0" applyFont="1" applyAlignment="1">
      <alignment horizontal="left" vertical="center"/>
    </xf>
    <xf numFmtId="0" fontId="30" fillId="0" borderId="0" xfId="0" applyFont="1" applyAlignment="1">
      <alignment horizontal="right"/>
    </xf>
    <xf numFmtId="0" fontId="36" fillId="0" borderId="0" xfId="0" applyFont="1" applyAlignment="1">
      <alignment horizontal="left" indent="1"/>
    </xf>
    <xf numFmtId="0" fontId="36" fillId="0" borderId="0" xfId="0" applyFont="1" applyAlignment="1">
      <alignment horizontal="left" indent="2"/>
    </xf>
    <xf numFmtId="166" fontId="12" fillId="5" borderId="0" xfId="1" applyNumberFormat="1" applyFont="1" applyFill="1" applyBorder="1" applyAlignment="1" applyProtection="1">
      <alignment vertical="center"/>
      <protection locked="0"/>
    </xf>
    <xf numFmtId="166" fontId="12" fillId="5" borderId="0" xfId="1" applyNumberFormat="1" applyFont="1" applyFill="1" applyBorder="1" applyAlignment="1" applyProtection="1">
      <alignment horizontal="right" vertical="center" wrapText="1"/>
      <protection locked="0"/>
    </xf>
    <xf numFmtId="0" fontId="25" fillId="0" borderId="0" xfId="0" applyFont="1" applyAlignment="1">
      <alignment horizontal="right"/>
    </xf>
    <xf numFmtId="166" fontId="42" fillId="5" borderId="0" xfId="1" applyNumberFormat="1" applyFont="1" applyFill="1" applyBorder="1" applyAlignment="1" applyProtection="1">
      <alignment vertical="center"/>
      <protection locked="0"/>
    </xf>
    <xf numFmtId="166" fontId="44" fillId="5" borderId="0" xfId="1" applyNumberFormat="1" applyFont="1" applyFill="1" applyBorder="1" applyAlignment="1" applyProtection="1">
      <alignment vertical="center"/>
      <protection locked="0"/>
    </xf>
    <xf numFmtId="166" fontId="44" fillId="5" borderId="0" xfId="1" applyNumberFormat="1" applyFont="1" applyFill="1" applyBorder="1" applyAlignment="1" applyProtection="1">
      <alignment horizontal="left" indent="1"/>
      <protection locked="0"/>
    </xf>
    <xf numFmtId="0" fontId="0" fillId="5" borderId="0" xfId="0" applyFill="1" applyProtection="1">
      <protection locked="0"/>
    </xf>
    <xf numFmtId="2" fontId="0" fillId="5" borderId="0" xfId="0" applyNumberFormat="1" applyFill="1" applyProtection="1">
      <protection locked="0"/>
    </xf>
    <xf numFmtId="0" fontId="28" fillId="0" borderId="0" xfId="0" applyFont="1"/>
    <xf numFmtId="0" fontId="4" fillId="0" borderId="0" xfId="0" applyFont="1"/>
    <xf numFmtId="0" fontId="4" fillId="0" borderId="0" xfId="0" applyFont="1" applyAlignment="1">
      <alignment horizontal="left" indent="1"/>
    </xf>
    <xf numFmtId="0" fontId="12" fillId="0" borderId="0" xfId="0" applyFont="1"/>
    <xf numFmtId="0" fontId="3" fillId="0" borderId="0" xfId="0" applyFont="1" applyAlignment="1">
      <alignment horizontal="left" vertical="center"/>
    </xf>
    <xf numFmtId="0" fontId="4" fillId="0" borderId="0" xfId="0" applyFont="1" applyAlignment="1">
      <alignment horizontal="left" vertical="top"/>
    </xf>
    <xf numFmtId="0" fontId="4" fillId="0" borderId="0" xfId="0" applyFont="1" applyAlignment="1">
      <alignment horizontal="left"/>
    </xf>
    <xf numFmtId="0" fontId="9" fillId="0" borderId="0" xfId="0" applyFont="1"/>
    <xf numFmtId="0" fontId="22" fillId="0" borderId="0" xfId="0" applyFont="1" applyAlignment="1">
      <alignment horizontal="left" indent="1"/>
    </xf>
    <xf numFmtId="0" fontId="29" fillId="0" borderId="0" xfId="0" applyFont="1"/>
    <xf numFmtId="0" fontId="3" fillId="0" borderId="0" xfId="0" applyFont="1" applyAlignment="1">
      <alignment horizontal="left" indent="1"/>
    </xf>
    <xf numFmtId="0" fontId="5" fillId="0" borderId="0" xfId="0" applyFont="1"/>
    <xf numFmtId="0" fontId="5" fillId="0" borderId="0" xfId="0" applyFont="1" applyAlignment="1">
      <alignment horizontal="left"/>
    </xf>
    <xf numFmtId="0" fontId="39" fillId="0" borderId="0" xfId="0" applyFont="1"/>
    <xf numFmtId="0" fontId="0" fillId="0" borderId="0" xfId="0" applyAlignment="1">
      <alignment horizontal="left" vertical="top" indent="5"/>
    </xf>
    <xf numFmtId="0" fontId="21" fillId="0" borderId="0" xfId="0" applyFont="1" applyAlignment="1">
      <alignment horizontal="left" vertical="top"/>
    </xf>
    <xf numFmtId="0" fontId="0" fillId="0" borderId="0" xfId="0" applyAlignment="1">
      <alignment horizontal="left" vertical="top" indent="1"/>
    </xf>
    <xf numFmtId="0" fontId="2" fillId="0" borderId="0" xfId="0" applyFont="1" applyAlignment="1">
      <alignment horizontal="left" vertical="top"/>
    </xf>
    <xf numFmtId="0" fontId="2" fillId="0" borderId="0" xfId="0" applyFont="1" applyAlignment="1">
      <alignment horizontal="left"/>
    </xf>
    <xf numFmtId="0" fontId="28" fillId="0" borderId="0" xfId="0" applyFont="1" applyAlignment="1">
      <alignment horizontal="left" vertical="top" indent="1"/>
    </xf>
    <xf numFmtId="0" fontId="0" fillId="0" borderId="0" xfId="0" applyAlignment="1">
      <alignment horizontal="left" vertical="top"/>
    </xf>
    <xf numFmtId="0" fontId="1" fillId="2" borderId="6" xfId="0" applyFont="1" applyFill="1" applyBorder="1" applyAlignment="1">
      <alignment horizontal="left" vertical="center" wrapText="1" indent="1"/>
    </xf>
    <xf numFmtId="0" fontId="1" fillId="2" borderId="8" xfId="0" applyFont="1" applyFill="1" applyBorder="1" applyAlignment="1">
      <alignment horizontal="left" vertical="center" wrapText="1" indent="1"/>
    </xf>
    <xf numFmtId="0" fontId="0" fillId="0" borderId="1" xfId="0" applyBorder="1" applyAlignment="1">
      <alignment horizontal="left" indent="1"/>
    </xf>
    <xf numFmtId="43" fontId="1" fillId="0" borderId="1" xfId="1" applyFont="1" applyFill="1" applyBorder="1" applyAlignment="1" applyProtection="1">
      <alignment horizontal="right" indent="1"/>
    </xf>
    <xf numFmtId="43" fontId="0" fillId="0" borderId="1" xfId="1" applyFont="1" applyBorder="1" applyProtection="1"/>
    <xf numFmtId="9" fontId="0" fillId="0" borderId="1" xfId="1" applyNumberFormat="1" applyFont="1" applyBorder="1" applyProtection="1"/>
    <xf numFmtId="0" fontId="0" fillId="2" borderId="1" xfId="0" applyFill="1" applyBorder="1" applyAlignment="1">
      <alignment horizontal="left" indent="1"/>
    </xf>
    <xf numFmtId="43" fontId="1" fillId="2" borderId="1" xfId="1" applyFont="1" applyFill="1" applyBorder="1" applyAlignment="1" applyProtection="1">
      <alignment horizontal="right" indent="1"/>
    </xf>
    <xf numFmtId="43" fontId="0" fillId="2" borderId="1" xfId="1" applyFont="1" applyFill="1" applyBorder="1" applyProtection="1"/>
    <xf numFmtId="0" fontId="12" fillId="0" borderId="1" xfId="0" applyFont="1" applyBorder="1" applyAlignment="1">
      <alignment horizontal="left" indent="1"/>
    </xf>
    <xf numFmtId="0" fontId="12" fillId="2" borderId="1" xfId="0" applyFont="1" applyFill="1" applyBorder="1" applyAlignment="1">
      <alignment horizontal="left" indent="1"/>
    </xf>
    <xf numFmtId="0" fontId="1" fillId="0" borderId="1" xfId="0" applyFont="1" applyBorder="1" applyAlignment="1">
      <alignment horizontal="left" indent="1"/>
    </xf>
    <xf numFmtId="0" fontId="38" fillId="0" borderId="0" xfId="0" applyFont="1" applyAlignment="1">
      <alignment horizontal="left" indent="1"/>
    </xf>
    <xf numFmtId="166" fontId="31" fillId="2" borderId="1" xfId="1" applyNumberFormat="1" applyFont="1" applyFill="1" applyBorder="1" applyProtection="1"/>
    <xf numFmtId="0" fontId="28" fillId="0" borderId="0" xfId="0" applyFont="1" applyAlignment="1">
      <alignment vertical="center"/>
    </xf>
    <xf numFmtId="49" fontId="23" fillId="0" borderId="0" xfId="0" applyNumberFormat="1" applyFont="1" applyAlignment="1">
      <alignment vertical="center"/>
    </xf>
    <xf numFmtId="49" fontId="1" fillId="2" borderId="1" xfId="0" applyNumberFormat="1" applyFont="1" applyFill="1" applyBorder="1" applyAlignment="1">
      <alignment horizontal="left" vertical="center" indent="1"/>
    </xf>
    <xf numFmtId="0" fontId="1" fillId="2" borderId="1" xfId="0" applyFont="1" applyFill="1" applyBorder="1" applyAlignment="1">
      <alignment horizontal="right" vertical="center"/>
    </xf>
    <xf numFmtId="0" fontId="1" fillId="2" borderId="1" xfId="0" applyFont="1" applyFill="1" applyBorder="1" applyAlignment="1">
      <alignment horizontal="center" vertical="center" wrapText="1"/>
    </xf>
    <xf numFmtId="49" fontId="0" fillId="0" borderId="1" xfId="0" applyNumberFormat="1" applyBorder="1" applyAlignment="1">
      <alignment horizontal="left" vertical="top"/>
    </xf>
    <xf numFmtId="0" fontId="0" fillId="0" borderId="1" xfId="0" applyBorder="1" applyAlignment="1">
      <alignment vertical="top"/>
    </xf>
    <xf numFmtId="0" fontId="0" fillId="0" borderId="1" xfId="0" applyBorder="1" applyAlignment="1">
      <alignment horizontal="center" vertical="center"/>
    </xf>
    <xf numFmtId="0" fontId="24" fillId="0" borderId="1" xfId="0" applyFont="1" applyBorder="1" applyAlignment="1">
      <alignment horizontal="right" vertical="top"/>
    </xf>
    <xf numFmtId="0" fontId="24" fillId="3" borderId="1" xfId="0" applyFont="1" applyFill="1" applyBorder="1" applyAlignment="1">
      <alignment horizontal="right" vertical="top"/>
    </xf>
    <xf numFmtId="0" fontId="24" fillId="0" borderId="1" xfId="0" applyFont="1" applyBorder="1" applyAlignment="1">
      <alignment horizontal="right" vertical="top" wrapText="1"/>
    </xf>
    <xf numFmtId="0" fontId="0" fillId="0" borderId="0" xfId="0" applyAlignment="1">
      <alignment vertical="top"/>
    </xf>
    <xf numFmtId="0" fontId="15" fillId="0" borderId="0" xfId="0" applyFont="1" applyAlignment="1">
      <alignment vertical="top"/>
    </xf>
    <xf numFmtId="49" fontId="0" fillId="0" borderId="1" xfId="1" applyNumberFormat="1" applyFont="1" applyFill="1" applyBorder="1" applyAlignment="1" applyProtection="1">
      <alignment horizontal="left" indent="1"/>
    </xf>
    <xf numFmtId="166" fontId="12" fillId="0" borderId="1" xfId="1" applyNumberFormat="1" applyFont="1" applyFill="1" applyBorder="1" applyProtection="1"/>
    <xf numFmtId="166" fontId="1" fillId="0" borderId="1" xfId="1" applyNumberFormat="1" applyFont="1" applyFill="1" applyBorder="1" applyProtection="1"/>
    <xf numFmtId="166" fontId="0" fillId="0" borderId="1" xfId="1" applyNumberFormat="1" applyFont="1" applyFill="1" applyBorder="1" applyProtection="1"/>
    <xf numFmtId="0" fontId="41" fillId="0" borderId="0" xfId="0" applyFont="1" applyAlignment="1">
      <alignment horizontal="left" indent="1"/>
    </xf>
    <xf numFmtId="166" fontId="37" fillId="0" borderId="0" xfId="0" applyNumberFormat="1" applyFont="1"/>
    <xf numFmtId="49" fontId="0" fillId="2" borderId="1" xfId="1" applyNumberFormat="1" applyFont="1" applyFill="1" applyBorder="1" applyAlignment="1" applyProtection="1">
      <alignment horizontal="left" indent="1"/>
    </xf>
    <xf numFmtId="166" fontId="12" fillId="2" borderId="1" xfId="1" applyNumberFormat="1" applyFont="1" applyFill="1" applyBorder="1" applyProtection="1"/>
    <xf numFmtId="166" fontId="1" fillId="2" borderId="1" xfId="1" applyNumberFormat="1" applyFont="1" applyFill="1" applyBorder="1" applyProtection="1"/>
    <xf numFmtId="166" fontId="0" fillId="2" borderId="1" xfId="1" applyNumberFormat="1" applyFont="1" applyFill="1" applyBorder="1" applyProtection="1"/>
    <xf numFmtId="49" fontId="1" fillId="2" borderId="1" xfId="1" applyNumberFormat="1" applyFont="1" applyFill="1" applyBorder="1" applyAlignment="1" applyProtection="1">
      <alignment horizontal="left" indent="1"/>
    </xf>
    <xf numFmtId="0" fontId="43" fillId="3" borderId="0" xfId="0" applyFont="1" applyFill="1"/>
    <xf numFmtId="49" fontId="1" fillId="0" borderId="1" xfId="1" applyNumberFormat="1" applyFont="1" applyFill="1" applyBorder="1" applyAlignment="1" applyProtection="1">
      <alignment horizontal="left" indent="1"/>
    </xf>
    <xf numFmtId="0" fontId="1" fillId="0" borderId="1" xfId="0" applyFont="1" applyBorder="1"/>
    <xf numFmtId="166" fontId="1" fillId="0" borderId="1" xfId="0" applyNumberFormat="1" applyFont="1" applyBorder="1"/>
    <xf numFmtId="0" fontId="1" fillId="2" borderId="1" xfId="0" applyFont="1" applyFill="1" applyBorder="1"/>
    <xf numFmtId="10" fontId="1" fillId="2" borderId="1" xfId="2" applyNumberFormat="1" applyFont="1" applyFill="1" applyBorder="1" applyProtection="1"/>
    <xf numFmtId="49" fontId="32" fillId="0" borderId="0" xfId="0" applyNumberFormat="1" applyFont="1" applyAlignment="1">
      <alignment horizontal="left" vertical="center" indent="1"/>
    </xf>
    <xf numFmtId="0" fontId="1" fillId="0" borderId="1" xfId="0" applyFont="1" applyBorder="1" applyAlignment="1">
      <alignment horizontal="left" vertical="center" indent="2"/>
    </xf>
    <xf numFmtId="0" fontId="1" fillId="0" borderId="1" xfId="0" applyFont="1" applyBorder="1" applyAlignment="1">
      <alignment horizontal="left" vertical="center"/>
    </xf>
    <xf numFmtId="0" fontId="1" fillId="0" borderId="1" xfId="0" applyFont="1" applyBorder="1" applyAlignment="1">
      <alignment vertical="center"/>
    </xf>
    <xf numFmtId="166" fontId="1" fillId="0" borderId="0" xfId="1" applyNumberFormat="1" applyFont="1" applyFill="1" applyBorder="1" applyAlignment="1" applyProtection="1">
      <alignment vertical="center"/>
    </xf>
    <xf numFmtId="0" fontId="1" fillId="0" borderId="0" xfId="0" applyFont="1" applyAlignment="1">
      <alignment vertical="center"/>
    </xf>
    <xf numFmtId="0" fontId="0" fillId="0" borderId="1" xfId="0" applyBorder="1" applyAlignment="1">
      <alignment horizontal="left" indent="2"/>
    </xf>
    <xf numFmtId="0" fontId="0" fillId="0" borderId="1" xfId="0" applyBorder="1" applyAlignment="1">
      <alignment horizontal="right"/>
    </xf>
    <xf numFmtId="0" fontId="31" fillId="0" borderId="0" xfId="0" applyFont="1"/>
    <xf numFmtId="0" fontId="0" fillId="2" borderId="1" xfId="0" applyFill="1" applyBorder="1" applyAlignment="1">
      <alignment horizontal="left" indent="2"/>
    </xf>
    <xf numFmtId="43" fontId="12" fillId="2" borderId="1" xfId="1" applyFont="1" applyFill="1" applyBorder="1" applyAlignment="1" applyProtection="1">
      <alignment horizontal="left" indent="2"/>
    </xf>
    <xf numFmtId="43" fontId="12" fillId="2" borderId="1" xfId="0" applyNumberFormat="1" applyFont="1" applyFill="1" applyBorder="1" applyAlignment="1">
      <alignment horizontal="right"/>
    </xf>
    <xf numFmtId="166" fontId="6" fillId="2" borderId="1" xfId="1" applyNumberFormat="1" applyFont="1" applyFill="1" applyBorder="1" applyProtection="1"/>
    <xf numFmtId="43" fontId="0" fillId="0" borderId="1" xfId="1" applyFont="1" applyBorder="1" applyAlignment="1" applyProtection="1">
      <alignment horizontal="left" indent="2"/>
    </xf>
    <xf numFmtId="43" fontId="12" fillId="0" borderId="1" xfId="0" applyNumberFormat="1" applyFont="1" applyBorder="1" applyAlignment="1">
      <alignment horizontal="right"/>
    </xf>
    <xf numFmtId="166" fontId="6" fillId="0" borderId="1" xfId="1" applyNumberFormat="1" applyFont="1" applyFill="1" applyBorder="1" applyProtection="1"/>
    <xf numFmtId="10" fontId="1" fillId="0" borderId="1" xfId="2" applyNumberFormat="1" applyFont="1" applyFill="1" applyBorder="1" applyProtection="1"/>
    <xf numFmtId="49" fontId="0" fillId="0" borderId="0" xfId="0" applyNumberFormat="1" applyAlignment="1">
      <alignment horizontal="left" indent="1"/>
    </xf>
    <xf numFmtId="166" fontId="0" fillId="0" borderId="0" xfId="1" applyNumberFormat="1" applyFont="1" applyFill="1" applyBorder="1" applyProtection="1"/>
    <xf numFmtId="0" fontId="3" fillId="0" borderId="0" xfId="0" applyFont="1" applyAlignment="1">
      <alignment horizontal="left" vertical="top"/>
    </xf>
    <xf numFmtId="0" fontId="40" fillId="0" borderId="0" xfId="0" applyFont="1" applyAlignment="1">
      <alignment horizontal="left" vertical="top"/>
    </xf>
    <xf numFmtId="0" fontId="0" fillId="6" borderId="1" xfId="0" applyFill="1" applyBorder="1"/>
    <xf numFmtId="0" fontId="1" fillId="6" borderId="1" xfId="0" applyFont="1" applyFill="1" applyBorder="1" applyAlignment="1">
      <alignment horizontal="right"/>
    </xf>
    <xf numFmtId="0" fontId="1" fillId="0" borderId="0" xfId="0" applyFont="1" applyAlignment="1">
      <alignment horizontal="left" indent="2"/>
    </xf>
    <xf numFmtId="0" fontId="0" fillId="0" borderId="0" xfId="0" applyAlignment="1">
      <alignment horizontal="left" indent="2"/>
    </xf>
    <xf numFmtId="166" fontId="0" fillId="0" borderId="1" xfId="0" applyNumberFormat="1" applyBorder="1"/>
    <xf numFmtId="10" fontId="0" fillId="0" borderId="1" xfId="2" applyNumberFormat="1" applyFont="1" applyBorder="1" applyProtection="1"/>
    <xf numFmtId="10" fontId="0" fillId="2" borderId="1" xfId="2" applyNumberFormat="1" applyFont="1" applyFill="1" applyBorder="1" applyProtection="1"/>
    <xf numFmtId="0" fontId="12" fillId="0" borderId="0" xfId="0" applyFont="1" applyAlignment="1">
      <alignment horizontal="right"/>
    </xf>
    <xf numFmtId="43" fontId="0" fillId="0" borderId="0" xfId="1" applyFont="1" applyAlignment="1" applyProtection="1">
      <alignment horizontal="left" indent="2"/>
    </xf>
    <xf numFmtId="43" fontId="0" fillId="0" borderId="0" xfId="1" applyFont="1" applyProtection="1"/>
    <xf numFmtId="43" fontId="12" fillId="0" borderId="0" xfId="1" applyFont="1" applyAlignment="1" applyProtection="1">
      <alignment horizontal="right"/>
    </xf>
    <xf numFmtId="0" fontId="0" fillId="5" borderId="1" xfId="0" applyFill="1" applyBorder="1" applyAlignment="1">
      <alignment horizontal="left" indent="1"/>
    </xf>
    <xf numFmtId="9" fontId="0" fillId="0" borderId="1" xfId="2" applyFont="1" applyBorder="1" applyProtection="1"/>
    <xf numFmtId="0" fontId="0" fillId="0" borderId="1" xfId="0" applyBorder="1"/>
    <xf numFmtId="166" fontId="0" fillId="5" borderId="1" xfId="1" applyNumberFormat="1" applyFont="1" applyFill="1" applyBorder="1" applyProtection="1">
      <protection locked="0"/>
    </xf>
    <xf numFmtId="0" fontId="0" fillId="5" borderId="1" xfId="0" applyFill="1" applyBorder="1" applyAlignment="1" applyProtection="1">
      <alignment horizontal="left" indent="1"/>
      <protection locked="0"/>
    </xf>
    <xf numFmtId="0" fontId="0" fillId="0" borderId="0" xfId="0" applyAlignment="1">
      <alignment horizontal="left"/>
    </xf>
    <xf numFmtId="0" fontId="14" fillId="0" borderId="0" xfId="0" applyFont="1"/>
    <xf numFmtId="0" fontId="13" fillId="3" borderId="0" xfId="0" applyFont="1" applyFill="1"/>
    <xf numFmtId="0" fontId="13" fillId="3" borderId="0" xfId="0" applyFont="1" applyFill="1" applyAlignment="1">
      <alignment horizontal="left"/>
    </xf>
    <xf numFmtId="0" fontId="3" fillId="0" borderId="0" xfId="0" applyFont="1" applyAlignment="1">
      <alignment horizontal="right"/>
    </xf>
    <xf numFmtId="0" fontId="3" fillId="0" borderId="0" xfId="0" applyFont="1" applyAlignment="1">
      <alignment horizontal="right" vertical="top" wrapText="1"/>
    </xf>
    <xf numFmtId="0" fontId="1" fillId="0" borderId="0" xfId="0" applyFont="1" applyAlignment="1">
      <alignment horizontal="right" wrapText="1"/>
    </xf>
    <xf numFmtId="0" fontId="1" fillId="0" borderId="0" xfId="0" applyFont="1" applyAlignment="1">
      <alignment horizontal="right" vertical="top" wrapText="1"/>
    </xf>
    <xf numFmtId="166" fontId="35" fillId="0" borderId="0" xfId="0" applyNumberFormat="1" applyFont="1"/>
    <xf numFmtId="166" fontId="31" fillId="0" borderId="0" xfId="0" applyNumberFormat="1" applyFont="1"/>
    <xf numFmtId="165" fontId="1" fillId="0" borderId="0" xfId="2" applyNumberFormat="1" applyFont="1" applyProtection="1"/>
    <xf numFmtId="0" fontId="0" fillId="0" borderId="0" xfId="0" applyAlignment="1">
      <alignment horizontal="left" wrapText="1" indent="2"/>
    </xf>
    <xf numFmtId="0" fontId="0" fillId="0" borderId="0" xfId="0" applyAlignment="1">
      <alignment horizontal="left" vertical="top" wrapText="1"/>
    </xf>
    <xf numFmtId="166" fontId="12" fillId="0" borderId="0" xfId="1" applyNumberFormat="1" applyFont="1" applyFill="1" applyBorder="1" applyAlignment="1" applyProtection="1">
      <alignment horizontal="right" vertical="center" wrapText="1"/>
    </xf>
    <xf numFmtId="10" fontId="0" fillId="0" borderId="0" xfId="0" applyNumberFormat="1"/>
    <xf numFmtId="166" fontId="35" fillId="0" borderId="0" xfId="1" applyNumberFormat="1" applyFont="1" applyFill="1" applyBorder="1" applyProtection="1"/>
    <xf numFmtId="166" fontId="31" fillId="0" borderId="0" xfId="1" applyNumberFormat="1" applyFont="1" applyFill="1" applyBorder="1" applyProtection="1"/>
    <xf numFmtId="165" fontId="0" fillId="0" borderId="0" xfId="2" applyNumberFormat="1" applyFont="1" applyProtection="1"/>
    <xf numFmtId="164" fontId="0" fillId="0" borderId="0" xfId="0" applyNumberFormat="1"/>
    <xf numFmtId="0" fontId="0" fillId="0" borderId="0" xfId="0" applyAlignment="1">
      <alignment horizontal="left" vertical="center" wrapText="1"/>
    </xf>
    <xf numFmtId="0" fontId="1" fillId="0" borderId="0" xfId="0" applyFont="1" applyAlignment="1">
      <alignment horizontal="left" indent="1"/>
    </xf>
    <xf numFmtId="164" fontId="1" fillId="0" borderId="0" xfId="0" applyNumberFormat="1" applyFont="1"/>
    <xf numFmtId="1" fontId="0" fillId="0" borderId="0" xfId="0" applyNumberFormat="1"/>
    <xf numFmtId="0" fontId="0" fillId="0" borderId="0" xfId="0" applyAlignment="1">
      <alignment horizontal="left" indent="3"/>
    </xf>
    <xf numFmtId="166" fontId="44" fillId="0" borderId="0" xfId="1" applyNumberFormat="1" applyFont="1" applyFill="1" applyBorder="1" applyProtection="1"/>
    <xf numFmtId="166" fontId="12" fillId="0" borderId="0" xfId="1" applyNumberFormat="1" applyFont="1" applyFill="1" applyBorder="1" applyProtection="1"/>
    <xf numFmtId="0" fontId="1" fillId="7" borderId="0" xfId="0" applyFont="1" applyFill="1" applyAlignment="1">
      <alignment horizontal="left" indent="1"/>
    </xf>
    <xf numFmtId="164" fontId="1" fillId="7" borderId="0" xfId="0" applyNumberFormat="1" applyFont="1" applyFill="1"/>
    <xf numFmtId="164" fontId="35" fillId="7" borderId="0" xfId="0" applyNumberFormat="1" applyFont="1" applyFill="1"/>
    <xf numFmtId="164" fontId="31" fillId="7" borderId="0" xfId="0" applyNumberFormat="1" applyFont="1" applyFill="1"/>
    <xf numFmtId="9" fontId="1" fillId="7" borderId="0" xfId="2" applyFont="1" applyFill="1" applyBorder="1" applyProtection="1"/>
    <xf numFmtId="164" fontId="44" fillId="0" borderId="0" xfId="0" applyNumberFormat="1" applyFont="1"/>
    <xf numFmtId="164" fontId="12" fillId="0" borderId="0" xfId="0" applyNumberFormat="1" applyFont="1"/>
    <xf numFmtId="166" fontId="44" fillId="0" borderId="0" xfId="1" applyNumberFormat="1" applyFont="1" applyFill="1" applyBorder="1" applyAlignment="1" applyProtection="1">
      <alignment vertical="center"/>
    </xf>
    <xf numFmtId="166" fontId="12" fillId="0" borderId="0" xfId="1" applyNumberFormat="1" applyFont="1" applyFill="1" applyBorder="1" applyAlignment="1" applyProtection="1">
      <alignment vertical="center"/>
    </xf>
    <xf numFmtId="0" fontId="0" fillId="0" borderId="0" xfId="0" applyAlignment="1">
      <alignment horizontal="left" vertical="top" wrapText="1" indent="3"/>
    </xf>
    <xf numFmtId="0" fontId="1" fillId="0" borderId="0" xfId="0" applyFont="1" applyAlignment="1">
      <alignment horizontal="left" vertical="top" wrapText="1"/>
    </xf>
    <xf numFmtId="166" fontId="35" fillId="0" borderId="0" xfId="1" applyNumberFormat="1" applyFont="1" applyFill="1" applyBorder="1" applyAlignment="1" applyProtection="1">
      <alignment vertical="center"/>
    </xf>
    <xf numFmtId="166" fontId="31" fillId="0" borderId="0" xfId="1" applyNumberFormat="1" applyFont="1" applyFill="1" applyBorder="1" applyAlignment="1" applyProtection="1">
      <alignment vertical="center"/>
    </xf>
    <xf numFmtId="0" fontId="0" fillId="0" borderId="0" xfId="0" applyAlignment="1">
      <alignment horizontal="left" wrapText="1"/>
    </xf>
    <xf numFmtId="164" fontId="12" fillId="0" borderId="0" xfId="0" applyNumberFormat="1" applyFont="1" applyAlignment="1">
      <alignment vertical="center"/>
    </xf>
    <xf numFmtId="0" fontId="1" fillId="7" borderId="0" xfId="0" applyFont="1" applyFill="1" applyAlignment="1">
      <alignment horizontal="left" indent="2"/>
    </xf>
    <xf numFmtId="0" fontId="1" fillId="0" borderId="0" xfId="0" applyFont="1" applyAlignment="1">
      <alignment horizontal="left" indent="4"/>
    </xf>
    <xf numFmtId="0" fontId="1" fillId="0" borderId="0" xfId="0" applyFont="1" applyAlignment="1">
      <alignment horizontal="left" indent="3"/>
    </xf>
    <xf numFmtId="3" fontId="1" fillId="0" borderId="0" xfId="0" applyNumberFormat="1" applyFont="1"/>
    <xf numFmtId="3" fontId="0" fillId="0" borderId="0" xfId="0" applyNumberFormat="1"/>
    <xf numFmtId="3" fontId="1" fillId="0" borderId="0" xfId="0" applyNumberFormat="1" applyFont="1" applyAlignment="1">
      <alignment horizontal="right"/>
    </xf>
    <xf numFmtId="0" fontId="7" fillId="0" borderId="0" xfId="0" applyFont="1" applyAlignment="1">
      <alignment horizontal="right"/>
    </xf>
    <xf numFmtId="0" fontId="46" fillId="0" borderId="0" xfId="0" applyFont="1" applyAlignment="1">
      <alignment horizontal="right" vertical="top" wrapText="1"/>
    </xf>
    <xf numFmtId="0" fontId="3" fillId="8" borderId="1" xfId="0" applyFont="1" applyFill="1" applyBorder="1" applyAlignment="1">
      <alignment horizontal="left" vertical="center" wrapText="1" indent="1"/>
    </xf>
    <xf numFmtId="0" fontId="34" fillId="8" borderId="1" xfId="0" applyFont="1" applyFill="1" applyBorder="1" applyAlignment="1">
      <alignment horizontal="right" vertical="top" wrapText="1"/>
    </xf>
    <xf numFmtId="0" fontId="1" fillId="0" borderId="6" xfId="0" applyFont="1" applyBorder="1" applyAlignment="1">
      <alignment horizontal="left" indent="2"/>
    </xf>
    <xf numFmtId="166" fontId="1" fillId="0" borderId="6" xfId="1" applyNumberFormat="1" applyFont="1" applyBorder="1" applyAlignment="1" applyProtection="1">
      <alignment vertical="center"/>
    </xf>
    <xf numFmtId="166" fontId="1" fillId="0" borderId="6" xfId="0" applyNumberFormat="1" applyFont="1" applyBorder="1" applyAlignment="1">
      <alignment vertical="center"/>
    </xf>
    <xf numFmtId="0" fontId="0" fillId="0" borderId="7" xfId="0" applyBorder="1" applyAlignment="1">
      <alignment horizontal="left" indent="4"/>
    </xf>
    <xf numFmtId="166" fontId="0" fillId="0" borderId="7" xfId="1" applyNumberFormat="1" applyFont="1" applyBorder="1" applyAlignment="1" applyProtection="1">
      <alignment vertical="center"/>
    </xf>
    <xf numFmtId="166" fontId="0" fillId="0" borderId="7" xfId="0" applyNumberFormat="1" applyBorder="1" applyAlignment="1">
      <alignment vertical="center"/>
    </xf>
    <xf numFmtId="0" fontId="0" fillId="0" borderId="7" xfId="0" applyBorder="1" applyAlignment="1">
      <alignment horizontal="left" indent="1"/>
    </xf>
    <xf numFmtId="0" fontId="1" fillId="0" borderId="7" xfId="0" applyFont="1" applyBorder="1" applyAlignment="1">
      <alignment horizontal="left" indent="2"/>
    </xf>
    <xf numFmtId="166" fontId="1" fillId="0" borderId="7" xfId="1" applyNumberFormat="1" applyFont="1" applyBorder="1" applyAlignment="1" applyProtection="1">
      <alignment vertical="center"/>
    </xf>
    <xf numFmtId="166" fontId="0" fillId="0" borderId="7" xfId="1" applyNumberFormat="1" applyFont="1" applyFill="1" applyBorder="1" applyAlignment="1" applyProtection="1">
      <alignment vertical="center"/>
    </xf>
    <xf numFmtId="0" fontId="1" fillId="0" borderId="8" xfId="0" applyFont="1" applyBorder="1" applyAlignment="1">
      <alignment horizontal="left" vertical="top" indent="2"/>
    </xf>
    <xf numFmtId="166" fontId="1" fillId="0" borderId="8" xfId="1" applyNumberFormat="1" applyFont="1" applyBorder="1" applyAlignment="1" applyProtection="1">
      <alignment vertical="center"/>
    </xf>
    <xf numFmtId="0" fontId="1" fillId="7" borderId="1" xfId="0" applyFont="1" applyFill="1" applyBorder="1" applyAlignment="1">
      <alignment horizontal="left" vertical="center" indent="2"/>
    </xf>
    <xf numFmtId="166" fontId="1" fillId="7" borderId="1" xfId="1" applyNumberFormat="1" applyFont="1" applyFill="1" applyBorder="1" applyAlignment="1" applyProtection="1">
      <alignment vertical="center"/>
    </xf>
    <xf numFmtId="0" fontId="0" fillId="0" borderId="10" xfId="0" applyBorder="1" applyAlignment="1">
      <alignment horizontal="left" indent="1"/>
    </xf>
    <xf numFmtId="0" fontId="0" fillId="0" borderId="10" xfId="0" applyBorder="1"/>
    <xf numFmtId="164" fontId="0" fillId="0" borderId="10" xfId="0" applyNumberFormat="1" applyBorder="1"/>
    <xf numFmtId="0" fontId="3" fillId="8" borderId="2" xfId="0" applyFont="1" applyFill="1" applyBorder="1" applyAlignment="1">
      <alignment horizontal="left" vertical="center" wrapText="1" indent="1"/>
    </xf>
    <xf numFmtId="0" fontId="1" fillId="0" borderId="6" xfId="0" applyFont="1" applyBorder="1" applyAlignment="1">
      <alignment horizontal="left" vertical="center" indent="1"/>
    </xf>
    <xf numFmtId="166" fontId="1" fillId="0" borderId="6" xfId="1" applyNumberFormat="1" applyFont="1" applyFill="1" applyBorder="1" applyAlignment="1" applyProtection="1">
      <alignment vertical="center"/>
    </xf>
    <xf numFmtId="0" fontId="0" fillId="0" borderId="7" xfId="0" applyBorder="1" applyAlignment="1">
      <alignment horizontal="left" vertical="center" indent="1"/>
    </xf>
    <xf numFmtId="0" fontId="1" fillId="0" borderId="7" xfId="0" applyFont="1" applyBorder="1" applyAlignment="1">
      <alignment horizontal="left" vertical="center" indent="1"/>
    </xf>
    <xf numFmtId="0" fontId="37" fillId="0" borderId="0" xfId="0" applyFont="1"/>
    <xf numFmtId="0" fontId="27" fillId="0" borderId="0" xfId="0" applyFont="1"/>
    <xf numFmtId="0" fontId="27" fillId="0" borderId="7" xfId="0" applyFont="1" applyBorder="1" applyAlignment="1">
      <alignment horizontal="left" vertical="center" indent="1"/>
    </xf>
    <xf numFmtId="166" fontId="27" fillId="0" borderId="7" xfId="1" applyNumberFormat="1" applyFont="1" applyBorder="1" applyAlignment="1" applyProtection="1">
      <alignment vertical="center"/>
    </xf>
    <xf numFmtId="10" fontId="27" fillId="0" borderId="7" xfId="2" applyNumberFormat="1" applyFont="1" applyBorder="1" applyAlignment="1" applyProtection="1">
      <alignment vertical="center"/>
    </xf>
    <xf numFmtId="0" fontId="15" fillId="0" borderId="7" xfId="0" applyFont="1" applyBorder="1" applyAlignment="1">
      <alignment horizontal="left" vertical="center" indent="1"/>
    </xf>
    <xf numFmtId="166" fontId="15" fillId="0" borderId="7" xfId="0" applyNumberFormat="1" applyFont="1" applyBorder="1" applyAlignment="1">
      <alignment vertical="center"/>
    </xf>
    <xf numFmtId="166" fontId="0" fillId="0" borderId="4" xfId="0" applyNumberFormat="1" applyBorder="1"/>
    <xf numFmtId="166" fontId="1" fillId="0" borderId="4" xfId="0" applyNumberFormat="1" applyFont="1" applyBorder="1"/>
    <xf numFmtId="0" fontId="30" fillId="0" borderId="0" xfId="0" applyFont="1"/>
    <xf numFmtId="0" fontId="0" fillId="0" borderId="16" xfId="0" applyBorder="1"/>
    <xf numFmtId="0" fontId="0" fillId="0" borderId="14" xfId="0" applyBorder="1" applyAlignment="1">
      <alignment horizontal="left" indent="1"/>
    </xf>
    <xf numFmtId="166" fontId="0" fillId="0" borderId="7" xfId="1" applyNumberFormat="1" applyFont="1" applyBorder="1" applyProtection="1"/>
    <xf numFmtId="166" fontId="0" fillId="0" borderId="17" xfId="1" applyNumberFormat="1" applyFont="1" applyBorder="1" applyProtection="1"/>
    <xf numFmtId="0" fontId="0" fillId="8" borderId="14" xfId="0" applyFill="1" applyBorder="1" applyAlignment="1">
      <alignment horizontal="left" indent="1"/>
    </xf>
    <xf numFmtId="168" fontId="0" fillId="8" borderId="7" xfId="0" applyNumberFormat="1" applyFill="1" applyBorder="1"/>
    <xf numFmtId="168" fontId="0" fillId="8" borderId="17" xfId="0" applyNumberFormat="1" applyFill="1" applyBorder="1"/>
    <xf numFmtId="168" fontId="0" fillId="0" borderId="7" xfId="1" applyNumberFormat="1" applyFont="1" applyBorder="1" applyProtection="1"/>
    <xf numFmtId="168" fontId="0" fillId="0" borderId="17" xfId="1" applyNumberFormat="1" applyFont="1" applyBorder="1" applyProtection="1"/>
    <xf numFmtId="0" fontId="0" fillId="0" borderId="15" xfId="0" applyBorder="1" applyAlignment="1">
      <alignment horizontal="left" indent="1"/>
    </xf>
    <xf numFmtId="0" fontId="0" fillId="0" borderId="18" xfId="0" applyBorder="1"/>
    <xf numFmtId="0" fontId="0" fillId="0" borderId="19" xfId="0" applyBorder="1"/>
    <xf numFmtId="0" fontId="28" fillId="0" borderId="0" xfId="0" applyFont="1" applyAlignment="1">
      <alignment horizontal="left" indent="1"/>
    </xf>
    <xf numFmtId="166" fontId="28" fillId="0" borderId="0" xfId="0" applyNumberFormat="1" applyFont="1"/>
    <xf numFmtId="166" fontId="28" fillId="0" borderId="0" xfId="1" applyNumberFormat="1" applyFont="1" applyProtection="1"/>
    <xf numFmtId="0" fontId="45" fillId="0" borderId="0" xfId="0" applyFont="1" applyAlignment="1">
      <alignment horizontal="left" indent="1"/>
    </xf>
    <xf numFmtId="166" fontId="0" fillId="0" borderId="0" xfId="1" applyNumberFormat="1" applyFont="1" applyProtection="1"/>
    <xf numFmtId="166" fontId="0" fillId="0" borderId="0" xfId="0" applyNumberFormat="1"/>
    <xf numFmtId="0" fontId="1" fillId="4" borderId="1" xfId="0" applyFont="1" applyFill="1" applyBorder="1" applyAlignment="1">
      <alignment horizontal="right" vertical="top" wrapText="1"/>
    </xf>
    <xf numFmtId="0" fontId="1" fillId="4" borderId="2" xfId="0" applyFont="1" applyFill="1" applyBorder="1" applyAlignment="1">
      <alignment horizontal="right" vertical="top" wrapText="1"/>
    </xf>
    <xf numFmtId="164" fontId="1" fillId="0" borderId="1" xfId="0" applyNumberFormat="1" applyFont="1" applyBorder="1"/>
    <xf numFmtId="164" fontId="0" fillId="0" borderId="1" xfId="0" applyNumberFormat="1" applyBorder="1"/>
    <xf numFmtId="0" fontId="0" fillId="0" borderId="1" xfId="0" applyBorder="1" applyAlignment="1">
      <alignment horizontal="left" indent="3"/>
    </xf>
    <xf numFmtId="0" fontId="1" fillId="0" borderId="1" xfId="0" applyFont="1" applyBorder="1" applyAlignment="1">
      <alignment horizontal="left" wrapText="1" indent="1"/>
    </xf>
    <xf numFmtId="3" fontId="1" fillId="0" borderId="1" xfId="0" applyNumberFormat="1" applyFont="1" applyBorder="1"/>
    <xf numFmtId="0" fontId="0" fillId="0" borderId="5" xfId="0" applyBorder="1"/>
    <xf numFmtId="0" fontId="1" fillId="2" borderId="6" xfId="0" applyFont="1" applyFill="1" applyBorder="1" applyAlignment="1">
      <alignment horizontal="center" vertical="top" wrapText="1"/>
    </xf>
    <xf numFmtId="0" fontId="1" fillId="2" borderId="6" xfId="0" applyFont="1" applyFill="1" applyBorder="1" applyAlignment="1">
      <alignment horizontal="left" vertical="top" wrapText="1" indent="1"/>
    </xf>
    <xf numFmtId="0" fontId="0" fillId="0" borderId="22"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33" fillId="0" borderId="21" xfId="0" applyFont="1" applyBorder="1" applyAlignment="1">
      <alignment horizontal="right" vertical="center" wrapText="1"/>
    </xf>
    <xf numFmtId="0" fontId="33" fillId="0" borderId="8" xfId="0" applyFont="1" applyBorder="1" applyAlignment="1">
      <alignment horizontal="right" vertical="center" wrapText="1"/>
    </xf>
    <xf numFmtId="166" fontId="44" fillId="5" borderId="0" xfId="1" applyNumberFormat="1" applyFont="1" applyFill="1" applyBorder="1" applyAlignment="1" applyProtection="1">
      <protection locked="0"/>
    </xf>
    <xf numFmtId="166" fontId="12" fillId="5" borderId="0" xfId="1" applyNumberFormat="1" applyFont="1" applyFill="1" applyBorder="1" applyAlignment="1" applyProtection="1">
      <protection locked="0"/>
    </xf>
    <xf numFmtId="166" fontId="12" fillId="0" borderId="0" xfId="1" applyNumberFormat="1" applyFont="1" applyFill="1" applyBorder="1" applyAlignment="1" applyProtection="1">
      <alignment horizontal="right" wrapText="1"/>
    </xf>
    <xf numFmtId="0" fontId="1" fillId="0" borderId="0" xfId="0" applyFont="1" applyAlignment="1">
      <alignment horizontal="left" vertical="center" indent="2"/>
    </xf>
    <xf numFmtId="169" fontId="38" fillId="0" borderId="0" xfId="1" applyNumberFormat="1" applyFont="1" applyProtection="1"/>
    <xf numFmtId="166" fontId="31" fillId="0" borderId="0" xfId="1" applyNumberFormat="1" applyFont="1" applyFill="1" applyBorder="1" applyAlignment="1" applyProtection="1">
      <alignment horizontal="right" vertical="center" wrapText="1"/>
    </xf>
    <xf numFmtId="164" fontId="31" fillId="0" borderId="0" xfId="0" applyNumberFormat="1" applyFont="1"/>
    <xf numFmtId="43" fontId="0" fillId="0" borderId="1" xfId="1" applyFont="1" applyFill="1" applyBorder="1" applyAlignment="1" applyProtection="1">
      <alignment horizontal="left" indent="2"/>
    </xf>
    <xf numFmtId="43" fontId="0" fillId="0" borderId="1" xfId="1" applyFont="1" applyFill="1" applyBorder="1" applyProtection="1"/>
    <xf numFmtId="166" fontId="1" fillId="0" borderId="0" xfId="1" applyNumberFormat="1" applyFont="1" applyFill="1" applyBorder="1" applyProtection="1"/>
    <xf numFmtId="166" fontId="31" fillId="0" borderId="0" xfId="1" applyNumberFormat="1" applyFont="1" applyFill="1" applyBorder="1" applyAlignment="1" applyProtection="1">
      <alignment horizontal="right"/>
    </xf>
    <xf numFmtId="0" fontId="0" fillId="0" borderId="0" xfId="0" applyAlignment="1">
      <alignment horizontal="left" vertical="center" wrapText="1" indent="2"/>
    </xf>
    <xf numFmtId="166" fontId="12" fillId="5" borderId="0" xfId="1" applyNumberFormat="1" applyFont="1" applyFill="1" applyBorder="1" applyAlignment="1" applyProtection="1">
      <alignment horizontal="right" wrapText="1"/>
      <protection locked="0"/>
    </xf>
    <xf numFmtId="0" fontId="1" fillId="0" borderId="0" xfId="0" applyFont="1" applyAlignment="1">
      <alignment horizontal="left" vertical="top" wrapText="1" indent="1"/>
    </xf>
    <xf numFmtId="0" fontId="1" fillId="7" borderId="1" xfId="0" applyFont="1" applyFill="1" applyBorder="1" applyAlignment="1">
      <alignment horizontal="left" vertical="center" indent="1"/>
    </xf>
    <xf numFmtId="0" fontId="1" fillId="0" borderId="5" xfId="0" applyFont="1" applyBorder="1" applyAlignment="1">
      <alignment horizontal="left" vertical="center" indent="1"/>
    </xf>
    <xf numFmtId="166" fontId="1" fillId="0" borderId="5" xfId="1" applyNumberFormat="1" applyFont="1" applyFill="1" applyBorder="1" applyAlignment="1" applyProtection="1">
      <alignment vertical="center"/>
    </xf>
    <xf numFmtId="165" fontId="1" fillId="7" borderId="1" xfId="2" applyNumberFormat="1" applyFont="1" applyFill="1" applyBorder="1" applyAlignment="1" applyProtection="1">
      <alignment vertical="center"/>
    </xf>
    <xf numFmtId="0" fontId="3" fillId="0" borderId="20" xfId="0" applyFont="1" applyBorder="1" applyAlignment="1">
      <alignment horizontal="left" vertical="center" indent="1"/>
    </xf>
    <xf numFmtId="166" fontId="15" fillId="0" borderId="0" xfId="1" applyNumberFormat="1" applyFont="1"/>
    <xf numFmtId="166" fontId="15" fillId="0" borderId="0" xfId="0" applyNumberFormat="1" applyFont="1"/>
    <xf numFmtId="0" fontId="15" fillId="0" borderId="0" xfId="0" applyFont="1" applyAlignment="1">
      <alignment horizontal="left" indent="1"/>
    </xf>
    <xf numFmtId="1" fontId="15" fillId="3" borderId="0" xfId="0" applyNumberFormat="1" applyFont="1" applyFill="1"/>
    <xf numFmtId="1" fontId="0" fillId="3" borderId="0" xfId="0" applyNumberFormat="1" applyFill="1"/>
    <xf numFmtId="0" fontId="1" fillId="0" borderId="0" xfId="0" applyFont="1" applyAlignment="1">
      <alignment horizontal="right" indent="1"/>
    </xf>
    <xf numFmtId="0" fontId="1" fillId="0" borderId="8" xfId="0" applyFont="1" applyBorder="1" applyAlignment="1">
      <alignment horizontal="left" indent="1"/>
    </xf>
    <xf numFmtId="1" fontId="1" fillId="5" borderId="8" xfId="0" applyNumberFormat="1" applyFont="1" applyFill="1" applyBorder="1" applyProtection="1">
      <protection locked="0"/>
    </xf>
    <xf numFmtId="1" fontId="15" fillId="3" borderId="12" xfId="0" applyNumberFormat="1" applyFont="1" applyFill="1" applyBorder="1"/>
    <xf numFmtId="164" fontId="48" fillId="0" borderId="1" xfId="0" applyNumberFormat="1" applyFont="1" applyBorder="1"/>
    <xf numFmtId="0" fontId="49" fillId="0" borderId="8" xfId="0" applyFont="1" applyBorder="1" applyAlignment="1">
      <alignment horizontal="left" indent="1"/>
    </xf>
    <xf numFmtId="0" fontId="48" fillId="0" borderId="1" xfId="0" applyFont="1" applyBorder="1" applyAlignment="1">
      <alignment horizontal="left" indent="1"/>
    </xf>
    <xf numFmtId="0" fontId="48" fillId="0" borderId="8" xfId="0" applyFont="1" applyBorder="1" applyAlignment="1">
      <alignment horizontal="left" indent="2"/>
    </xf>
    <xf numFmtId="0" fontId="48" fillId="0" borderId="1" xfId="0" applyFont="1" applyBorder="1" applyAlignment="1">
      <alignment horizontal="left" indent="2"/>
    </xf>
    <xf numFmtId="0" fontId="48" fillId="0" borderId="8" xfId="0" applyFont="1" applyBorder="1" applyAlignment="1">
      <alignment horizontal="left" indent="3"/>
    </xf>
    <xf numFmtId="1" fontId="48" fillId="0" borderId="1" xfId="0" applyNumberFormat="1" applyFont="1" applyBorder="1"/>
    <xf numFmtId="0" fontId="3" fillId="0" borderId="0" xfId="0" applyFont="1" applyAlignment="1">
      <alignment horizontal="right" wrapText="1"/>
    </xf>
    <xf numFmtId="0" fontId="20" fillId="0" borderId="0" xfId="0" applyFont="1"/>
    <xf numFmtId="0" fontId="1" fillId="2" borderId="1" xfId="0" applyFont="1" applyFill="1" applyBorder="1" applyAlignment="1">
      <alignment horizontal="center" vertical="top" wrapText="1"/>
    </xf>
    <xf numFmtId="0" fontId="1" fillId="2" borderId="1" xfId="0" applyFont="1" applyFill="1" applyBorder="1" applyAlignment="1">
      <alignment horizontal="left" vertical="top" wrapText="1" indent="1"/>
    </xf>
    <xf numFmtId="165" fontId="50" fillId="0" borderId="7" xfId="2" applyNumberFormat="1" applyFont="1" applyBorder="1" applyProtection="1"/>
    <xf numFmtId="0" fontId="0" fillId="0" borderId="31" xfId="0" applyBorder="1"/>
    <xf numFmtId="0" fontId="0" fillId="0" borderId="29" xfId="0" applyBorder="1"/>
    <xf numFmtId="0" fontId="0" fillId="0" borderId="24" xfId="0" applyBorder="1"/>
    <xf numFmtId="0" fontId="0" fillId="0" borderId="25" xfId="0" applyBorder="1"/>
    <xf numFmtId="166" fontId="0" fillId="5" borderId="32" xfId="1" applyNumberFormat="1" applyFont="1" applyFill="1" applyBorder="1" applyProtection="1">
      <protection locked="0"/>
    </xf>
    <xf numFmtId="166" fontId="0" fillId="0" borderId="32" xfId="1" applyNumberFormat="1" applyFont="1" applyBorder="1" applyProtection="1"/>
    <xf numFmtId="166" fontId="0" fillId="5" borderId="33" xfId="1" applyNumberFormat="1" applyFont="1" applyFill="1" applyBorder="1" applyProtection="1">
      <protection locked="0"/>
    </xf>
    <xf numFmtId="166" fontId="0" fillId="0" borderId="33" xfId="1" applyNumberFormat="1" applyFont="1" applyBorder="1" applyProtection="1"/>
    <xf numFmtId="166" fontId="0" fillId="5" borderId="30" xfId="1" applyNumberFormat="1" applyFont="1" applyFill="1" applyBorder="1" applyProtection="1">
      <protection locked="0"/>
    </xf>
    <xf numFmtId="166" fontId="0" fillId="0" borderId="30" xfId="1" applyNumberFormat="1" applyFont="1" applyBorder="1" applyProtection="1"/>
    <xf numFmtId="165" fontId="50" fillId="0" borderId="13" xfId="2" applyNumberFormat="1" applyFont="1" applyBorder="1" applyProtection="1"/>
    <xf numFmtId="165" fontId="48" fillId="0" borderId="33" xfId="2" applyNumberFormat="1" applyFont="1" applyBorder="1" applyProtection="1"/>
    <xf numFmtId="165" fontId="48" fillId="0" borderId="30" xfId="2" applyNumberFormat="1" applyFont="1" applyBorder="1" applyProtection="1"/>
    <xf numFmtId="0" fontId="1" fillId="0" borderId="27" xfId="0" applyFont="1" applyBorder="1" applyAlignment="1">
      <alignment horizontal="center" vertical="center"/>
    </xf>
    <xf numFmtId="0" fontId="1" fillId="0" borderId="28" xfId="0" applyFont="1" applyBorder="1" applyAlignment="1">
      <alignment vertical="center"/>
    </xf>
    <xf numFmtId="166" fontId="1" fillId="0" borderId="26" xfId="1" applyNumberFormat="1" applyFont="1" applyBorder="1" applyAlignment="1" applyProtection="1">
      <alignment vertical="center"/>
    </xf>
    <xf numFmtId="165" fontId="48" fillId="0" borderId="26" xfId="2" applyNumberFormat="1" applyFont="1" applyBorder="1" applyAlignment="1" applyProtection="1">
      <alignment vertical="center"/>
    </xf>
    <xf numFmtId="165" fontId="48" fillId="0" borderId="34" xfId="2" applyNumberFormat="1" applyFont="1" applyBorder="1" applyAlignment="1" applyProtection="1">
      <alignment vertical="center"/>
    </xf>
    <xf numFmtId="0" fontId="1" fillId="0" borderId="30" xfId="0" applyFont="1" applyBorder="1" applyAlignment="1">
      <alignment vertical="center"/>
    </xf>
    <xf numFmtId="0" fontId="26" fillId="0" borderId="0" xfId="0" applyFont="1" applyAlignment="1">
      <alignment horizontal="left" indent="1"/>
    </xf>
    <xf numFmtId="0" fontId="3" fillId="0" borderId="0" xfId="0" applyFont="1" applyAlignment="1">
      <alignment horizontal="left" vertical="center" indent="1"/>
    </xf>
    <xf numFmtId="0" fontId="48" fillId="0" borderId="0" xfId="0" applyFont="1" applyAlignment="1">
      <alignment horizontal="left" wrapText="1" indent="3"/>
    </xf>
    <xf numFmtId="0" fontId="48" fillId="0" borderId="0" xfId="0" applyFont="1" applyAlignment="1">
      <alignment horizontal="left" vertical="center" wrapText="1" indent="3"/>
    </xf>
    <xf numFmtId="166" fontId="42" fillId="5" borderId="0" xfId="1" applyNumberFormat="1" applyFont="1" applyFill="1" applyBorder="1" applyAlignment="1" applyProtection="1">
      <alignment horizontal="left" vertical="center" indent="1"/>
      <protection locked="0"/>
    </xf>
    <xf numFmtId="164" fontId="48" fillId="0" borderId="0" xfId="0" applyNumberFormat="1" applyFont="1" applyAlignment="1">
      <alignment horizontal="left" indent="1"/>
    </xf>
    <xf numFmtId="0" fontId="48" fillId="0" borderId="0" xfId="0" applyFont="1" applyAlignment="1">
      <alignment horizontal="left" indent="1"/>
    </xf>
    <xf numFmtId="166" fontId="42" fillId="5" borderId="0" xfId="1" applyNumberFormat="1" applyFont="1" applyFill="1" applyBorder="1" applyAlignment="1" applyProtection="1">
      <alignment horizontal="right" vertical="center" wrapText="1"/>
      <protection locked="0"/>
    </xf>
    <xf numFmtId="1" fontId="51" fillId="0" borderId="0" xfId="0" applyNumberFormat="1" applyFont="1" applyAlignment="1">
      <alignment horizontal="left" indent="2"/>
    </xf>
    <xf numFmtId="0" fontId="24" fillId="2" borderId="0" xfId="0" applyFont="1" applyFill="1" applyAlignment="1">
      <alignment horizontal="left" indent="1"/>
    </xf>
    <xf numFmtId="49" fontId="0" fillId="0" borderId="0" xfId="0" applyNumberFormat="1" applyAlignment="1">
      <alignment vertical="top"/>
    </xf>
    <xf numFmtId="0" fontId="9" fillId="0" borderId="0" xfId="0" applyFont="1" applyAlignment="1">
      <alignment horizontal="left" indent="1"/>
    </xf>
    <xf numFmtId="0" fontId="25" fillId="0" borderId="0" xfId="0" applyFont="1" applyAlignment="1">
      <alignment horizontal="left" indent="1"/>
    </xf>
    <xf numFmtId="0" fontId="2" fillId="0" borderId="0" xfId="0" applyFont="1" applyAlignment="1">
      <alignment horizontal="left" indent="1"/>
    </xf>
    <xf numFmtId="0" fontId="2" fillId="0" borderId="0" xfId="0" applyFont="1"/>
    <xf numFmtId="0" fontId="52" fillId="0" borderId="0" xfId="0" applyFont="1"/>
    <xf numFmtId="2" fontId="48" fillId="0" borderId="1" xfId="0" applyNumberFormat="1" applyFont="1" applyBorder="1"/>
    <xf numFmtId="2" fontId="48" fillId="0" borderId="8" xfId="0" applyNumberFormat="1" applyFont="1" applyBorder="1"/>
    <xf numFmtId="165" fontId="48" fillId="0" borderId="8" xfId="2" applyNumberFormat="1" applyFont="1" applyFill="1" applyBorder="1" applyProtection="1"/>
    <xf numFmtId="1" fontId="1" fillId="0" borderId="0" xfId="0" applyNumberFormat="1" applyFont="1"/>
    <xf numFmtId="0" fontId="54" fillId="0" borderId="0" xfId="0" applyFont="1"/>
    <xf numFmtId="0" fontId="54" fillId="0" borderId="0" xfId="0" applyFont="1" applyAlignment="1">
      <alignment horizontal="left"/>
    </xf>
    <xf numFmtId="0" fontId="55" fillId="0" borderId="0" xfId="0" applyFont="1"/>
    <xf numFmtId="0" fontId="54" fillId="3" borderId="0" xfId="0" applyFont="1" applyFill="1"/>
    <xf numFmtId="0" fontId="54" fillId="3" borderId="0" xfId="0" applyFont="1" applyFill="1" applyAlignment="1">
      <alignment horizontal="left"/>
    </xf>
    <xf numFmtId="0" fontId="48" fillId="2" borderId="1" xfId="0" applyFont="1" applyFill="1" applyBorder="1" applyAlignment="1">
      <alignment horizontal="center" vertical="top" wrapText="1"/>
    </xf>
    <xf numFmtId="0" fontId="34" fillId="8" borderId="1" xfId="0" applyFont="1" applyFill="1" applyBorder="1" applyAlignment="1">
      <alignment horizontal="center" vertical="top" wrapText="1"/>
    </xf>
    <xf numFmtId="0" fontId="34" fillId="8" borderId="2" xfId="0" applyFont="1" applyFill="1" applyBorder="1" applyAlignment="1">
      <alignment horizontal="center" vertical="top" wrapText="1"/>
    </xf>
    <xf numFmtId="49" fontId="32" fillId="0" borderId="5" xfId="0" applyNumberFormat="1" applyFont="1" applyBorder="1" applyAlignment="1">
      <alignment horizontal="left" vertical="center" indent="1"/>
    </xf>
    <xf numFmtId="49" fontId="32" fillId="0" borderId="10" xfId="0" applyNumberFormat="1" applyFont="1" applyBorder="1" applyAlignment="1">
      <alignment horizontal="left" vertical="center" indent="1"/>
    </xf>
    <xf numFmtId="0" fontId="53" fillId="5" borderId="0" xfId="0" applyFont="1" applyFill="1" applyProtection="1">
      <protection locked="0"/>
    </xf>
    <xf numFmtId="0" fontId="53" fillId="0" borderId="0" xfId="0" applyFont="1" applyProtection="1">
      <protection locked="0"/>
    </xf>
    <xf numFmtId="0" fontId="53" fillId="0" borderId="0" xfId="0" applyFont="1" applyAlignment="1" applyProtection="1">
      <alignment horizontal="right"/>
      <protection locked="0"/>
    </xf>
    <xf numFmtId="0" fontId="34" fillId="0" borderId="5" xfId="0" applyFont="1" applyBorder="1" applyAlignment="1">
      <alignment horizontal="right" vertical="top"/>
    </xf>
    <xf numFmtId="0" fontId="25" fillId="0" borderId="0" xfId="0" applyFont="1" applyAlignment="1">
      <alignment horizontal="right" vertical="top"/>
    </xf>
    <xf numFmtId="0" fontId="1" fillId="0" borderId="5" xfId="0" applyFont="1" applyBorder="1" applyAlignment="1">
      <alignment horizontal="left" vertical="top" indent="1"/>
    </xf>
    <xf numFmtId="9" fontId="0" fillId="2" borderId="1" xfId="1" applyNumberFormat="1" applyFont="1" applyFill="1" applyBorder="1" applyProtection="1"/>
    <xf numFmtId="0" fontId="0" fillId="2" borderId="0" xfId="0" applyFill="1"/>
    <xf numFmtId="0" fontId="1" fillId="2" borderId="1" xfId="0" applyFont="1" applyFill="1" applyBorder="1" applyAlignment="1">
      <alignment horizontal="left" indent="1"/>
    </xf>
    <xf numFmtId="43" fontId="1" fillId="2" borderId="1" xfId="1" applyFont="1" applyFill="1" applyBorder="1" applyAlignment="1" applyProtection="1">
      <alignment horizontal="right"/>
    </xf>
    <xf numFmtId="166" fontId="1" fillId="2" borderId="1" xfId="1" applyNumberFormat="1" applyFont="1" applyFill="1" applyBorder="1" applyAlignment="1" applyProtection="1">
      <alignment horizontal="right"/>
    </xf>
    <xf numFmtId="43" fontId="1" fillId="2" borderId="1" xfId="1" applyFont="1" applyFill="1" applyBorder="1" applyAlignment="1" applyProtection="1">
      <alignment horizontal="left" indent="1"/>
    </xf>
    <xf numFmtId="167" fontId="1" fillId="2" borderId="1" xfId="1" applyNumberFormat="1" applyFont="1" applyFill="1" applyBorder="1" applyAlignment="1" applyProtection="1">
      <alignment horizontal="left" indent="1"/>
    </xf>
    <xf numFmtId="0" fontId="0" fillId="0" borderId="2" xfId="0" applyBorder="1" applyAlignment="1">
      <alignment horizontal="left" indent="1"/>
    </xf>
    <xf numFmtId="0" fontId="0" fillId="0" borderId="11" xfId="0" applyBorder="1" applyAlignment="1">
      <alignment horizontal="left" indent="1"/>
    </xf>
    <xf numFmtId="166" fontId="31" fillId="0" borderId="1" xfId="1" applyNumberFormat="1" applyFont="1" applyFill="1" applyBorder="1" applyProtection="1"/>
    <xf numFmtId="167" fontId="0" fillId="0" borderId="1" xfId="1" applyNumberFormat="1" applyFont="1" applyFill="1" applyBorder="1" applyProtection="1"/>
    <xf numFmtId="0" fontId="1" fillId="2" borderId="1" xfId="0" applyFont="1" applyFill="1" applyBorder="1" applyAlignment="1">
      <alignment horizontal="left" vertical="center" wrapText="1" indent="1"/>
    </xf>
    <xf numFmtId="0" fontId="1" fillId="2" borderId="1" xfId="0" applyFont="1" applyFill="1" applyBorder="1" applyAlignment="1">
      <alignment horizontal="left" vertical="center"/>
    </xf>
    <xf numFmtId="43" fontId="1" fillId="2" borderId="1" xfId="1" applyFont="1" applyFill="1" applyBorder="1" applyAlignment="1" applyProtection="1">
      <alignment horizontal="right" vertical="center"/>
    </xf>
    <xf numFmtId="166" fontId="1" fillId="2" borderId="1" xfId="1" applyNumberFormat="1" applyFont="1" applyFill="1" applyBorder="1" applyAlignment="1" applyProtection="1">
      <alignment horizontal="right" vertical="center"/>
    </xf>
    <xf numFmtId="43" fontId="1" fillId="2" borderId="1" xfId="1" applyFont="1" applyFill="1" applyBorder="1" applyAlignment="1" applyProtection="1">
      <alignment horizontal="left" vertical="center"/>
    </xf>
    <xf numFmtId="167" fontId="24" fillId="2" borderId="1" xfId="1" applyNumberFormat="1" applyFont="1" applyFill="1" applyBorder="1" applyAlignment="1" applyProtection="1">
      <alignment horizontal="left" vertical="center" wrapText="1"/>
    </xf>
    <xf numFmtId="10" fontId="15" fillId="0" borderId="0" xfId="2" applyNumberFormat="1" applyFont="1" applyFill="1" applyBorder="1" applyAlignment="1" applyProtection="1"/>
    <xf numFmtId="166" fontId="6" fillId="5" borderId="1" xfId="1" applyNumberFormat="1" applyFont="1" applyFill="1" applyBorder="1" applyAlignment="1" applyProtection="1">
      <alignment horizontal="right" indent="1"/>
      <protection locked="0"/>
    </xf>
    <xf numFmtId="166" fontId="6" fillId="5" borderId="1" xfId="1" applyNumberFormat="1" applyFont="1" applyFill="1" applyBorder="1" applyProtection="1">
      <protection locked="0"/>
    </xf>
    <xf numFmtId="0" fontId="55" fillId="0" borderId="0" xfId="0" applyFont="1" applyAlignment="1">
      <alignment horizontal="center"/>
    </xf>
    <xf numFmtId="0" fontId="15" fillId="8" borderId="0" xfId="0" applyFont="1" applyFill="1"/>
    <xf numFmtId="0" fontId="30" fillId="8" borderId="0" xfId="0" applyFont="1" applyFill="1" applyAlignment="1">
      <alignment horizontal="right" vertical="top" wrapText="1"/>
    </xf>
    <xf numFmtId="166" fontId="15" fillId="0" borderId="0" xfId="1" applyNumberFormat="1" applyFont="1" applyBorder="1"/>
    <xf numFmtId="166" fontId="15" fillId="0" borderId="5" xfId="1" applyNumberFormat="1" applyFont="1" applyBorder="1"/>
    <xf numFmtId="0" fontId="56" fillId="0" borderId="0" xfId="0" applyFont="1" applyAlignment="1">
      <alignment horizontal="left" indent="1"/>
    </xf>
    <xf numFmtId="166" fontId="56" fillId="0" borderId="0" xfId="1" applyNumberFormat="1" applyFont="1"/>
    <xf numFmtId="0" fontId="56" fillId="0" borderId="0" xfId="0" applyFont="1"/>
    <xf numFmtId="166" fontId="56" fillId="0" borderId="35" xfId="1" applyNumberFormat="1" applyFont="1" applyBorder="1"/>
    <xf numFmtId="166" fontId="31" fillId="0" borderId="6" xfId="1" applyNumberFormat="1" applyFont="1" applyBorder="1" applyAlignment="1" applyProtection="1">
      <alignment vertical="center"/>
    </xf>
    <xf numFmtId="166" fontId="31" fillId="0" borderId="7" xfId="1" applyNumberFormat="1" applyFont="1" applyBorder="1" applyAlignment="1" applyProtection="1">
      <alignment vertical="center"/>
    </xf>
    <xf numFmtId="49" fontId="44" fillId="3" borderId="1" xfId="1" applyNumberFormat="1" applyFont="1" applyFill="1" applyBorder="1" applyAlignment="1" applyProtection="1">
      <alignment horizontal="left" indent="1"/>
    </xf>
    <xf numFmtId="166" fontId="44" fillId="3" borderId="1" xfId="1" applyNumberFormat="1" applyFont="1" applyFill="1" applyBorder="1" applyProtection="1"/>
    <xf numFmtId="10" fontId="44" fillId="3" borderId="1" xfId="2" applyNumberFormat="1" applyFont="1" applyFill="1" applyBorder="1" applyProtection="1"/>
    <xf numFmtId="166" fontId="44" fillId="3" borderId="0" xfId="1" applyNumberFormat="1" applyFont="1" applyFill="1" applyBorder="1" applyProtection="1"/>
    <xf numFmtId="10" fontId="0" fillId="2" borderId="1" xfId="0" applyNumberFormat="1" applyFill="1" applyBorder="1"/>
    <xf numFmtId="166" fontId="0" fillId="2" borderId="1" xfId="0" applyNumberFormat="1" applyFill="1" applyBorder="1"/>
    <xf numFmtId="10" fontId="6" fillId="2" borderId="1" xfId="2" applyNumberFormat="1" applyFont="1" applyFill="1" applyBorder="1" applyProtection="1"/>
    <xf numFmtId="49" fontId="6" fillId="2" borderId="1" xfId="1" applyNumberFormat="1" applyFont="1" applyFill="1" applyBorder="1" applyAlignment="1" applyProtection="1">
      <alignment horizontal="left" indent="1"/>
    </xf>
    <xf numFmtId="166" fontId="1" fillId="0" borderId="0" xfId="0" applyNumberFormat="1" applyFont="1"/>
    <xf numFmtId="0" fontId="57" fillId="0" borderId="0" xfId="0" applyFont="1"/>
    <xf numFmtId="0" fontId="58" fillId="0" borderId="0" xfId="0" applyFont="1" applyAlignment="1">
      <alignment horizontal="right"/>
    </xf>
    <xf numFmtId="0" fontId="59" fillId="0" borderId="0" xfId="0" applyFont="1"/>
    <xf numFmtId="166" fontId="57" fillId="0" borderId="0" xfId="1" applyNumberFormat="1" applyFont="1"/>
    <xf numFmtId="0" fontId="60" fillId="0" borderId="0" xfId="0" applyFont="1" applyAlignment="1">
      <alignment horizontal="right"/>
    </xf>
    <xf numFmtId="0" fontId="60" fillId="0" borderId="0" xfId="0" applyFont="1"/>
    <xf numFmtId="166" fontId="60" fillId="3" borderId="0" xfId="1" applyNumberFormat="1" applyFont="1" applyFill="1" applyAlignment="1" applyProtection="1">
      <alignment horizontal="right"/>
      <protection locked="0"/>
    </xf>
    <xf numFmtId="0" fontId="60" fillId="3" borderId="0" xfId="0" applyFont="1" applyFill="1" applyProtection="1">
      <protection locked="0"/>
    </xf>
    <xf numFmtId="0" fontId="59" fillId="0" borderId="0" xfId="0" applyFont="1" applyAlignment="1">
      <alignment horizontal="left" vertical="top"/>
    </xf>
    <xf numFmtId="0" fontId="61" fillId="0" borderId="0" xfId="0" applyFont="1" applyAlignment="1">
      <alignment horizontal="left"/>
    </xf>
    <xf numFmtId="166" fontId="61" fillId="0" borderId="0" xfId="1" applyNumberFormat="1" applyFont="1" applyAlignment="1">
      <alignment horizontal="right"/>
    </xf>
    <xf numFmtId="0" fontId="61" fillId="0" borderId="0" xfId="0" applyFont="1" applyAlignment="1">
      <alignment horizontal="right"/>
    </xf>
    <xf numFmtId="0" fontId="61" fillId="0" borderId="0" xfId="0" applyFont="1" applyAlignment="1">
      <alignment horizontal="right" vertical="top" wrapText="1"/>
    </xf>
    <xf numFmtId="0" fontId="62" fillId="0" borderId="0" xfId="0" applyFont="1" applyAlignment="1">
      <alignment horizontal="left" vertical="top"/>
    </xf>
    <xf numFmtId="0" fontId="62" fillId="0" borderId="0" xfId="0" applyFont="1" applyAlignment="1">
      <alignment horizontal="left"/>
    </xf>
    <xf numFmtId="166" fontId="58" fillId="0" borderId="0" xfId="1" applyNumberFormat="1" applyFont="1" applyAlignment="1">
      <alignment horizontal="right"/>
    </xf>
    <xf numFmtId="0" fontId="58" fillId="0" borderId="0" xfId="0" applyFont="1" applyAlignment="1">
      <alignment horizontal="right" vertical="top" wrapText="1"/>
    </xf>
    <xf numFmtId="0" fontId="62" fillId="4" borderId="1" xfId="0" applyFont="1" applyFill="1" applyBorder="1" applyAlignment="1">
      <alignment horizontal="left" vertical="top" wrapText="1" indent="1"/>
    </xf>
    <xf numFmtId="0" fontId="62" fillId="4" borderId="1" xfId="0" applyFont="1" applyFill="1" applyBorder="1" applyAlignment="1">
      <alignment horizontal="right" vertical="top" wrapText="1"/>
    </xf>
    <xf numFmtId="166" fontId="62" fillId="4" borderId="1" xfId="1" applyNumberFormat="1" applyFont="1" applyFill="1" applyBorder="1" applyAlignment="1">
      <alignment horizontal="right" vertical="top" wrapText="1"/>
    </xf>
    <xf numFmtId="0" fontId="57" fillId="3" borderId="0" xfId="0" applyFont="1" applyFill="1"/>
    <xf numFmtId="0" fontId="58" fillId="3" borderId="0" xfId="0" applyFont="1" applyFill="1" applyAlignment="1">
      <alignment horizontal="right" vertical="top" wrapText="1"/>
    </xf>
    <xf numFmtId="0" fontId="62" fillId="0" borderId="1" xfId="0" applyFont="1" applyBorder="1" applyAlignment="1">
      <alignment horizontal="left" indent="1"/>
    </xf>
    <xf numFmtId="166" fontId="62" fillId="0" borderId="1" xfId="1" applyNumberFormat="1" applyFont="1" applyBorder="1"/>
    <xf numFmtId="164" fontId="57" fillId="0" borderId="0" xfId="0" applyNumberFormat="1" applyFont="1" applyProtection="1">
      <protection locked="0"/>
    </xf>
    <xf numFmtId="166" fontId="57" fillId="0" borderId="0" xfId="0" applyNumberFormat="1" applyFont="1"/>
    <xf numFmtId="0" fontId="60" fillId="0" borderId="1" xfId="0" applyFont="1" applyBorder="1" applyAlignment="1">
      <alignment horizontal="left" indent="3"/>
    </xf>
    <xf numFmtId="166" fontId="60" fillId="0" borderId="1" xfId="1" applyNumberFormat="1" applyFont="1" applyFill="1" applyBorder="1" applyProtection="1">
      <protection locked="0"/>
    </xf>
    <xf numFmtId="164" fontId="57" fillId="0" borderId="0" xfId="0" applyNumberFormat="1" applyFont="1"/>
    <xf numFmtId="0" fontId="62" fillId="0" borderId="1" xfId="0" applyFont="1" applyBorder="1" applyAlignment="1">
      <alignment horizontal="left" wrapText="1" indent="1"/>
    </xf>
    <xf numFmtId="166" fontId="62" fillId="0" borderId="1" xfId="1" applyNumberFormat="1" applyFont="1" applyFill="1" applyBorder="1" applyProtection="1">
      <protection locked="0"/>
    </xf>
    <xf numFmtId="10" fontId="60" fillId="0" borderId="0" xfId="2" applyNumberFormat="1" applyFont="1" applyFill="1" applyBorder="1" applyProtection="1">
      <protection locked="0"/>
    </xf>
    <xf numFmtId="3" fontId="57" fillId="0" borderId="0" xfId="0" applyNumberFormat="1" applyFont="1" applyProtection="1">
      <protection locked="0"/>
    </xf>
    <xf numFmtId="0" fontId="57" fillId="0" borderId="0" xfId="0" quotePrefix="1" applyFont="1" applyAlignment="1">
      <alignment wrapText="1"/>
    </xf>
    <xf numFmtId="0" fontId="62" fillId="0" borderId="1" xfId="0" applyFont="1" applyBorder="1" applyAlignment="1">
      <alignment horizontal="left" vertical="center" indent="1"/>
    </xf>
    <xf numFmtId="166" fontId="62" fillId="0" borderId="1" xfId="1" applyNumberFormat="1" applyFont="1" applyBorder="1" applyAlignment="1">
      <alignment horizontal="left" vertical="center" indent="1"/>
    </xf>
    <xf numFmtId="0" fontId="63" fillId="0" borderId="1" xfId="0" applyFont="1" applyBorder="1" applyAlignment="1">
      <alignment horizontal="left" vertical="center" indent="1"/>
    </xf>
    <xf numFmtId="166" fontId="60" fillId="0" borderId="1" xfId="1" applyNumberFormat="1" applyFont="1" applyBorder="1" applyAlignment="1">
      <alignment horizontal="left" vertical="center" indent="1"/>
    </xf>
    <xf numFmtId="1" fontId="57" fillId="0" borderId="0" xfId="0" applyNumberFormat="1" applyFont="1" applyProtection="1">
      <protection locked="0"/>
    </xf>
    <xf numFmtId="0" fontId="57" fillId="0" borderId="0" xfId="0" applyFont="1" applyAlignment="1">
      <alignment horizontal="left" indent="1"/>
    </xf>
    <xf numFmtId="0" fontId="60" fillId="0" borderId="1" xfId="0" applyFont="1" applyBorder="1" applyAlignment="1">
      <alignment horizontal="left" vertical="center" indent="3"/>
    </xf>
    <xf numFmtId="166" fontId="60" fillId="0" borderId="1" xfId="1" applyNumberFormat="1" applyFont="1" applyFill="1" applyBorder="1" applyAlignment="1" applyProtection="1">
      <alignment horizontal="left" vertical="center" indent="1"/>
      <protection locked="0"/>
    </xf>
    <xf numFmtId="166" fontId="62" fillId="0" borderId="1" xfId="1" applyNumberFormat="1" applyFont="1" applyFill="1" applyBorder="1" applyAlignment="1" applyProtection="1">
      <alignment horizontal="left" vertical="center" indent="1"/>
      <protection locked="0"/>
    </xf>
    <xf numFmtId="0" fontId="57" fillId="0" borderId="12" xfId="0" applyFont="1" applyBorder="1"/>
    <xf numFmtId="166" fontId="62" fillId="0" borderId="12" xfId="1" applyNumberFormat="1" applyFont="1" applyBorder="1" applyAlignment="1">
      <alignment horizontal="left" vertical="center" indent="1"/>
    </xf>
    <xf numFmtId="0" fontId="61" fillId="0" borderId="1" xfId="0" applyFont="1" applyBorder="1" applyAlignment="1">
      <alignment horizontal="left" indent="1"/>
    </xf>
    <xf numFmtId="166" fontId="61" fillId="0" borderId="1" xfId="1" applyNumberFormat="1" applyFont="1" applyFill="1" applyBorder="1" applyProtection="1">
      <protection locked="0"/>
    </xf>
    <xf numFmtId="0" fontId="32" fillId="0" borderId="5" xfId="0" applyFont="1" applyBorder="1" applyAlignment="1">
      <alignment horizontal="left" vertical="center" indent="1"/>
    </xf>
    <xf numFmtId="0" fontId="60" fillId="3" borderId="0" xfId="1" applyNumberFormat="1" applyFont="1" applyFill="1" applyAlignment="1" applyProtection="1">
      <alignment horizontal="right"/>
      <protection locked="0"/>
    </xf>
    <xf numFmtId="43" fontId="15" fillId="0" borderId="0" xfId="1" applyFont="1"/>
    <xf numFmtId="165" fontId="1" fillId="7" borderId="0" xfId="2" applyNumberFormat="1" applyFont="1" applyFill="1" applyBorder="1" applyAlignment="1" applyProtection="1"/>
    <xf numFmtId="165" fontId="48" fillId="0" borderId="38" xfId="2" applyNumberFormat="1" applyFont="1" applyBorder="1" applyProtection="1"/>
    <xf numFmtId="165" fontId="48" fillId="0" borderId="24" xfId="2" applyNumberFormat="1" applyFont="1" applyBorder="1" applyProtection="1"/>
    <xf numFmtId="165" fontId="48" fillId="0" borderId="39" xfId="2" applyNumberFormat="1" applyFont="1" applyBorder="1" applyProtection="1"/>
    <xf numFmtId="165" fontId="48" fillId="0" borderId="40" xfId="2" applyNumberFormat="1" applyFont="1" applyBorder="1" applyProtection="1"/>
    <xf numFmtId="165" fontId="48" fillId="0" borderId="32" xfId="2" applyNumberFormat="1" applyFont="1" applyBorder="1" applyProtection="1"/>
    <xf numFmtId="0" fontId="0" fillId="0" borderId="0" xfId="0" applyAlignment="1">
      <alignment horizontal="left" vertical="top" wrapText="1" indent="2"/>
    </xf>
    <xf numFmtId="10" fontId="15" fillId="0" borderId="12" xfId="2" applyNumberFormat="1" applyFont="1" applyFill="1" applyBorder="1" applyAlignment="1" applyProtection="1">
      <alignment horizontal="center"/>
    </xf>
    <xf numFmtId="10" fontId="15" fillId="0" borderId="13" xfId="2" applyNumberFormat="1" applyFont="1" applyFill="1" applyBorder="1" applyAlignment="1" applyProtection="1">
      <alignment horizontal="center"/>
    </xf>
    <xf numFmtId="10" fontId="15" fillId="0" borderId="36" xfId="2" applyNumberFormat="1" applyFont="1" applyFill="1" applyBorder="1" applyAlignment="1" applyProtection="1">
      <alignment horizontal="center"/>
    </xf>
    <xf numFmtId="10" fontId="15" fillId="0" borderId="37" xfId="2" applyNumberFormat="1" applyFont="1" applyFill="1" applyBorder="1" applyAlignment="1" applyProtection="1">
      <alignment horizontal="center"/>
    </xf>
    <xf numFmtId="168" fontId="0" fillId="0" borderId="0" xfId="0" applyNumberFormat="1"/>
    <xf numFmtId="168" fontId="15" fillId="0" borderId="0" xfId="0" applyNumberFormat="1" applyFont="1"/>
    <xf numFmtId="168" fontId="15" fillId="0" borderId="12" xfId="1" applyNumberFormat="1" applyFont="1" applyBorder="1" applyAlignment="1">
      <alignment horizontal="right"/>
    </xf>
    <xf numFmtId="168" fontId="15" fillId="0" borderId="13" xfId="0" applyNumberFormat="1" applyFont="1" applyBorder="1" applyAlignment="1">
      <alignment horizontal="right"/>
    </xf>
    <xf numFmtId="168" fontId="15" fillId="0" borderId="13" xfId="1" applyNumberFormat="1" applyFont="1" applyBorder="1" applyAlignment="1">
      <alignment horizontal="right"/>
    </xf>
    <xf numFmtId="168" fontId="15" fillId="0" borderId="36" xfId="1" applyNumberFormat="1" applyFont="1" applyBorder="1" applyAlignment="1">
      <alignment horizontal="right"/>
    </xf>
    <xf numFmtId="168" fontId="15" fillId="0" borderId="37" xfId="0" applyNumberFormat="1" applyFont="1" applyBorder="1" applyAlignment="1">
      <alignment horizontal="right"/>
    </xf>
    <xf numFmtId="10" fontId="15" fillId="0" borderId="0" xfId="2" applyNumberFormat="1" applyFont="1" applyFill="1" applyBorder="1" applyAlignment="1" applyProtection="1">
      <alignment horizontal="right"/>
    </xf>
    <xf numFmtId="166" fontId="31" fillId="0" borderId="0" xfId="1" applyNumberFormat="1" applyFont="1" applyFill="1" applyBorder="1" applyAlignment="1" applyProtection="1">
      <alignment horizontal="right" vertical="center"/>
    </xf>
    <xf numFmtId="165" fontId="6" fillId="0" borderId="0" xfId="2" applyNumberFormat="1" applyFont="1" applyAlignment="1" applyProtection="1"/>
    <xf numFmtId="165" fontId="6" fillId="0" borderId="0" xfId="2" applyNumberFormat="1" applyFont="1" applyProtection="1"/>
    <xf numFmtId="165" fontId="6" fillId="0" borderId="0" xfId="2" applyNumberFormat="1" applyFont="1" applyAlignment="1" applyProtection="1">
      <alignment vertical="center"/>
    </xf>
    <xf numFmtId="166" fontId="12" fillId="0" borderId="0" xfId="1" applyNumberFormat="1" applyFont="1" applyFill="1" applyBorder="1" applyAlignment="1" applyProtection="1">
      <alignment horizontal="right"/>
    </xf>
    <xf numFmtId="0" fontId="0" fillId="5" borderId="0" xfId="0" applyFill="1" applyAlignment="1" applyProtection="1">
      <alignment horizontal="left" vertical="top" wrapText="1" indent="1"/>
      <protection locked="0"/>
    </xf>
    <xf numFmtId="0" fontId="0" fillId="5" borderId="0" xfId="0" applyFill="1" applyAlignment="1" applyProtection="1">
      <alignment horizontal="right"/>
      <protection locked="0"/>
    </xf>
    <xf numFmtId="0" fontId="0" fillId="5" borderId="5" xfId="0" applyFill="1" applyBorder="1" applyAlignment="1" applyProtection="1">
      <alignment horizontal="right"/>
      <protection locked="0"/>
    </xf>
    <xf numFmtId="0" fontId="0" fillId="5" borderId="0" xfId="0" applyFill="1" applyAlignment="1" applyProtection="1">
      <alignment horizontal="left" vertical="top" indent="1"/>
      <protection locked="0"/>
    </xf>
    <xf numFmtId="0" fontId="55" fillId="0" borderId="0" xfId="0" applyFont="1" applyAlignment="1">
      <alignment horizontal="center"/>
    </xf>
    <xf numFmtId="0" fontId="0" fillId="0" borderId="6" xfId="0" applyBorder="1" applyAlignment="1">
      <alignment horizontal="right" wrapText="1"/>
    </xf>
    <xf numFmtId="0" fontId="0" fillId="0" borderId="8" xfId="0" applyBorder="1" applyAlignment="1">
      <alignment horizontal="right" wrapText="1"/>
    </xf>
    <xf numFmtId="166" fontId="6" fillId="0" borderId="6" xfId="1" applyNumberFormat="1" applyFont="1" applyFill="1" applyBorder="1" applyAlignment="1" applyProtection="1">
      <alignment horizontal="center" vertical="center" wrapText="1"/>
    </xf>
    <xf numFmtId="166" fontId="6" fillId="0" borderId="8" xfId="1" applyNumberFormat="1" applyFont="1" applyFill="1" applyBorder="1" applyAlignment="1" applyProtection="1">
      <alignment horizontal="center" vertical="center" wrapText="1"/>
    </xf>
    <xf numFmtId="0" fontId="1" fillId="0" borderId="6" xfId="0" applyFont="1" applyBorder="1" applyAlignment="1">
      <alignment horizontal="center" vertical="center" wrapText="1"/>
    </xf>
    <xf numFmtId="0" fontId="1" fillId="0" borderId="8" xfId="0" applyFont="1" applyBorder="1" applyAlignment="1">
      <alignment horizontal="center" vertical="center" wrapText="1"/>
    </xf>
    <xf numFmtId="0" fontId="1" fillId="2" borderId="2"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6" xfId="0" applyFont="1" applyFill="1" applyBorder="1" applyAlignment="1">
      <alignment horizontal="left" vertical="center" wrapText="1" indent="1"/>
    </xf>
    <xf numFmtId="0" fontId="1" fillId="2" borderId="8" xfId="0" applyFont="1" applyFill="1" applyBorder="1" applyAlignment="1">
      <alignment horizontal="left" vertical="center" wrapText="1" indent="1"/>
    </xf>
    <xf numFmtId="0" fontId="1" fillId="2" borderId="6"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5" fillId="0" borderId="3" xfId="0" applyFont="1" applyBorder="1" applyAlignment="1">
      <alignment horizontal="center" vertical="center"/>
    </xf>
    <xf numFmtId="0" fontId="15" fillId="0" borderId="9" xfId="0" applyFont="1" applyBorder="1" applyAlignment="1">
      <alignment horizontal="center" vertical="center"/>
    </xf>
    <xf numFmtId="0" fontId="48" fillId="0" borderId="0" xfId="0" applyFont="1" applyAlignment="1">
      <alignment horizontal="left" vertical="top" wrapText="1" indent="2"/>
    </xf>
    <xf numFmtId="0" fontId="15" fillId="0" borderId="2" xfId="0" applyFont="1" applyBorder="1" applyAlignment="1">
      <alignment horizontal="center" vertical="center"/>
    </xf>
    <xf numFmtId="0" fontId="15" fillId="0" borderId="10" xfId="0" applyFont="1" applyBorder="1" applyAlignment="1">
      <alignment horizontal="center" vertical="center"/>
    </xf>
    <xf numFmtId="0" fontId="15" fillId="0" borderId="11" xfId="0" applyFont="1" applyBorder="1" applyAlignment="1">
      <alignment horizontal="center" vertical="center"/>
    </xf>
    <xf numFmtId="166" fontId="64" fillId="0" borderId="9" xfId="1" quotePrefix="1" applyNumberFormat="1" applyFont="1" applyBorder="1" applyAlignment="1">
      <alignment horizontal="center" wrapText="1"/>
    </xf>
    <xf numFmtId="166" fontId="64" fillId="0" borderId="13" xfId="1" quotePrefix="1" applyNumberFormat="1" applyFont="1" applyBorder="1" applyAlignment="1">
      <alignment horizontal="center" wrapText="1"/>
    </xf>
    <xf numFmtId="166" fontId="64" fillId="0" borderId="6" xfId="1" quotePrefix="1" applyNumberFormat="1" applyFont="1" applyBorder="1" applyAlignment="1">
      <alignment horizontal="center" wrapText="1"/>
    </xf>
    <xf numFmtId="166" fontId="64" fillId="0" borderId="8" xfId="1" quotePrefix="1" applyNumberFormat="1" applyFont="1" applyBorder="1" applyAlignment="1">
      <alignment horizontal="center" wrapText="1"/>
    </xf>
    <xf numFmtId="0" fontId="12" fillId="0" borderId="0" xfId="0" applyFont="1" applyAlignment="1">
      <alignment horizontal="left" vertical="top" wrapText="1" indent="1"/>
    </xf>
    <xf numFmtId="0" fontId="55" fillId="0" borderId="0" xfId="0" applyFont="1" applyAlignment="1">
      <alignment horizontal="right"/>
    </xf>
    <xf numFmtId="0" fontId="0" fillId="9" borderId="0" xfId="0" applyFill="1" applyAlignment="1">
      <alignment horizontal="center" vertical="center" wrapText="1"/>
    </xf>
    <xf numFmtId="0" fontId="30" fillId="0" borderId="0" xfId="0" applyFont="1" applyAlignment="1">
      <alignment horizontal="center"/>
    </xf>
    <xf numFmtId="0" fontId="8" fillId="2" borderId="3" xfId="0" applyFont="1" applyFill="1" applyBorder="1" applyAlignment="1">
      <alignment horizontal="center" vertical="top" wrapText="1"/>
    </xf>
    <xf numFmtId="0" fontId="8" fillId="2" borderId="4" xfId="0" applyFont="1" applyFill="1" applyBorder="1" applyAlignment="1">
      <alignment horizontal="center" vertical="top" wrapText="1"/>
    </xf>
    <xf numFmtId="0" fontId="8" fillId="2" borderId="9" xfId="0" applyFont="1" applyFill="1" applyBorder="1" applyAlignment="1">
      <alignment horizontal="center" vertical="top" wrapText="1"/>
    </xf>
    <xf numFmtId="0" fontId="8" fillId="2" borderId="6" xfId="0" applyFont="1" applyFill="1" applyBorder="1" applyAlignment="1">
      <alignment horizontal="center" vertical="top" wrapText="1"/>
    </xf>
    <xf numFmtId="0" fontId="14" fillId="0" borderId="0" xfId="0" applyFont="1" applyAlignment="1">
      <alignment horizontal="center" wrapText="1"/>
    </xf>
    <xf numFmtId="0" fontId="14" fillId="0" borderId="0" xfId="0" applyFont="1" applyAlignment="1">
      <alignment horizontal="center"/>
    </xf>
  </cellXfs>
  <cellStyles count="3">
    <cellStyle name="Komma" xfId="1" builtinId="3"/>
    <cellStyle name="Prozent" xfId="2" builtinId="5"/>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289034</xdr:colOff>
      <xdr:row>3</xdr:row>
      <xdr:rowOff>109004</xdr:rowOff>
    </xdr:from>
    <xdr:to>
      <xdr:col>10</xdr:col>
      <xdr:colOff>41671</xdr:colOff>
      <xdr:row>9</xdr:row>
      <xdr:rowOff>0</xdr:rowOff>
    </xdr:to>
    <xdr:sp macro="" textlink="">
      <xdr:nvSpPr>
        <xdr:cNvPr id="2" name="Textfeld 1">
          <a:extLst>
            <a:ext uri="{FF2B5EF4-FFF2-40B4-BE49-F238E27FC236}">
              <a16:creationId xmlns:a16="http://schemas.microsoft.com/office/drawing/2014/main" id="{00000000-0008-0000-0000-000002000000}"/>
            </a:ext>
          </a:extLst>
        </xdr:cNvPr>
        <xdr:cNvSpPr txBox="1"/>
      </xdr:nvSpPr>
      <xdr:spPr>
        <a:xfrm>
          <a:off x="6766034" y="785607"/>
          <a:ext cx="4278654" cy="10996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CH" sz="1600" b="1" i="0" u="sng" strike="noStrike">
              <a:solidFill>
                <a:srgbClr val="000000"/>
              </a:solidFill>
              <a:effectLst/>
              <a:latin typeface="Calibri" panose="020F0502020204030204" pitchFamily="34" charset="0"/>
            </a:rPr>
            <a:t>Stellen analog BFS Spitex-Statistik</a:t>
          </a:r>
        </a:p>
        <a:p>
          <a:r>
            <a:rPr lang="de-CH" sz="1050"/>
            <a:t> </a:t>
          </a:r>
        </a:p>
        <a:p>
          <a:r>
            <a:rPr lang="de-CH" sz="1200"/>
            <a:t>Ausnahme: MitarbeiterInnen mit reiner</a:t>
          </a:r>
          <a:r>
            <a:rPr lang="de-CH" sz="1200" baseline="0"/>
            <a:t> Angehörigenpflege werden separat erfasst.</a:t>
          </a:r>
          <a:endParaRPr lang="de-CH" sz="1200"/>
        </a:p>
      </xdr:txBody>
    </xdr:sp>
    <xdr:clientData/>
  </xdr:twoCellAnchor>
  <xdr:twoCellAnchor editAs="oneCell">
    <xdr:from>
      <xdr:col>6</xdr:col>
      <xdr:colOff>299914</xdr:colOff>
      <xdr:row>6</xdr:row>
      <xdr:rowOff>183932</xdr:rowOff>
    </xdr:from>
    <xdr:to>
      <xdr:col>10</xdr:col>
      <xdr:colOff>45983</xdr:colOff>
      <xdr:row>27</xdr:row>
      <xdr:rowOff>120193</xdr:rowOff>
    </xdr:to>
    <xdr:pic>
      <xdr:nvPicPr>
        <xdr:cNvPr id="4" name="Grafik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6776914" y="1727639"/>
          <a:ext cx="4272086" cy="4004913"/>
        </a:xfrm>
        <a:prstGeom prst="rect">
          <a:avLst/>
        </a:prstGeom>
      </xdr:spPr>
    </xdr:pic>
    <xdr:clientData/>
  </xdr:twoCellAnchor>
  <xdr:twoCellAnchor>
    <xdr:from>
      <xdr:col>6</xdr:col>
      <xdr:colOff>345281</xdr:colOff>
      <xdr:row>29</xdr:row>
      <xdr:rowOff>65485</xdr:rowOff>
    </xdr:from>
    <xdr:to>
      <xdr:col>10</xdr:col>
      <xdr:colOff>41672</xdr:colOff>
      <xdr:row>32</xdr:row>
      <xdr:rowOff>83344</xdr:rowOff>
    </xdr:to>
    <xdr:sp macro="" textlink="">
      <xdr:nvSpPr>
        <xdr:cNvPr id="3" name="Textfeld 2"/>
        <xdr:cNvSpPr txBox="1"/>
      </xdr:nvSpPr>
      <xdr:spPr>
        <a:xfrm>
          <a:off x="6822281" y="6084094"/>
          <a:ext cx="4220766" cy="5893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CH" sz="1100" u="sng"/>
            <a:t>Bitte</a:t>
          </a:r>
          <a:r>
            <a:rPr lang="de-CH" sz="1100" u="sng" baseline="0"/>
            <a:t> Dokument "Anleitung für Kennzahlenset" beachten. Sie finden es auf der Homepage des Gesundheitsamtes.</a:t>
          </a:r>
          <a:endParaRPr lang="de-CH" sz="1100" u="sng"/>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1315614</xdr:colOff>
      <xdr:row>14</xdr:row>
      <xdr:rowOff>126498</xdr:rowOff>
    </xdr:from>
    <xdr:ext cx="3528274" cy="937629"/>
    <xdr:sp macro="" textlink="">
      <xdr:nvSpPr>
        <xdr:cNvPr id="2" name="Rechteck 1">
          <a:extLst>
            <a:ext uri="{FF2B5EF4-FFF2-40B4-BE49-F238E27FC236}">
              <a16:creationId xmlns:a16="http://schemas.microsoft.com/office/drawing/2014/main" id="{93ADC19B-3BA9-943A-FADD-05EE930627C7}"/>
            </a:ext>
          </a:extLst>
        </xdr:cNvPr>
        <xdr:cNvSpPr/>
      </xdr:nvSpPr>
      <xdr:spPr>
        <a:xfrm>
          <a:off x="1315614" y="3428498"/>
          <a:ext cx="3528274" cy="937629"/>
        </a:xfrm>
        <a:prstGeom prst="rect">
          <a:avLst/>
        </a:prstGeom>
        <a:noFill/>
      </xdr:spPr>
      <xdr:txBody>
        <a:bodyPr wrap="none" lIns="91440" tIns="45720" rIns="91440" bIns="45720">
          <a:spAutoFit/>
        </a:bodyPr>
        <a:lstStyle/>
        <a:p>
          <a:pPr algn="ctr"/>
          <a:r>
            <a:rPr lang="de-DE" sz="5400" b="1" cap="none" spc="0">
              <a:ln w="22225">
                <a:solidFill>
                  <a:schemeClr val="accent2"/>
                </a:solidFill>
                <a:prstDash val="solid"/>
              </a:ln>
              <a:solidFill>
                <a:schemeClr val="accent2">
                  <a:lumMod val="40000"/>
                  <a:lumOff val="60000"/>
                </a:schemeClr>
              </a:solidFill>
              <a:effectLst/>
            </a:rPr>
            <a:t>ausblenden</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1333499</xdr:colOff>
      <xdr:row>4</xdr:row>
      <xdr:rowOff>39415</xdr:rowOff>
    </xdr:from>
    <xdr:ext cx="2733429" cy="655885"/>
    <xdr:sp macro="" textlink="">
      <xdr:nvSpPr>
        <xdr:cNvPr id="3" name="Rechteck 2">
          <a:extLst>
            <a:ext uri="{FF2B5EF4-FFF2-40B4-BE49-F238E27FC236}">
              <a16:creationId xmlns:a16="http://schemas.microsoft.com/office/drawing/2014/main" id="{1CE4101A-606D-4476-B3ED-1153E3B5E5C6}"/>
            </a:ext>
          </a:extLst>
        </xdr:cNvPr>
        <xdr:cNvSpPr/>
      </xdr:nvSpPr>
      <xdr:spPr>
        <a:xfrm>
          <a:off x="1333499" y="1011622"/>
          <a:ext cx="2733429" cy="655885"/>
        </a:xfrm>
        <a:prstGeom prst="rect">
          <a:avLst/>
        </a:prstGeom>
        <a:noFill/>
      </xdr:spPr>
      <xdr:txBody>
        <a:bodyPr wrap="square" lIns="91440" tIns="45720" rIns="91440" bIns="45720">
          <a:spAutoFit/>
        </a:bodyPr>
        <a:lstStyle/>
        <a:p>
          <a:pPr algn="ctr"/>
          <a:r>
            <a:rPr lang="de-DE" sz="3600" b="1" cap="none" spc="0">
              <a:ln w="22225">
                <a:solidFill>
                  <a:schemeClr val="accent2"/>
                </a:solidFill>
                <a:prstDash val="solid"/>
              </a:ln>
              <a:solidFill>
                <a:schemeClr val="accent2">
                  <a:lumMod val="40000"/>
                  <a:lumOff val="60000"/>
                </a:schemeClr>
              </a:solidFill>
              <a:effectLst/>
            </a:rPr>
            <a:t>ausblenden</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-300733</xdr:colOff>
      <xdr:row>15</xdr:row>
      <xdr:rowOff>226510</xdr:rowOff>
    </xdr:from>
    <xdr:ext cx="11812400" cy="5164106"/>
    <xdr:sp macro="" textlink="">
      <xdr:nvSpPr>
        <xdr:cNvPr id="2" name="Rechteck 1">
          <a:extLst>
            <a:ext uri="{FF2B5EF4-FFF2-40B4-BE49-F238E27FC236}">
              <a16:creationId xmlns:a16="http://schemas.microsoft.com/office/drawing/2014/main" id="{00000000-0008-0000-0800-000002000000}"/>
            </a:ext>
          </a:extLst>
        </xdr:cNvPr>
        <xdr:cNvSpPr/>
      </xdr:nvSpPr>
      <xdr:spPr>
        <a:xfrm>
          <a:off x="-300733" y="5693860"/>
          <a:ext cx="11812400" cy="5164106"/>
        </a:xfrm>
        <a:prstGeom prst="rect">
          <a:avLst/>
        </a:prstGeom>
        <a:noFill/>
      </xdr:spPr>
      <xdr:txBody>
        <a:bodyPr wrap="none" lIns="91440" tIns="45720" rIns="91440" bIns="45720">
          <a:spAutoFit/>
        </a:bodyPr>
        <a:lstStyle/>
        <a:p>
          <a:pPr algn="ctr"/>
          <a:r>
            <a:rPr lang="de-DE" sz="54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kein</a:t>
          </a:r>
          <a:r>
            <a:rPr lang="de-DE" sz="54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 Einverlangen. Zahlen sind</a:t>
          </a:r>
          <a:br>
            <a:rPr lang="de-DE" sz="54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br>
          <a:r>
            <a:rPr lang="de-DE" sz="54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in BEBU ersichtlich und für die Uebrigen </a:t>
          </a:r>
          <a:br>
            <a:rPr lang="de-DE" sz="54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br>
          <a:r>
            <a:rPr lang="de-DE" sz="54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Institutionen nicht relevant. </a:t>
          </a:r>
          <a:br>
            <a:rPr lang="de-DE" sz="54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br>
          <a:r>
            <a:rPr lang="de-DE" sz="54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Hauptaussagen einfacher in </a:t>
          </a:r>
          <a:br>
            <a:rPr lang="de-DE" sz="54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br>
          <a:r>
            <a:rPr lang="de-DE" sz="54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Formular C (Betriebs Rg) ersichtlich.</a:t>
          </a:r>
        </a:p>
        <a:p>
          <a:pPr algn="ctr"/>
          <a:r>
            <a:rPr lang="de-DE" sz="54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24.11.25</a:t>
          </a:r>
          <a:endParaRPr lang="de-DE" sz="54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
  <dimension ref="A1:Q63"/>
  <sheetViews>
    <sheetView showGridLines="0" tabSelected="1" topLeftCell="A15" zoomScale="160" zoomScaleNormal="160" zoomScaleSheetLayoutView="145" workbookViewId="0">
      <selection activeCell="A62" sqref="A62:F63"/>
    </sheetView>
  </sheetViews>
  <sheetFormatPr baseColWidth="10" defaultRowHeight="15" x14ac:dyDescent="0.25"/>
  <cols>
    <col min="2" max="2" width="36.28515625" style="35" customWidth="1"/>
    <col min="3" max="3" width="15.140625" customWidth="1"/>
    <col min="8" max="8" width="33.5703125" customWidth="1"/>
  </cols>
  <sheetData>
    <row r="1" spans="1:17" x14ac:dyDescent="0.25">
      <c r="A1" t="s">
        <v>0</v>
      </c>
      <c r="E1" s="34" t="s">
        <v>342</v>
      </c>
    </row>
    <row r="3" spans="1:17" ht="23.25" x14ac:dyDescent="0.35">
      <c r="A3" s="26" t="str">
        <f>D2_eigene_KORE!$A$3</f>
        <v>Spitex-Kennzahlenset</v>
      </c>
      <c r="B3" s="36"/>
      <c r="C3" s="44" t="s">
        <v>135</v>
      </c>
      <c r="D3" s="358">
        <v>2025</v>
      </c>
      <c r="E3" s="359"/>
      <c r="J3" s="39"/>
      <c r="K3" s="41"/>
      <c r="L3" s="40"/>
      <c r="M3" s="40"/>
      <c r="N3" s="40"/>
      <c r="O3" s="40"/>
      <c r="P3" s="40"/>
      <c r="Q3" s="40"/>
    </row>
    <row r="4" spans="1:17" ht="33" customHeight="1" x14ac:dyDescent="0.35">
      <c r="A4" s="3" t="s">
        <v>219</v>
      </c>
      <c r="B4" s="37"/>
    </row>
    <row r="5" spans="1:17" ht="20.100000000000001" customHeight="1" x14ac:dyDescent="0.25"/>
    <row r="6" spans="1:17" ht="15.75" customHeight="1" x14ac:dyDescent="0.25">
      <c r="A6" s="172" t="s">
        <v>333</v>
      </c>
      <c r="C6" s="479"/>
      <c r="D6" s="479"/>
      <c r="E6" s="479"/>
    </row>
    <row r="7" spans="1:17" x14ac:dyDescent="0.25">
      <c r="A7" s="172" t="s">
        <v>304</v>
      </c>
      <c r="C7" s="479"/>
      <c r="D7" s="479"/>
      <c r="E7" s="479"/>
    </row>
    <row r="8" spans="1:17" s="24" customFormat="1" ht="15.75" x14ac:dyDescent="0.25">
      <c r="A8" s="340" t="s">
        <v>10</v>
      </c>
      <c r="B8" s="37"/>
      <c r="C8" s="479" t="s">
        <v>341</v>
      </c>
      <c r="D8" s="479" t="s">
        <v>334</v>
      </c>
      <c r="E8" s="479"/>
    </row>
    <row r="9" spans="1:17" x14ac:dyDescent="0.25">
      <c r="A9" s="172" t="s">
        <v>309</v>
      </c>
      <c r="C9" s="479"/>
      <c r="D9" s="479"/>
      <c r="E9" s="479"/>
    </row>
    <row r="10" spans="1:17" s="362" customFormat="1" ht="20.25" customHeight="1" x14ac:dyDescent="0.25">
      <c r="A10" s="363" t="s">
        <v>310</v>
      </c>
      <c r="B10" s="361"/>
      <c r="C10" s="480"/>
      <c r="D10" s="480"/>
      <c r="E10" s="480"/>
    </row>
    <row r="11" spans="1:17" s="24" customFormat="1" ht="15.75" x14ac:dyDescent="0.25">
      <c r="A11" s="340"/>
      <c r="B11" s="37"/>
      <c r="D11" s="360"/>
      <c r="E11" s="360"/>
    </row>
    <row r="12" spans="1:17" s="5" customFormat="1" x14ac:dyDescent="0.25">
      <c r="A12" s="272" t="s">
        <v>257</v>
      </c>
      <c r="B12" s="38"/>
      <c r="C12" s="25" t="s">
        <v>136</v>
      </c>
      <c r="D12" s="1" t="s">
        <v>137</v>
      </c>
      <c r="E12" s="1" t="s">
        <v>140</v>
      </c>
    </row>
    <row r="13" spans="1:17" x14ac:dyDescent="0.25">
      <c r="A13" s="4">
        <v>100</v>
      </c>
      <c r="B13" s="35" t="s">
        <v>164</v>
      </c>
      <c r="C13" s="23">
        <v>310</v>
      </c>
      <c r="D13" s="48"/>
      <c r="E13" s="48"/>
    </row>
    <row r="14" spans="1:17" x14ac:dyDescent="0.25">
      <c r="A14" s="4">
        <v>101</v>
      </c>
      <c r="B14" s="35" t="s">
        <v>258</v>
      </c>
      <c r="C14" s="23">
        <v>310</v>
      </c>
      <c r="D14" s="48"/>
      <c r="E14" s="49"/>
    </row>
    <row r="15" spans="1:17" x14ac:dyDescent="0.25">
      <c r="A15" s="4">
        <v>102</v>
      </c>
      <c r="B15" s="35" t="s">
        <v>259</v>
      </c>
      <c r="C15" s="23">
        <v>310</v>
      </c>
      <c r="D15" s="48"/>
      <c r="E15" s="49"/>
    </row>
    <row r="16" spans="1:17" x14ac:dyDescent="0.25">
      <c r="A16" s="4">
        <v>103</v>
      </c>
      <c r="B16" s="35" t="s">
        <v>165</v>
      </c>
      <c r="C16" s="23">
        <v>310</v>
      </c>
      <c r="D16" s="48"/>
      <c r="E16" s="49"/>
    </row>
    <row r="17" spans="1:5" x14ac:dyDescent="0.25">
      <c r="A17" s="4">
        <v>110</v>
      </c>
      <c r="B17" s="35" t="s">
        <v>166</v>
      </c>
      <c r="C17" s="23">
        <v>311</v>
      </c>
      <c r="D17" s="48"/>
      <c r="E17" s="49"/>
    </row>
    <row r="18" spans="1:5" x14ac:dyDescent="0.25">
      <c r="A18" s="4">
        <v>111</v>
      </c>
      <c r="B18" s="35" t="s">
        <v>312</v>
      </c>
      <c r="C18" s="23">
        <v>311</v>
      </c>
      <c r="D18" s="48"/>
      <c r="E18" s="49"/>
    </row>
    <row r="19" spans="1:5" x14ac:dyDescent="0.25">
      <c r="A19" s="4">
        <v>112</v>
      </c>
      <c r="B19" s="35" t="s">
        <v>313</v>
      </c>
      <c r="C19" s="23">
        <v>311</v>
      </c>
      <c r="D19" s="48"/>
      <c r="E19" s="49"/>
    </row>
    <row r="20" spans="1:5" x14ac:dyDescent="0.25">
      <c r="A20" s="4">
        <v>113</v>
      </c>
      <c r="B20" s="35" t="s">
        <v>167</v>
      </c>
      <c r="C20" s="23">
        <v>311</v>
      </c>
      <c r="D20" s="48"/>
      <c r="E20" s="49"/>
    </row>
    <row r="21" spans="1:5" x14ac:dyDescent="0.25">
      <c r="A21" s="4">
        <v>120</v>
      </c>
      <c r="B21" s="35" t="s">
        <v>311</v>
      </c>
      <c r="C21" s="23">
        <v>312</v>
      </c>
      <c r="D21" s="48"/>
      <c r="E21" s="49"/>
    </row>
    <row r="22" spans="1:5" x14ac:dyDescent="0.25">
      <c r="A22" s="4">
        <v>121</v>
      </c>
      <c r="B22" s="35" t="s">
        <v>260</v>
      </c>
      <c r="C22" s="23">
        <v>312</v>
      </c>
      <c r="D22" s="48"/>
      <c r="E22" s="49"/>
    </row>
    <row r="23" spans="1:5" x14ac:dyDescent="0.25">
      <c r="A23" s="4">
        <v>130</v>
      </c>
      <c r="B23" s="35" t="s">
        <v>261</v>
      </c>
      <c r="C23" s="23">
        <v>312</v>
      </c>
      <c r="D23" s="48"/>
      <c r="E23" s="49"/>
    </row>
    <row r="24" spans="1:5" x14ac:dyDescent="0.25">
      <c r="A24" s="4">
        <v>131</v>
      </c>
      <c r="B24" s="35" t="s">
        <v>168</v>
      </c>
      <c r="C24" s="23">
        <v>312</v>
      </c>
      <c r="D24" s="48"/>
      <c r="E24" s="49"/>
    </row>
    <row r="25" spans="1:5" x14ac:dyDescent="0.25">
      <c r="A25" s="4">
        <v>132</v>
      </c>
      <c r="B25" s="35" t="s">
        <v>262</v>
      </c>
      <c r="C25" s="23">
        <v>312</v>
      </c>
      <c r="D25" s="48"/>
      <c r="E25" s="49"/>
    </row>
    <row r="26" spans="1:5" x14ac:dyDescent="0.25">
      <c r="A26" s="4">
        <v>133</v>
      </c>
      <c r="B26" s="35" t="s">
        <v>169</v>
      </c>
      <c r="C26" s="23">
        <v>312</v>
      </c>
      <c r="D26" s="48"/>
      <c r="E26" s="49"/>
    </row>
    <row r="27" spans="1:5" x14ac:dyDescent="0.25">
      <c r="A27" s="4">
        <v>140</v>
      </c>
      <c r="B27" s="35" t="s">
        <v>170</v>
      </c>
      <c r="C27" s="23">
        <v>312</v>
      </c>
      <c r="D27" s="48"/>
      <c r="E27" s="49"/>
    </row>
    <row r="28" spans="1:5" x14ac:dyDescent="0.25">
      <c r="A28" s="4">
        <v>141</v>
      </c>
      <c r="B28" s="35" t="s">
        <v>171</v>
      </c>
      <c r="C28" s="23">
        <v>312</v>
      </c>
      <c r="D28" s="48"/>
      <c r="E28" s="49"/>
    </row>
    <row r="29" spans="1:5" x14ac:dyDescent="0.25">
      <c r="A29" s="4">
        <v>142</v>
      </c>
      <c r="B29" s="35" t="s">
        <v>263</v>
      </c>
      <c r="C29" s="23">
        <v>312</v>
      </c>
      <c r="D29" s="48"/>
      <c r="E29" s="49"/>
    </row>
    <row r="30" spans="1:5" x14ac:dyDescent="0.25">
      <c r="A30" s="4">
        <v>150</v>
      </c>
      <c r="B30" s="35" t="s">
        <v>172</v>
      </c>
      <c r="C30" s="23">
        <v>310</v>
      </c>
      <c r="D30" s="48"/>
      <c r="E30" s="49"/>
    </row>
    <row r="31" spans="1:5" x14ac:dyDescent="0.25">
      <c r="A31" s="4">
        <v>151</v>
      </c>
      <c r="B31" s="35" t="s">
        <v>173</v>
      </c>
      <c r="C31" s="23">
        <v>312</v>
      </c>
      <c r="D31" s="48"/>
      <c r="E31" s="49"/>
    </row>
    <row r="32" spans="1:5" x14ac:dyDescent="0.25">
      <c r="A32" s="4">
        <v>152</v>
      </c>
      <c r="B32" s="35" t="s">
        <v>175</v>
      </c>
      <c r="C32" s="23">
        <v>316</v>
      </c>
      <c r="D32" s="48"/>
      <c r="E32" s="49"/>
    </row>
    <row r="33" spans="1:9" x14ac:dyDescent="0.25">
      <c r="A33" s="4">
        <v>152</v>
      </c>
      <c r="B33" s="35" t="s">
        <v>176</v>
      </c>
      <c r="C33" s="23">
        <v>317</v>
      </c>
      <c r="D33" s="48"/>
      <c r="E33" s="49"/>
    </row>
    <row r="34" spans="1:9" x14ac:dyDescent="0.25">
      <c r="A34" s="4">
        <v>153</v>
      </c>
      <c r="B34" s="35" t="s">
        <v>270</v>
      </c>
      <c r="C34" s="23">
        <v>330</v>
      </c>
      <c r="D34" s="48"/>
      <c r="E34" s="49"/>
    </row>
    <row r="35" spans="1:9" x14ac:dyDescent="0.25">
      <c r="A35" s="4">
        <v>154</v>
      </c>
      <c r="B35" s="35" t="s">
        <v>174</v>
      </c>
      <c r="C35" s="23">
        <v>314</v>
      </c>
      <c r="D35" s="48"/>
      <c r="E35" s="49"/>
      <c r="F35" s="2"/>
    </row>
    <row r="36" spans="1:9" x14ac:dyDescent="0.25">
      <c r="A36" s="4">
        <v>154</v>
      </c>
      <c r="B36" s="35" t="s">
        <v>266</v>
      </c>
      <c r="C36" s="23">
        <v>319</v>
      </c>
      <c r="D36" s="48"/>
      <c r="E36" s="49"/>
      <c r="F36" s="2"/>
    </row>
    <row r="37" spans="1:9" x14ac:dyDescent="0.25">
      <c r="A37" s="4">
        <v>155</v>
      </c>
      <c r="B37" s="35" t="s">
        <v>265</v>
      </c>
      <c r="C37" s="23">
        <v>315</v>
      </c>
      <c r="D37" s="48"/>
      <c r="E37" s="49"/>
    </row>
    <row r="38" spans="1:9" x14ac:dyDescent="0.25">
      <c r="A38" s="4">
        <v>155</v>
      </c>
      <c r="B38" s="35" t="s">
        <v>181</v>
      </c>
      <c r="C38" s="23">
        <v>319</v>
      </c>
      <c r="D38" s="48"/>
      <c r="E38" s="49"/>
    </row>
    <row r="39" spans="1:9" x14ac:dyDescent="0.25">
      <c r="A39" s="4" t="s">
        <v>179</v>
      </c>
      <c r="B39" s="35" t="s">
        <v>177</v>
      </c>
      <c r="C39" s="23">
        <v>318</v>
      </c>
      <c r="D39" s="48"/>
      <c r="E39" s="49"/>
    </row>
    <row r="41" spans="1:9" x14ac:dyDescent="0.25">
      <c r="A41" s="4" t="s">
        <v>9</v>
      </c>
      <c r="D41">
        <f>SUM(D13:D40)</f>
        <v>0</v>
      </c>
      <c r="E41">
        <f>SUM(E13:E40)</f>
        <v>0</v>
      </c>
    </row>
    <row r="42" spans="1:9" x14ac:dyDescent="0.25">
      <c r="A42" s="4"/>
    </row>
    <row r="43" spans="1:9" ht="15.75" x14ac:dyDescent="0.25">
      <c r="A43" s="340" t="s">
        <v>290</v>
      </c>
    </row>
    <row r="44" spans="1:9" ht="15.75" x14ac:dyDescent="0.25">
      <c r="A44" s="24"/>
    </row>
    <row r="45" spans="1:9" s="5" customFormat="1" ht="18" customHeight="1" x14ac:dyDescent="0.25">
      <c r="A45" s="32" t="s">
        <v>292</v>
      </c>
      <c r="B45" s="337" t="s">
        <v>291</v>
      </c>
      <c r="C45" s="29" t="str">
        <f>+D12</f>
        <v>Personen</v>
      </c>
      <c r="D45" s="29" t="str">
        <f>+E12</f>
        <v>Stellen VZÄ</v>
      </c>
      <c r="F45"/>
      <c r="G45"/>
      <c r="H45"/>
      <c r="I45"/>
    </row>
    <row r="46" spans="1:9" x14ac:dyDescent="0.25">
      <c r="A46" s="30" t="str">
        <f>MID(B46,1,3)</f>
        <v>310</v>
      </c>
      <c r="B46" s="27" t="s">
        <v>13</v>
      </c>
      <c r="C46" s="31">
        <f>SUMIF($C$13:C$39,A46,$D$13:$D$39)</f>
        <v>0</v>
      </c>
      <c r="D46" s="31">
        <f t="shared" ref="D46:D57" si="0">SUMIF($C$13:$C$39,$A46,$E$13:$E$39)</f>
        <v>0</v>
      </c>
    </row>
    <row r="47" spans="1:9" x14ac:dyDescent="0.25">
      <c r="A47" s="30" t="str">
        <f t="shared" ref="A47:A57" si="1">MID(B47,1,3)</f>
        <v>311</v>
      </c>
      <c r="B47" s="27" t="s">
        <v>138</v>
      </c>
      <c r="C47" s="31">
        <f>SUMIF($C$13:C$39,A47,$D$13:$D$39)</f>
        <v>0</v>
      </c>
      <c r="D47" s="31">
        <f t="shared" si="0"/>
        <v>0</v>
      </c>
    </row>
    <row r="48" spans="1:9" x14ac:dyDescent="0.25">
      <c r="A48" s="30" t="str">
        <f t="shared" si="1"/>
        <v>312</v>
      </c>
      <c r="B48" s="27" t="s">
        <v>264</v>
      </c>
      <c r="C48" s="31">
        <f>SUMIF($C$13:C$39,A48,$D$13:$D$39)</f>
        <v>0</v>
      </c>
      <c r="D48" s="31">
        <f t="shared" si="0"/>
        <v>0</v>
      </c>
      <c r="F48" s="5"/>
      <c r="G48" s="5"/>
      <c r="H48" s="5"/>
      <c r="I48" s="5"/>
    </row>
    <row r="49" spans="1:6" x14ac:dyDescent="0.25">
      <c r="A49" s="30" t="str">
        <f t="shared" si="1"/>
        <v>313</v>
      </c>
      <c r="B49" s="27" t="s">
        <v>139</v>
      </c>
      <c r="C49" s="31">
        <f>SUMIF($C$13:C$39,A49,$D$13:$D$39)</f>
        <v>0</v>
      </c>
      <c r="D49" s="31">
        <f t="shared" si="0"/>
        <v>0</v>
      </c>
    </row>
    <row r="50" spans="1:6" x14ac:dyDescent="0.25">
      <c r="A50" s="30" t="str">
        <f t="shared" si="1"/>
        <v>314</v>
      </c>
      <c r="B50" s="27" t="s">
        <v>14</v>
      </c>
      <c r="C50" s="31">
        <f>SUMIF($C$13:C$39,A50,$D$13:$D$39)</f>
        <v>0</v>
      </c>
      <c r="D50" s="31">
        <f t="shared" si="0"/>
        <v>0</v>
      </c>
    </row>
    <row r="51" spans="1:6" x14ac:dyDescent="0.25">
      <c r="A51" s="30">
        <v>414</v>
      </c>
      <c r="B51" s="27" t="s">
        <v>242</v>
      </c>
      <c r="C51" s="31">
        <f>SUMIF($C$13:C$39,A51,$D$13:$D$39)</f>
        <v>0</v>
      </c>
      <c r="D51" s="31">
        <f t="shared" si="0"/>
        <v>0</v>
      </c>
    </row>
    <row r="52" spans="1:6" x14ac:dyDescent="0.25">
      <c r="A52" s="30" t="str">
        <f t="shared" si="1"/>
        <v>315</v>
      </c>
      <c r="B52" s="27" t="s">
        <v>15</v>
      </c>
      <c r="C52" s="31">
        <f>SUMIF($C$13:C$39,A52,$D$13:$D$39)</f>
        <v>0</v>
      </c>
      <c r="D52" s="31">
        <f t="shared" si="0"/>
        <v>0</v>
      </c>
    </row>
    <row r="53" spans="1:6" x14ac:dyDescent="0.25">
      <c r="A53" s="30">
        <v>415</v>
      </c>
      <c r="B53" s="27" t="s">
        <v>243</v>
      </c>
      <c r="C53" s="31">
        <f>SUMIF($C$13:C$39,A53,$D$13:$D$39)</f>
        <v>0</v>
      </c>
      <c r="D53" s="31">
        <f t="shared" si="0"/>
        <v>0</v>
      </c>
    </row>
    <row r="54" spans="1:6" x14ac:dyDescent="0.25">
      <c r="A54" s="30" t="str">
        <f t="shared" si="1"/>
        <v>316</v>
      </c>
      <c r="B54" s="27" t="s">
        <v>16</v>
      </c>
      <c r="C54" s="31">
        <f>SUMIF($C$13:C$39,A54,$D$13:$D$39)</f>
        <v>0</v>
      </c>
      <c r="D54" s="31">
        <f t="shared" si="0"/>
        <v>0</v>
      </c>
    </row>
    <row r="55" spans="1:6" x14ac:dyDescent="0.25">
      <c r="A55" s="30" t="str">
        <f t="shared" si="1"/>
        <v>317</v>
      </c>
      <c r="B55" s="27" t="s">
        <v>17</v>
      </c>
      <c r="C55" s="31">
        <f>SUMIF($C$13:C$39,A55,$D$13:$D$39)</f>
        <v>0</v>
      </c>
      <c r="D55" s="31">
        <f t="shared" si="0"/>
        <v>0</v>
      </c>
    </row>
    <row r="56" spans="1:6" x14ac:dyDescent="0.25">
      <c r="A56" s="30" t="str">
        <f t="shared" si="1"/>
        <v>318</v>
      </c>
      <c r="B56" s="27" t="s">
        <v>18</v>
      </c>
      <c r="C56" s="31">
        <f>SUMIF($C$13:C$39,A56,$D$13:$D$39)</f>
        <v>0</v>
      </c>
      <c r="D56" s="31">
        <f t="shared" si="0"/>
        <v>0</v>
      </c>
    </row>
    <row r="57" spans="1:6" x14ac:dyDescent="0.25">
      <c r="A57" s="30" t="str">
        <f t="shared" si="1"/>
        <v>319</v>
      </c>
      <c r="B57" s="27" t="s">
        <v>267</v>
      </c>
      <c r="C57" s="31">
        <f>SUMIF($C$13:C$39,A57,$D$13:$D$39)</f>
        <v>0</v>
      </c>
      <c r="D57" s="31">
        <f t="shared" si="0"/>
        <v>0</v>
      </c>
    </row>
    <row r="58" spans="1:6" x14ac:dyDescent="0.25">
      <c r="A58" s="30"/>
      <c r="B58" s="27"/>
      <c r="C58" s="31"/>
      <c r="D58" s="31"/>
    </row>
    <row r="59" spans="1:6" x14ac:dyDescent="0.25">
      <c r="A59" s="32" t="s">
        <v>1</v>
      </c>
      <c r="B59" s="28"/>
      <c r="C59" s="28">
        <f>SUM(C46:C58)</f>
        <v>0</v>
      </c>
      <c r="D59" s="28">
        <f>SUM(D46:D58)</f>
        <v>0</v>
      </c>
    </row>
    <row r="61" spans="1:6" x14ac:dyDescent="0.25">
      <c r="A61" s="172" t="s">
        <v>294</v>
      </c>
    </row>
    <row r="62" spans="1:6" x14ac:dyDescent="0.25">
      <c r="A62" s="478"/>
      <c r="B62" s="478"/>
      <c r="C62" s="478"/>
      <c r="D62" s="478"/>
      <c r="E62" s="478"/>
      <c r="F62" s="478"/>
    </row>
    <row r="63" spans="1:6" x14ac:dyDescent="0.25">
      <c r="A63" s="478"/>
      <c r="B63" s="478"/>
      <c r="C63" s="478"/>
      <c r="D63" s="478"/>
      <c r="E63" s="478"/>
      <c r="F63" s="478"/>
    </row>
  </sheetData>
  <sheetProtection password="FA05" sheet="1" selectLockedCells="1"/>
  <mergeCells count="6">
    <mergeCell ref="A62:F63"/>
    <mergeCell ref="C6:E6"/>
    <mergeCell ref="C7:E7"/>
    <mergeCell ref="C8:E8"/>
    <mergeCell ref="C9:E9"/>
    <mergeCell ref="C10:E10"/>
  </mergeCells>
  <pageMargins left="0.70866141732283472" right="0.70866141732283472" top="0.59055118110236227" bottom="0.78740157480314965" header="0.31496062992125984" footer="0.31496062992125984"/>
  <pageSetup paperSize="9" scale="77" orientation="portrait" r:id="rId1"/>
  <headerFooter>
    <oddFooter>&amp;L&amp;D&amp;R&amp;F/&amp;A</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
  <dimension ref="A3:G12"/>
  <sheetViews>
    <sheetView view="pageBreakPreview" zoomScale="60" zoomScaleNormal="100" workbookViewId="0">
      <selection activeCell="L15" sqref="L15"/>
    </sheetView>
  </sheetViews>
  <sheetFormatPr baseColWidth="10" defaultRowHeight="15" x14ac:dyDescent="0.25"/>
  <cols>
    <col min="1" max="1" width="29.140625" style="6" customWidth="1"/>
    <col min="2" max="2" width="13.7109375" style="6" customWidth="1"/>
    <col min="3" max="5" width="11.42578125" style="6"/>
    <col min="6" max="6" width="13.7109375" style="6" customWidth="1"/>
    <col min="7" max="16384" width="11.42578125" style="6"/>
  </cols>
  <sheetData>
    <row r="3" spans="1:7" x14ac:dyDescent="0.25">
      <c r="A3" s="6" t="s">
        <v>314</v>
      </c>
    </row>
    <row r="5" spans="1:7" ht="30" x14ac:dyDescent="0.25">
      <c r="A5" s="385"/>
      <c r="B5" s="386" t="s">
        <v>316</v>
      </c>
      <c r="C5" s="386" t="s">
        <v>317</v>
      </c>
      <c r="D5" s="386" t="s">
        <v>318</v>
      </c>
      <c r="E5" s="386" t="s">
        <v>319</v>
      </c>
      <c r="F5" s="386" t="s">
        <v>320</v>
      </c>
      <c r="G5" s="386" t="s">
        <v>1</v>
      </c>
    </row>
    <row r="6" spans="1:7" ht="40.5" customHeight="1" x14ac:dyDescent="0.25">
      <c r="A6" s="290" t="s">
        <v>315</v>
      </c>
      <c r="B6" s="288"/>
      <c r="C6" s="288"/>
      <c r="D6" s="288">
        <v>19</v>
      </c>
      <c r="E6" s="288">
        <v>113</v>
      </c>
      <c r="F6" s="288">
        <v>309</v>
      </c>
      <c r="G6" s="288">
        <f>SUM(B6:F6)</f>
        <v>441</v>
      </c>
    </row>
    <row r="7" spans="1:7" x14ac:dyDescent="0.25">
      <c r="A7" s="290" t="s">
        <v>321</v>
      </c>
      <c r="B7" s="288"/>
      <c r="C7" s="288"/>
      <c r="D7" s="288">
        <v>282</v>
      </c>
      <c r="E7" s="288">
        <v>1635</v>
      </c>
      <c r="F7" s="288">
        <v>5290</v>
      </c>
      <c r="G7" s="288">
        <f t="shared" ref="G7:G12" si="0">SUM(B7:F7)</f>
        <v>7207</v>
      </c>
    </row>
    <row r="8" spans="1:7" x14ac:dyDescent="0.25">
      <c r="A8" s="290" t="s">
        <v>322</v>
      </c>
      <c r="B8" s="288"/>
      <c r="C8" s="288"/>
      <c r="D8" s="387">
        <v>17</v>
      </c>
      <c r="E8" s="288">
        <v>1636</v>
      </c>
      <c r="F8" s="288">
        <v>9696</v>
      </c>
      <c r="G8" s="288">
        <f t="shared" si="0"/>
        <v>11349</v>
      </c>
    </row>
    <row r="9" spans="1:7" x14ac:dyDescent="0.25">
      <c r="A9" s="290" t="s">
        <v>323</v>
      </c>
      <c r="B9" s="388"/>
      <c r="C9" s="388"/>
      <c r="D9" s="388">
        <v>0</v>
      </c>
      <c r="E9" s="388"/>
      <c r="F9" s="388"/>
      <c r="G9" s="388"/>
    </row>
    <row r="10" spans="1:7" s="391" customFormat="1" x14ac:dyDescent="0.25">
      <c r="A10" s="389" t="s">
        <v>2</v>
      </c>
      <c r="B10" s="390">
        <f t="shared" ref="B10:C10" si="1">SUM(B6:B9)</f>
        <v>0</v>
      </c>
      <c r="C10" s="390">
        <f t="shared" si="1"/>
        <v>0</v>
      </c>
      <c r="D10" s="390">
        <f>SUM(D6:D9)</f>
        <v>318</v>
      </c>
      <c r="E10" s="390">
        <f t="shared" ref="E10:F10" si="2">SUM(E6:E9)</f>
        <v>3384</v>
      </c>
      <c r="F10" s="390">
        <f t="shared" si="2"/>
        <v>15295</v>
      </c>
      <c r="G10" s="390">
        <f t="shared" si="0"/>
        <v>18997</v>
      </c>
    </row>
    <row r="11" spans="1:7" ht="24" customHeight="1" x14ac:dyDescent="0.25">
      <c r="A11" s="389" t="s">
        <v>122</v>
      </c>
      <c r="B11" s="288"/>
      <c r="C11" s="288"/>
      <c r="D11" s="288">
        <v>547</v>
      </c>
      <c r="E11" s="288">
        <v>2857</v>
      </c>
      <c r="F11" s="288">
        <v>13756</v>
      </c>
      <c r="G11" s="288">
        <f t="shared" si="0"/>
        <v>17160</v>
      </c>
    </row>
    <row r="12" spans="1:7" s="391" customFormat="1" ht="15.75" thickBot="1" x14ac:dyDescent="0.3">
      <c r="A12" s="389" t="s">
        <v>324</v>
      </c>
      <c r="B12" s="392">
        <f t="shared" ref="B12:C12" si="3">+B10+B11</f>
        <v>0</v>
      </c>
      <c r="C12" s="392">
        <f t="shared" si="3"/>
        <v>0</v>
      </c>
      <c r="D12" s="392">
        <f>+D10+D11</f>
        <v>865</v>
      </c>
      <c r="E12" s="392">
        <f t="shared" ref="E12:F12" si="4">+E10+E11</f>
        <v>6241</v>
      </c>
      <c r="F12" s="392">
        <f t="shared" si="4"/>
        <v>29051</v>
      </c>
      <c r="G12" s="392">
        <f t="shared" si="0"/>
        <v>36157</v>
      </c>
    </row>
  </sheetData>
  <pageMargins left="0.7" right="0.7" top="0.78740157499999996" bottom="0.78740157499999996" header="0.3" footer="0.3"/>
  <pageSetup paperSize="9" scale="85"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3"/>
  <dimension ref="A1:L93"/>
  <sheetViews>
    <sheetView showGridLines="0" topLeftCell="A4" zoomScale="120" zoomScaleNormal="120" zoomScaleSheetLayoutView="120" workbookViewId="0">
      <selection activeCell="D16" sqref="D16"/>
    </sheetView>
  </sheetViews>
  <sheetFormatPr baseColWidth="10" defaultRowHeight="15" x14ac:dyDescent="0.25"/>
  <cols>
    <col min="1" max="1" width="52.7109375" customWidth="1"/>
    <col min="2" max="2" width="1.42578125" hidden="1" customWidth="1"/>
    <col min="3" max="3" width="11" customWidth="1"/>
    <col min="4" max="4" width="14.140625" customWidth="1"/>
    <col min="5" max="5" width="13" customWidth="1"/>
    <col min="6" max="6" width="10.5703125" customWidth="1"/>
    <col min="7" max="7" width="13.28515625" customWidth="1"/>
    <col min="8" max="8" width="13.7109375" customWidth="1"/>
    <col min="9" max="9" width="12.5703125" style="50" customWidth="1"/>
    <col min="10" max="10" width="12.140625" customWidth="1"/>
    <col min="11" max="11" width="24.140625" customWidth="1"/>
    <col min="12" max="12" width="7.42578125" customWidth="1"/>
  </cols>
  <sheetData>
    <row r="1" spans="1:10" x14ac:dyDescent="0.25">
      <c r="A1" s="132" t="s">
        <v>0</v>
      </c>
      <c r="J1" s="34" t="str">
        <f>+Version</f>
        <v>Version 2025/2</v>
      </c>
    </row>
    <row r="2" spans="1:10" x14ac:dyDescent="0.25">
      <c r="A2" s="338"/>
    </row>
    <row r="3" spans="1:10" ht="23.25" x14ac:dyDescent="0.35">
      <c r="A3" s="328" t="str">
        <f>D2_eigene_KORE!$A$3</f>
        <v>Spitex-Kennzahlenset</v>
      </c>
      <c r="B3" s="51"/>
      <c r="C3" s="51"/>
      <c r="G3" s="39"/>
    </row>
    <row r="4" spans="1:10" s="57" customFormat="1" ht="23.25" x14ac:dyDescent="0.35">
      <c r="A4" s="339"/>
      <c r="B4" s="55"/>
      <c r="C4" s="55"/>
      <c r="D4" s="56"/>
      <c r="H4" s="58"/>
      <c r="I4" s="59"/>
    </row>
    <row r="5" spans="1:10" ht="21" x14ac:dyDescent="0.35">
      <c r="A5" s="60" t="s">
        <v>222</v>
      </c>
      <c r="D5" s="53"/>
    </row>
    <row r="6" spans="1:10" ht="20.100000000000001" customHeight="1" x14ac:dyDescent="0.25">
      <c r="A6" s="2"/>
      <c r="D6" s="53"/>
      <c r="H6" s="5"/>
    </row>
    <row r="7" spans="1:10" s="5" customFormat="1" ht="18.75" x14ac:dyDescent="0.3">
      <c r="A7" s="341" t="s">
        <v>10</v>
      </c>
      <c r="B7" s="342"/>
      <c r="C7" s="348" t="str">
        <f>'A_ Personal'!C8</f>
        <v xml:space="preserve"> </v>
      </c>
      <c r="F7" s="482" t="str">
        <f>"ZSR "&amp;ZSR</f>
        <v xml:space="preserve">ZSR </v>
      </c>
      <c r="G7" s="482"/>
      <c r="I7" s="343"/>
    </row>
    <row r="8" spans="1:10" s="5" customFormat="1" ht="18.75" x14ac:dyDescent="0.3">
      <c r="A8" s="341" t="s">
        <v>11</v>
      </c>
      <c r="B8" s="342"/>
      <c r="C8" s="349">
        <f>akjahr</f>
        <v>2025</v>
      </c>
      <c r="I8" s="343"/>
    </row>
    <row r="9" spans="1:10" s="61" customFormat="1" ht="36.75" customHeight="1" x14ac:dyDescent="0.35">
      <c r="A9" s="60" t="s">
        <v>226</v>
      </c>
      <c r="B9" s="3"/>
      <c r="C9" s="3"/>
      <c r="D9" s="3"/>
      <c r="H9" s="62"/>
      <c r="I9" s="63"/>
    </row>
    <row r="10" spans="1:10" ht="15.75" x14ac:dyDescent="0.25">
      <c r="A10" s="64" t="s">
        <v>117</v>
      </c>
      <c r="B10" s="65"/>
    </row>
    <row r="11" spans="1:10" ht="18.75" x14ac:dyDescent="0.3">
      <c r="A11" s="64" t="s">
        <v>116</v>
      </c>
      <c r="B11" s="66"/>
      <c r="C11" s="67"/>
      <c r="D11" s="68"/>
    </row>
    <row r="12" spans="1:10" s="66" customFormat="1" ht="33.75" customHeight="1" x14ac:dyDescent="0.25">
      <c r="A12" s="64" t="s">
        <v>108</v>
      </c>
      <c r="I12" s="69"/>
    </row>
    <row r="13" spans="1:10" s="66" customFormat="1" ht="33.75" customHeight="1" x14ac:dyDescent="0.25">
      <c r="A13" s="451" t="s">
        <v>255</v>
      </c>
      <c r="B13" s="70"/>
      <c r="C13" s="70"/>
      <c r="D13" s="70"/>
      <c r="I13" s="69"/>
    </row>
    <row r="14" spans="1:10" ht="30.75" customHeight="1" x14ac:dyDescent="0.25">
      <c r="A14" s="492" t="s">
        <v>188</v>
      </c>
      <c r="B14" s="71"/>
      <c r="C14" s="494" t="s">
        <v>111</v>
      </c>
      <c r="D14" s="494" t="s">
        <v>194</v>
      </c>
      <c r="E14" s="494" t="s">
        <v>308</v>
      </c>
      <c r="F14" s="494" t="s">
        <v>19</v>
      </c>
      <c r="G14" s="494" t="s">
        <v>185</v>
      </c>
      <c r="H14" s="2"/>
      <c r="I14" s="69"/>
    </row>
    <row r="15" spans="1:10" ht="15" customHeight="1" x14ac:dyDescent="0.25">
      <c r="A15" s="493"/>
      <c r="B15" s="72"/>
      <c r="C15" s="495"/>
      <c r="D15" s="495"/>
      <c r="E15" s="495"/>
      <c r="F15" s="495"/>
      <c r="G15" s="495"/>
    </row>
    <row r="16" spans="1:10" x14ac:dyDescent="0.25">
      <c r="A16" s="73" t="s">
        <v>288</v>
      </c>
      <c r="B16">
        <v>1</v>
      </c>
      <c r="C16" s="74">
        <f>'A_ Personal'!D46</f>
        <v>0</v>
      </c>
      <c r="D16" s="382"/>
      <c r="E16" s="383"/>
      <c r="F16" s="75">
        <f t="shared" ref="F16:F28" si="0">IFERROR(E16/D16,0)</f>
        <v>0</v>
      </c>
      <c r="G16" s="76">
        <f>IFERROR(ROUND(F16/$F$27,3),0)</f>
        <v>0</v>
      </c>
    </row>
    <row r="17" spans="1:10" x14ac:dyDescent="0.25">
      <c r="A17" s="77" t="s">
        <v>130</v>
      </c>
      <c r="B17">
        <v>1</v>
      </c>
      <c r="C17" s="78">
        <f>'A_ Personal'!D47</f>
        <v>0</v>
      </c>
      <c r="D17" s="382"/>
      <c r="E17" s="383"/>
      <c r="F17" s="79">
        <f t="shared" si="0"/>
        <v>0</v>
      </c>
      <c r="G17" s="364">
        <f t="shared" ref="G17:G26" si="1">IFERROR(ROUND(F17/$F$27,3),0)</f>
        <v>0</v>
      </c>
    </row>
    <row r="18" spans="1:10" x14ac:dyDescent="0.25">
      <c r="A18" s="73" t="s">
        <v>289</v>
      </c>
      <c r="B18">
        <v>2</v>
      </c>
      <c r="C18" s="74">
        <f>'A_ Personal'!D48</f>
        <v>0</v>
      </c>
      <c r="D18" s="382"/>
      <c r="E18" s="383"/>
      <c r="F18" s="75">
        <f t="shared" si="0"/>
        <v>0</v>
      </c>
      <c r="G18" s="76">
        <f t="shared" si="1"/>
        <v>0</v>
      </c>
    </row>
    <row r="19" spans="1:10" x14ac:dyDescent="0.25">
      <c r="A19" s="77" t="s">
        <v>132</v>
      </c>
      <c r="B19">
        <v>3</v>
      </c>
      <c r="C19" s="78">
        <f>'A_ Personal'!D49</f>
        <v>0</v>
      </c>
      <c r="D19" s="382"/>
      <c r="E19" s="383"/>
      <c r="F19" s="79">
        <f t="shared" si="0"/>
        <v>0</v>
      </c>
      <c r="G19" s="364">
        <f t="shared" si="1"/>
        <v>0</v>
      </c>
    </row>
    <row r="20" spans="1:10" x14ac:dyDescent="0.25">
      <c r="A20" s="80" t="s">
        <v>14</v>
      </c>
      <c r="B20">
        <v>3</v>
      </c>
      <c r="C20" s="74">
        <f>'A_ Personal'!D50</f>
        <v>0</v>
      </c>
      <c r="D20" s="382"/>
      <c r="E20" s="383"/>
      <c r="F20" s="75">
        <f t="shared" si="0"/>
        <v>0</v>
      </c>
      <c r="G20" s="76">
        <f t="shared" si="1"/>
        <v>0</v>
      </c>
    </row>
    <row r="21" spans="1:10" x14ac:dyDescent="0.25">
      <c r="A21" s="81" t="s">
        <v>15</v>
      </c>
      <c r="B21">
        <v>4</v>
      </c>
      <c r="C21" s="78">
        <f>'A_ Personal'!D52</f>
        <v>0</v>
      </c>
      <c r="D21" s="382"/>
      <c r="E21" s="383"/>
      <c r="F21" s="79">
        <f t="shared" si="0"/>
        <v>0</v>
      </c>
      <c r="G21" s="364">
        <f t="shared" si="1"/>
        <v>0</v>
      </c>
    </row>
    <row r="22" spans="1:10" x14ac:dyDescent="0.25">
      <c r="A22" s="73" t="s">
        <v>16</v>
      </c>
      <c r="B22">
        <v>5</v>
      </c>
      <c r="C22" s="74">
        <f>'A_ Personal'!D54</f>
        <v>0</v>
      </c>
      <c r="D22" s="382"/>
      <c r="E22" s="383"/>
      <c r="F22" s="75">
        <f t="shared" si="0"/>
        <v>0</v>
      </c>
      <c r="G22" s="76">
        <f t="shared" si="1"/>
        <v>0</v>
      </c>
    </row>
    <row r="23" spans="1:10" x14ac:dyDescent="0.25">
      <c r="A23" s="77" t="s">
        <v>17</v>
      </c>
      <c r="B23">
        <v>5</v>
      </c>
      <c r="C23" s="78">
        <f>'A_ Personal'!D55</f>
        <v>0</v>
      </c>
      <c r="D23" s="382"/>
      <c r="E23" s="383"/>
      <c r="F23" s="79">
        <f t="shared" si="0"/>
        <v>0</v>
      </c>
      <c r="G23" s="364">
        <f t="shared" si="1"/>
        <v>0</v>
      </c>
    </row>
    <row r="24" spans="1:10" x14ac:dyDescent="0.25">
      <c r="A24" s="73" t="s">
        <v>18</v>
      </c>
      <c r="B24">
        <v>4</v>
      </c>
      <c r="C24" s="74">
        <f>'A_ Personal'!D56</f>
        <v>0</v>
      </c>
      <c r="D24" s="382"/>
      <c r="E24" s="383"/>
      <c r="F24" s="75">
        <f t="shared" si="0"/>
        <v>0</v>
      </c>
      <c r="G24" s="76">
        <f t="shared" si="1"/>
        <v>0</v>
      </c>
    </row>
    <row r="25" spans="1:10" x14ac:dyDescent="0.25">
      <c r="A25" s="77" t="s">
        <v>267</v>
      </c>
      <c r="B25" s="365">
        <v>7</v>
      </c>
      <c r="C25" s="78">
        <f>'A_ Personal'!D57</f>
        <v>0</v>
      </c>
      <c r="D25" s="382"/>
      <c r="E25" s="383"/>
      <c r="F25" s="79"/>
      <c r="G25" s="364">
        <f t="shared" si="1"/>
        <v>0</v>
      </c>
    </row>
    <row r="26" spans="1:10" ht="16.5" customHeight="1" x14ac:dyDescent="0.25">
      <c r="A26" s="73" t="s">
        <v>118</v>
      </c>
      <c r="B26">
        <v>6</v>
      </c>
      <c r="C26" s="33"/>
      <c r="D26" s="382"/>
      <c r="E26" s="383"/>
      <c r="F26" s="277">
        <f t="shared" si="0"/>
        <v>0</v>
      </c>
      <c r="G26" s="76">
        <f t="shared" si="1"/>
        <v>0</v>
      </c>
    </row>
    <row r="27" spans="1:10" ht="22.5" customHeight="1" x14ac:dyDescent="0.25">
      <c r="A27" s="366" t="s">
        <v>155</v>
      </c>
      <c r="B27" s="366"/>
      <c r="C27" s="367">
        <f>SUM(C16:C26)</f>
        <v>0</v>
      </c>
      <c r="D27" s="368">
        <f>SUM(D15:D26)</f>
        <v>0</v>
      </c>
      <c r="E27" s="368">
        <f>SUM(E15:E26)</f>
        <v>0</v>
      </c>
      <c r="F27" s="369">
        <f>IFERROR(ROUND(E27/D27,2),0)</f>
        <v>0</v>
      </c>
      <c r="G27" s="370"/>
      <c r="H27" s="83" t="str">
        <f>+IF(E27=Basis!B14+Basis!B18+Basis!C18,"","Differenz zu Angabe in Formular C")</f>
        <v/>
      </c>
      <c r="J27" s="273" t="str">
        <f>IF(E27=Basis!B14+Basis!B18+Basis!C18,"",B_Schlüssel!E27-Basis!B14)</f>
        <v/>
      </c>
    </row>
    <row r="28" spans="1:10" ht="21.75" customHeight="1" x14ac:dyDescent="0.25">
      <c r="A28" s="371" t="s">
        <v>183</v>
      </c>
      <c r="B28" s="217"/>
      <c r="C28" s="217"/>
      <c r="D28" s="372"/>
      <c r="E28" s="373">
        <f>C_Betriebsrechnung!D14</f>
        <v>0</v>
      </c>
      <c r="F28" s="277">
        <f t="shared" si="0"/>
        <v>0</v>
      </c>
      <c r="G28" s="374"/>
      <c r="H28" s="2"/>
    </row>
    <row r="29" spans="1:10" s="23" customFormat="1" ht="28.5" customHeight="1" x14ac:dyDescent="0.25">
      <c r="A29" s="375" t="s">
        <v>156</v>
      </c>
      <c r="B29" s="376"/>
      <c r="C29" s="377">
        <f>+C27+C28</f>
        <v>0</v>
      </c>
      <c r="D29" s="378">
        <f>+D27+D28</f>
        <v>0</v>
      </c>
      <c r="E29" s="378">
        <f>+E27+E28</f>
        <v>0</v>
      </c>
      <c r="F29" s="379">
        <f>IFERROR(ROUND(E29/D29,2),0)</f>
        <v>0</v>
      </c>
      <c r="G29" s="380"/>
      <c r="I29" s="85"/>
    </row>
    <row r="31" spans="1:10" ht="27" customHeight="1" x14ac:dyDescent="0.25">
      <c r="A31" s="356" t="s">
        <v>223</v>
      </c>
      <c r="B31" s="86"/>
      <c r="C31" s="86"/>
      <c r="D31" s="86"/>
      <c r="E31" s="86"/>
      <c r="F31" s="86"/>
      <c r="G31" s="86"/>
      <c r="H31" s="86"/>
      <c r="I31" s="86"/>
    </row>
    <row r="32" spans="1:10" s="23" customFormat="1" ht="28.5" customHeight="1" x14ac:dyDescent="0.25">
      <c r="A32" s="87"/>
      <c r="B32" s="88"/>
      <c r="C32" s="89" t="s">
        <v>189</v>
      </c>
      <c r="D32" s="88"/>
      <c r="E32" s="489" t="s">
        <v>159</v>
      </c>
      <c r="F32" s="490"/>
      <c r="G32" s="490"/>
      <c r="H32" s="490"/>
      <c r="I32" s="490"/>
      <c r="J32" s="491"/>
    </row>
    <row r="33" spans="1:12" s="96" customFormat="1" ht="36" x14ac:dyDescent="0.25">
      <c r="A33" s="90"/>
      <c r="B33" s="91"/>
      <c r="C33" s="92"/>
      <c r="D33" s="91"/>
      <c r="E33" s="93" t="s">
        <v>133</v>
      </c>
      <c r="F33" s="93" t="s">
        <v>134</v>
      </c>
      <c r="G33" s="94" t="s">
        <v>186</v>
      </c>
      <c r="H33" s="95" t="s">
        <v>269</v>
      </c>
      <c r="I33" s="95" t="s">
        <v>158</v>
      </c>
      <c r="J33" s="95" t="s">
        <v>268</v>
      </c>
      <c r="L33" s="97"/>
    </row>
    <row r="34" spans="1:12" x14ac:dyDescent="0.25">
      <c r="A34" s="98" t="s">
        <v>112</v>
      </c>
      <c r="B34" s="99"/>
      <c r="C34" s="100">
        <f>SUMIF(B_Schlüssel!$B$16:$B$26,1,B_Schlüssel!D$16:D$26)</f>
        <v>0</v>
      </c>
      <c r="D34" s="101"/>
      <c r="E34" s="150"/>
      <c r="F34" s="150"/>
      <c r="G34" s="150"/>
      <c r="H34" s="150"/>
      <c r="I34" s="150"/>
      <c r="J34" s="150"/>
      <c r="K34" s="102" t="str">
        <f>+IF(C34=SUM(E34:J34),"","Bitte Differenz bereinigen")</f>
        <v/>
      </c>
      <c r="L34" s="103" t="str">
        <f>IF(C34-SUM(E6:J34)=0,"",C34-SUM(E34:J34))</f>
        <v/>
      </c>
    </row>
    <row r="35" spans="1:12" x14ac:dyDescent="0.25">
      <c r="A35" s="104" t="s">
        <v>113</v>
      </c>
      <c r="B35" s="105"/>
      <c r="C35" s="106">
        <f>SUMIF(B_Schlüssel!$B$16:$B$26,2,B_Schlüssel!D$16:D$26)</f>
        <v>0</v>
      </c>
      <c r="D35" s="107"/>
      <c r="E35" s="150"/>
      <c r="F35" s="150"/>
      <c r="G35" s="150"/>
      <c r="H35" s="150"/>
      <c r="I35" s="150"/>
      <c r="J35" s="150"/>
      <c r="K35" s="102" t="str">
        <f t="shared" ref="K35:K40" si="2">+IF(C35=SUM(E35:J35),"","Bitte Differenz bereinigen")</f>
        <v/>
      </c>
      <c r="L35" s="103" t="str">
        <f>IF(C35-SUM(E7:J35)=0,"",C35-SUM(E35:J35))</f>
        <v/>
      </c>
    </row>
    <row r="36" spans="1:12" x14ac:dyDescent="0.25">
      <c r="A36" s="98" t="s">
        <v>114</v>
      </c>
      <c r="B36" s="99"/>
      <c r="C36" s="100">
        <f>SUMIF(B_Schlüssel!$B$16:$B$26,3,B_Schlüssel!D$16:D$26)</f>
        <v>0</v>
      </c>
      <c r="D36" s="101"/>
      <c r="E36" s="150"/>
      <c r="F36" s="150"/>
      <c r="G36" s="150"/>
      <c r="H36" s="150"/>
      <c r="I36" s="150"/>
      <c r="J36" s="150"/>
      <c r="K36" s="102" t="str">
        <f t="shared" si="2"/>
        <v/>
      </c>
      <c r="L36" s="103" t="str">
        <f>IF(C36-SUM(E4:J36)=0,"",C36-SUM(E36:J36))</f>
        <v/>
      </c>
    </row>
    <row r="37" spans="1:12" x14ac:dyDescent="0.25">
      <c r="A37" s="98" t="s">
        <v>146</v>
      </c>
      <c r="B37" s="99"/>
      <c r="C37" s="100">
        <f>SUMIF(B_Schlüssel!$B$16:$B$26,7,B_Schlüssel!D$16:D$26)</f>
        <v>0</v>
      </c>
      <c r="D37" s="101"/>
      <c r="E37" s="150"/>
      <c r="F37" s="150"/>
      <c r="G37" s="150"/>
      <c r="H37" s="150"/>
      <c r="I37" s="150"/>
      <c r="J37" s="150"/>
      <c r="K37" s="102" t="str">
        <f t="shared" si="2"/>
        <v/>
      </c>
      <c r="L37" s="103" t="str">
        <f>IF(C37-SUM(E9:J37)=0,"",C37-SUM(E37:J37))</f>
        <v/>
      </c>
    </row>
    <row r="38" spans="1:12" x14ac:dyDescent="0.25">
      <c r="A38" s="104" t="s">
        <v>233</v>
      </c>
      <c r="B38" s="105"/>
      <c r="C38" s="106">
        <f>SUMIF(B_Schlüssel!$B$16:$B$26,4,B_Schlüssel!D$16:D$26)</f>
        <v>0</v>
      </c>
      <c r="D38" s="107"/>
      <c r="E38" s="150"/>
      <c r="F38" s="150"/>
      <c r="G38" s="150"/>
      <c r="H38" s="150"/>
      <c r="I38" s="150"/>
      <c r="J38" s="150"/>
      <c r="K38" s="102" t="str">
        <f t="shared" si="2"/>
        <v/>
      </c>
      <c r="L38" s="103" t="str">
        <f>IF(C38-SUM(E9:J38)=0,"",C38-SUM(E38:J38))</f>
        <v/>
      </c>
    </row>
    <row r="39" spans="1:12" x14ac:dyDescent="0.25">
      <c r="A39" s="98" t="s">
        <v>232</v>
      </c>
      <c r="B39" s="99"/>
      <c r="C39" s="100">
        <f>SUMIF(B_Schlüssel!$B$16:$B$26,5,B_Schlüssel!D$16:D$26)</f>
        <v>0</v>
      </c>
      <c r="D39" s="101"/>
      <c r="E39" s="150"/>
      <c r="F39" s="150"/>
      <c r="G39" s="150"/>
      <c r="H39" s="150"/>
      <c r="I39" s="150"/>
      <c r="J39" s="150"/>
      <c r="K39" s="102" t="str">
        <f t="shared" si="2"/>
        <v/>
      </c>
      <c r="L39" s="103" t="str">
        <f>IF(C39-SUM(E10:J39)=0,"",C39-SUM(E39:J39))</f>
        <v/>
      </c>
    </row>
    <row r="40" spans="1:12" x14ac:dyDescent="0.25">
      <c r="A40" s="98" t="s">
        <v>234</v>
      </c>
      <c r="B40" s="99"/>
      <c r="C40" s="100">
        <f>SUMIF(B_Schlüssel!$B$16:$B$26,6,B_Schlüssel!D$16:D$26)</f>
        <v>0</v>
      </c>
      <c r="D40" s="101"/>
      <c r="E40" s="150"/>
      <c r="F40" s="150"/>
      <c r="G40" s="150"/>
      <c r="H40" s="150"/>
      <c r="I40" s="150"/>
      <c r="J40" s="150"/>
      <c r="K40" s="102" t="str">
        <f t="shared" si="2"/>
        <v/>
      </c>
      <c r="L40" s="103" t="str">
        <f>IF(C40-SUM(E11:J40)=0,"",C40-SUM(E40:J40))</f>
        <v/>
      </c>
    </row>
    <row r="41" spans="1:12" s="5" customFormat="1" x14ac:dyDescent="0.25">
      <c r="A41" s="108" t="s">
        <v>225</v>
      </c>
      <c r="B41" s="84"/>
      <c r="C41" s="106">
        <f>SUM(C34:C40)</f>
        <v>0</v>
      </c>
      <c r="D41" s="106"/>
      <c r="E41" s="106">
        <f>SUM(E34:E40)</f>
        <v>0</v>
      </c>
      <c r="F41" s="106">
        <f t="shared" ref="F41:J41" si="3">SUM(F34:F40)</f>
        <v>0</v>
      </c>
      <c r="G41" s="106">
        <f t="shared" si="3"/>
        <v>0</v>
      </c>
      <c r="H41" s="106">
        <f t="shared" si="3"/>
        <v>0</v>
      </c>
      <c r="I41" s="106">
        <f t="shared" si="3"/>
        <v>0</v>
      </c>
      <c r="J41" s="106">
        <f t="shared" si="3"/>
        <v>0</v>
      </c>
    </row>
    <row r="42" spans="1:12" s="109" customFormat="1" ht="15.75" customHeight="1" x14ac:dyDescent="0.2">
      <c r="A42" s="395" t="s">
        <v>329</v>
      </c>
      <c r="B42" s="396"/>
      <c r="C42" s="397">
        <f>SUM(E42:J42)</f>
        <v>0</v>
      </c>
      <c r="D42" s="396"/>
      <c r="E42" s="397">
        <f>IFERROR(ROUND(E41/$C41,4),0)</f>
        <v>0</v>
      </c>
      <c r="F42" s="397">
        <f t="shared" ref="F42:J42" si="4">IFERROR(ROUND(F41/$C41,4),0)</f>
        <v>0</v>
      </c>
      <c r="G42" s="397">
        <f t="shared" si="4"/>
        <v>0</v>
      </c>
      <c r="H42" s="397">
        <f t="shared" si="4"/>
        <v>0</v>
      </c>
      <c r="I42" s="397">
        <f t="shared" si="4"/>
        <v>0</v>
      </c>
      <c r="J42" s="397">
        <f t="shared" si="4"/>
        <v>0</v>
      </c>
    </row>
    <row r="43" spans="1:12" s="109" customFormat="1" ht="15.75" customHeight="1" x14ac:dyDescent="0.2">
      <c r="A43" s="395" t="s">
        <v>328</v>
      </c>
      <c r="B43" s="398"/>
      <c r="C43" s="397">
        <f>SUM(E43:J43)</f>
        <v>0</v>
      </c>
      <c r="D43" s="396"/>
      <c r="E43" s="397">
        <f>IFERROR(ROUND(E41/SUM($E$41:$I$41),4),0)</f>
        <v>0</v>
      </c>
      <c r="F43" s="397">
        <f t="shared" ref="F43:I43" si="5">IFERROR(ROUND(F41/SUM($E$41:$I$41),4),0)</f>
        <v>0</v>
      </c>
      <c r="G43" s="397">
        <f t="shared" si="5"/>
        <v>0</v>
      </c>
      <c r="H43" s="397">
        <f t="shared" si="5"/>
        <v>0</v>
      </c>
      <c r="I43" s="397">
        <f t="shared" si="5"/>
        <v>0</v>
      </c>
      <c r="J43" s="397"/>
    </row>
    <row r="44" spans="1:12" ht="37.5" customHeight="1" x14ac:dyDescent="0.25">
      <c r="A44" s="357" t="s">
        <v>224</v>
      </c>
      <c r="B44" s="86"/>
      <c r="C44" s="86"/>
      <c r="D44" s="86"/>
      <c r="E44" s="86"/>
      <c r="F44" s="86"/>
      <c r="G44" s="86"/>
      <c r="H44" s="86"/>
      <c r="I44" s="86"/>
    </row>
    <row r="45" spans="1:12" s="5" customFormat="1" x14ac:dyDescent="0.25">
      <c r="A45" s="98" t="s">
        <v>112</v>
      </c>
      <c r="B45" s="101"/>
      <c r="C45" s="100">
        <f>SUMIF(B_Schlüssel!$B$16:$B$26,1,B_Schlüssel!D$16:D$26)</f>
        <v>0</v>
      </c>
      <c r="D45" s="101">
        <f>SUMIF(B_Schlüssel!$B$16:$B$26,1,B_Schlüssel!E$16:E$26)</f>
        <v>0</v>
      </c>
      <c r="E45" s="101">
        <f t="shared" ref="E45:J45" si="6">IFERROR(ROUND($D45*E34/$C34,0),0)</f>
        <v>0</v>
      </c>
      <c r="F45" s="101">
        <f t="shared" si="6"/>
        <v>0</v>
      </c>
      <c r="G45" s="101">
        <f t="shared" si="6"/>
        <v>0</v>
      </c>
      <c r="H45" s="101">
        <f t="shared" si="6"/>
        <v>0</v>
      </c>
      <c r="I45" s="101">
        <f t="shared" si="6"/>
        <v>0</v>
      </c>
      <c r="J45" s="101">
        <f t="shared" si="6"/>
        <v>0</v>
      </c>
      <c r="K45" s="403">
        <f>D45-SUM(E45:J45)</f>
        <v>0</v>
      </c>
    </row>
    <row r="46" spans="1:12" s="5" customFormat="1" x14ac:dyDescent="0.25">
      <c r="A46" s="104" t="s">
        <v>113</v>
      </c>
      <c r="B46" s="107"/>
      <c r="C46" s="106">
        <f>SUMIF(B_Schlüssel!$B$16:$B$26,2,B_Schlüssel!D$16:D$26)</f>
        <v>0</v>
      </c>
      <c r="D46" s="107">
        <f>SUMIF(B_Schlüssel!$B$16:$B$26,2,B_Schlüssel!E$16:E$26)</f>
        <v>0</v>
      </c>
      <c r="E46" s="107">
        <f t="shared" ref="E46:J47" si="7">IFERROR(ROUND($D46*E35/$C35,0),0)</f>
        <v>0</v>
      </c>
      <c r="F46" s="107">
        <f t="shared" si="7"/>
        <v>0</v>
      </c>
      <c r="G46" s="107">
        <f t="shared" si="7"/>
        <v>0</v>
      </c>
      <c r="H46" s="107">
        <f t="shared" si="7"/>
        <v>0</v>
      </c>
      <c r="I46" s="107">
        <f t="shared" si="7"/>
        <v>0</v>
      </c>
      <c r="J46" s="107">
        <f t="shared" si="7"/>
        <v>0</v>
      </c>
      <c r="K46" s="403">
        <f t="shared" ref="K46:K51" si="8">D46-SUM(E46:J46)</f>
        <v>0</v>
      </c>
    </row>
    <row r="47" spans="1:12" s="5" customFormat="1" x14ac:dyDescent="0.25">
      <c r="A47" s="98" t="s">
        <v>114</v>
      </c>
      <c r="B47" s="101"/>
      <c r="C47" s="100">
        <f>SUMIF(B_Schlüssel!$B$16:$B$26,3,B_Schlüssel!D$16:D$26)</f>
        <v>0</v>
      </c>
      <c r="D47" s="101">
        <f>SUMIF(B_Schlüssel!$B$16:$B$26,3,B_Schlüssel!E$16:E$26)</f>
        <v>0</v>
      </c>
      <c r="E47" s="101">
        <f t="shared" si="7"/>
        <v>0</v>
      </c>
      <c r="F47" s="101">
        <f t="shared" si="7"/>
        <v>0</v>
      </c>
      <c r="G47" s="101">
        <f t="shared" si="7"/>
        <v>0</v>
      </c>
      <c r="H47" s="101">
        <f t="shared" si="7"/>
        <v>0</v>
      </c>
      <c r="I47" s="101">
        <f t="shared" si="7"/>
        <v>0</v>
      </c>
      <c r="J47" s="101">
        <f t="shared" si="7"/>
        <v>0</v>
      </c>
      <c r="K47" s="403">
        <f t="shared" si="8"/>
        <v>0</v>
      </c>
    </row>
    <row r="48" spans="1:12" s="5" customFormat="1" x14ac:dyDescent="0.25">
      <c r="A48" s="98" t="s">
        <v>146</v>
      </c>
      <c r="B48" s="101"/>
      <c r="C48" s="100">
        <f>SUMIF(B_Schlüssel!$B$16:$B$26,7,B_Schlüssel!D$16:D$26)</f>
        <v>0</v>
      </c>
      <c r="D48" s="101">
        <f>SUMIF(B_Schlüssel!$B$16:$B$26,7,B_Schlüssel!E$16:E$26)</f>
        <v>0</v>
      </c>
      <c r="E48" s="101"/>
      <c r="F48" s="101"/>
      <c r="G48" s="107">
        <f>IFERROR(ROUND($D48*G37/$C37,0),0)</f>
        <v>0</v>
      </c>
      <c r="H48" s="101"/>
      <c r="I48" s="101"/>
      <c r="J48" s="101"/>
      <c r="K48" s="403">
        <f t="shared" si="8"/>
        <v>0</v>
      </c>
    </row>
    <row r="49" spans="1:11" s="5" customFormat="1" x14ac:dyDescent="0.25">
      <c r="A49" s="104" t="s">
        <v>231</v>
      </c>
      <c r="B49" s="107"/>
      <c r="C49" s="106">
        <f>SUMIF(B_Schlüssel!$B$16:$B$26,4,B_Schlüssel!D$16:D$26)</f>
        <v>0</v>
      </c>
      <c r="D49" s="107">
        <f>SUMIF(B_Schlüssel!$B$16:$B$26,4,B_Schlüssel!E$16:E$26)</f>
        <v>0</v>
      </c>
      <c r="E49" s="107">
        <f t="shared" ref="E49:F51" si="9">IFERROR(ROUND($D49*E38/$C38,0),0)</f>
        <v>0</v>
      </c>
      <c r="F49" s="107">
        <f t="shared" si="9"/>
        <v>0</v>
      </c>
      <c r="G49" s="107">
        <f>IFERROR(ROUND($D49*G38/$C38,0),0)</f>
        <v>0</v>
      </c>
      <c r="H49" s="107">
        <f t="shared" ref="H49:J51" si="10">IFERROR(ROUND($D49*H38/$C38,0),0)</f>
        <v>0</v>
      </c>
      <c r="I49" s="107">
        <f t="shared" si="10"/>
        <v>0</v>
      </c>
      <c r="J49" s="107">
        <f t="shared" si="10"/>
        <v>0</v>
      </c>
      <c r="K49" s="403">
        <f t="shared" si="8"/>
        <v>0</v>
      </c>
    </row>
    <row r="50" spans="1:11" s="5" customFormat="1" x14ac:dyDescent="0.25">
      <c r="A50" s="98" t="s">
        <v>232</v>
      </c>
      <c r="B50" s="101"/>
      <c r="C50" s="100">
        <f>SUMIF(B_Schlüssel!$B$16:$B$26,5,B_Schlüssel!D$16:D$26)</f>
        <v>0</v>
      </c>
      <c r="D50" s="101">
        <f>SUMIF(B_Schlüssel!$B$16:$B$26,5,B_Schlüssel!E$16:E$26)</f>
        <v>0</v>
      </c>
      <c r="E50" s="101">
        <f t="shared" si="9"/>
        <v>0</v>
      </c>
      <c r="F50" s="101">
        <f t="shared" si="9"/>
        <v>0</v>
      </c>
      <c r="G50" s="101">
        <f>IFERROR(ROUND($D50*G39/$C39,0),0)</f>
        <v>0</v>
      </c>
      <c r="H50" s="101">
        <f t="shared" si="10"/>
        <v>0</v>
      </c>
      <c r="I50" s="101">
        <f t="shared" si="10"/>
        <v>0</v>
      </c>
      <c r="J50" s="101">
        <f t="shared" si="10"/>
        <v>0</v>
      </c>
      <c r="K50" s="403">
        <f t="shared" si="8"/>
        <v>0</v>
      </c>
    </row>
    <row r="51" spans="1:11" s="5" customFormat="1" x14ac:dyDescent="0.25">
      <c r="A51" s="104" t="s">
        <v>234</v>
      </c>
      <c r="B51" s="107"/>
      <c r="C51" s="106">
        <f>SUMIF(B_Schlüssel!$B$16:$B$26,6,B_Schlüssel!D$16:D$26)</f>
        <v>0</v>
      </c>
      <c r="D51" s="107">
        <f>SUMIF(B_Schlüssel!$B$16:$B$26,6,B_Schlüssel!E$16:E$26)</f>
        <v>0</v>
      </c>
      <c r="E51" s="107">
        <f t="shared" si="9"/>
        <v>0</v>
      </c>
      <c r="F51" s="107">
        <f t="shared" si="9"/>
        <v>0</v>
      </c>
      <c r="G51" s="107">
        <f>IFERROR(ROUND($D51*G40/$C40,0),0)</f>
        <v>0</v>
      </c>
      <c r="H51" s="107">
        <f>IFERROR(ROUND($D51*H40/$C40,0),0)</f>
        <v>0</v>
      </c>
      <c r="I51" s="107">
        <f>IFERROR(ROUND($D51*I40/$C40,0),0)</f>
        <v>0</v>
      </c>
      <c r="J51" s="101">
        <f t="shared" si="10"/>
        <v>0</v>
      </c>
      <c r="K51" s="403">
        <f t="shared" si="8"/>
        <v>0</v>
      </c>
    </row>
    <row r="52" spans="1:11" s="5" customFormat="1" ht="17.25" customHeight="1" x14ac:dyDescent="0.25">
      <c r="A52" s="110" t="s">
        <v>184</v>
      </c>
      <c r="B52" s="111"/>
      <c r="C52" s="111"/>
      <c r="D52" s="112">
        <f>SUM(D45:D51)</f>
        <v>0</v>
      </c>
      <c r="E52" s="112">
        <f t="shared" ref="E52:J52" si="11">SUM(E45:E51)</f>
        <v>0</v>
      </c>
      <c r="F52" s="112">
        <f t="shared" si="11"/>
        <v>0</v>
      </c>
      <c r="G52" s="112">
        <f t="shared" si="11"/>
        <v>0</v>
      </c>
      <c r="H52" s="112">
        <f t="shared" si="11"/>
        <v>0</v>
      </c>
      <c r="I52" s="112">
        <f t="shared" si="11"/>
        <v>0</v>
      </c>
      <c r="J52" s="112">
        <f t="shared" si="11"/>
        <v>0</v>
      </c>
    </row>
    <row r="53" spans="1:11" s="5" customFormat="1" ht="17.25" customHeight="1" x14ac:dyDescent="0.25">
      <c r="A53" s="402" t="s">
        <v>331</v>
      </c>
      <c r="B53" s="113"/>
      <c r="C53" s="399">
        <f>IFERROR(SUM(E53:J53),0)</f>
        <v>1</v>
      </c>
      <c r="D53" s="400"/>
      <c r="E53" s="401">
        <f>IFERROR(ROUND(E52/$D52,4),0)</f>
        <v>0</v>
      </c>
      <c r="F53" s="401">
        <f t="shared" ref="F53:I53" si="12">IFERROR(ROUND(F52/$D52,4),0)</f>
        <v>0</v>
      </c>
      <c r="G53" s="401">
        <f t="shared" si="12"/>
        <v>0</v>
      </c>
      <c r="H53" s="401">
        <f t="shared" si="12"/>
        <v>0</v>
      </c>
      <c r="I53" s="401">
        <f t="shared" si="12"/>
        <v>0</v>
      </c>
      <c r="J53" s="401">
        <f>1-SUM(E53:I53)</f>
        <v>1</v>
      </c>
    </row>
    <row r="54" spans="1:11" s="5" customFormat="1" ht="17.25" customHeight="1" x14ac:dyDescent="0.25">
      <c r="A54" s="402" t="s">
        <v>332</v>
      </c>
      <c r="B54" s="113"/>
      <c r="C54" s="399">
        <f>IFERROR(SUM(E54:J54),0)</f>
        <v>1</v>
      </c>
      <c r="D54" s="400">
        <f>D52-J52</f>
        <v>0</v>
      </c>
      <c r="E54" s="401">
        <f>IFERROR(ROUND(E52/$D54,4),0)</f>
        <v>0</v>
      </c>
      <c r="F54" s="401">
        <f t="shared" ref="F54:H54" si="13">IFERROR(ROUND(F52/$D54,4),0)</f>
        <v>0</v>
      </c>
      <c r="G54" s="401">
        <f t="shared" si="13"/>
        <v>0</v>
      </c>
      <c r="H54" s="401">
        <f t="shared" si="13"/>
        <v>0</v>
      </c>
      <c r="I54" s="401">
        <f>1-SUM(E54:H54)</f>
        <v>1</v>
      </c>
      <c r="J54" s="401"/>
    </row>
    <row r="55" spans="1:11" ht="37.5" customHeight="1" x14ac:dyDescent="0.25">
      <c r="A55" s="115" t="s">
        <v>307</v>
      </c>
      <c r="B55" s="86"/>
      <c r="C55" s="86"/>
      <c r="D55" s="86"/>
      <c r="E55" s="86"/>
      <c r="F55" s="86"/>
      <c r="G55" s="86"/>
      <c r="H55" s="86"/>
      <c r="I55" s="86"/>
    </row>
    <row r="56" spans="1:11" s="120" customFormat="1" ht="23.25" customHeight="1" x14ac:dyDescent="0.25">
      <c r="A56" s="116" t="s">
        <v>241</v>
      </c>
      <c r="B56" s="117"/>
      <c r="C56" s="117"/>
      <c r="D56" s="118"/>
      <c r="E56" s="483" t="s">
        <v>306</v>
      </c>
      <c r="F56" s="485" t="s">
        <v>239</v>
      </c>
      <c r="G56" s="485" t="s">
        <v>238</v>
      </c>
      <c r="H56" s="487" t="s">
        <v>240</v>
      </c>
      <c r="I56" s="119"/>
    </row>
    <row r="57" spans="1:11" s="5" customFormat="1" ht="18.75" customHeight="1" x14ac:dyDescent="0.25">
      <c r="A57" s="121"/>
      <c r="B57" s="121"/>
      <c r="C57" s="122" t="s">
        <v>160</v>
      </c>
      <c r="D57" s="122" t="s">
        <v>163</v>
      </c>
      <c r="E57" s="484"/>
      <c r="F57" s="486"/>
      <c r="G57" s="486"/>
      <c r="H57" s="488"/>
      <c r="I57" s="123"/>
    </row>
    <row r="58" spans="1:11" s="5" customFormat="1" ht="18.75" customHeight="1" x14ac:dyDescent="0.25">
      <c r="A58" s="124" t="s">
        <v>161</v>
      </c>
      <c r="B58" s="124"/>
      <c r="C58" s="125">
        <f>IFERROR(Basis!B33/B_Schlüssel!D27,0)</f>
        <v>0</v>
      </c>
      <c r="D58" s="79">
        <v>76.900000000000006</v>
      </c>
      <c r="E58" s="79">
        <v>24</v>
      </c>
      <c r="F58" s="126">
        <f>SUM(C58:E58)</f>
        <v>100.9</v>
      </c>
      <c r="G58" s="127">
        <f>E$41*F58</f>
        <v>0</v>
      </c>
      <c r="H58" s="114">
        <f>IFERROR(ROUND(G58/G$62,4),0)</f>
        <v>0</v>
      </c>
      <c r="I58" s="123"/>
    </row>
    <row r="59" spans="1:11" s="5" customFormat="1" ht="18.75" customHeight="1" x14ac:dyDescent="0.25">
      <c r="A59" s="121" t="s">
        <v>187</v>
      </c>
      <c r="B59" s="121"/>
      <c r="C59" s="128">
        <f>+C58</f>
        <v>0</v>
      </c>
      <c r="D59" s="75">
        <v>63</v>
      </c>
      <c r="E59" s="75">
        <v>24</v>
      </c>
      <c r="F59" s="129">
        <f t="shared" ref="F59:F61" si="14">SUM(C59:E59)</f>
        <v>87</v>
      </c>
      <c r="G59" s="130">
        <f>F$41*F59</f>
        <v>0</v>
      </c>
      <c r="H59" s="131">
        <f t="shared" ref="H59:H62" si="15">IFERROR(ROUND(G59/G$62,4),0)</f>
        <v>0</v>
      </c>
      <c r="I59" s="123"/>
    </row>
    <row r="60" spans="1:11" s="5" customFormat="1" ht="18.75" customHeight="1" x14ac:dyDescent="0.25">
      <c r="A60" s="124" t="s">
        <v>162</v>
      </c>
      <c r="B60" s="124"/>
      <c r="C60" s="125">
        <f>+C58</f>
        <v>0</v>
      </c>
      <c r="D60" s="79">
        <v>52.6</v>
      </c>
      <c r="E60" s="79">
        <v>24</v>
      </c>
      <c r="F60" s="126">
        <f t="shared" si="14"/>
        <v>76.599999999999994</v>
      </c>
      <c r="G60" s="127">
        <f>G$41*F60</f>
        <v>0</v>
      </c>
      <c r="H60" s="114">
        <f t="shared" si="15"/>
        <v>0</v>
      </c>
      <c r="I60" s="123"/>
    </row>
    <row r="61" spans="1:11" s="5" customFormat="1" ht="18.75" customHeight="1" x14ac:dyDescent="0.25">
      <c r="A61" s="121" t="s">
        <v>327</v>
      </c>
      <c r="B61" s="121"/>
      <c r="C61" s="276">
        <f>+C58</f>
        <v>0</v>
      </c>
      <c r="D61" s="277">
        <v>52.6</v>
      </c>
      <c r="E61" s="277">
        <v>18</v>
      </c>
      <c r="F61" s="129">
        <f t="shared" si="14"/>
        <v>70.599999999999994</v>
      </c>
      <c r="G61" s="130">
        <f>H$41*F61</f>
        <v>0</v>
      </c>
      <c r="H61" s="131">
        <f t="shared" si="15"/>
        <v>0</v>
      </c>
      <c r="I61" s="123"/>
    </row>
    <row r="62" spans="1:11" s="5" customFormat="1" ht="18.75" customHeight="1" x14ac:dyDescent="0.25">
      <c r="A62" s="124" t="s">
        <v>1</v>
      </c>
      <c r="B62" s="124"/>
      <c r="C62" s="125"/>
      <c r="D62" s="79"/>
      <c r="E62" s="79"/>
      <c r="F62" s="126"/>
      <c r="G62" s="127">
        <f>SUM(G58:G61)</f>
        <v>0</v>
      </c>
      <c r="H62" s="114">
        <f t="shared" si="15"/>
        <v>0</v>
      </c>
      <c r="I62" s="278"/>
    </row>
    <row r="63" spans="1:11" x14ac:dyDescent="0.25">
      <c r="A63" s="132"/>
      <c r="E63" s="133"/>
      <c r="F63" s="133"/>
      <c r="G63" s="133"/>
      <c r="H63" s="133"/>
    </row>
    <row r="64" spans="1:11" s="61" customFormat="1" ht="31.5" customHeight="1" x14ac:dyDescent="0.35">
      <c r="A64" s="134" t="s">
        <v>227</v>
      </c>
      <c r="B64" s="134"/>
      <c r="C64" s="134"/>
      <c r="D64" s="134"/>
      <c r="E64" s="134"/>
      <c r="F64" s="134"/>
      <c r="G64" s="134"/>
      <c r="H64" s="134"/>
      <c r="I64" s="135"/>
    </row>
    <row r="66" spans="1:10" x14ac:dyDescent="0.25">
      <c r="A66" s="136"/>
      <c r="B66" s="136"/>
      <c r="C66" s="137" t="s">
        <v>8</v>
      </c>
      <c r="D66" s="137" t="s">
        <v>104</v>
      </c>
      <c r="E66" s="138"/>
      <c r="F66" s="139"/>
      <c r="G66" s="139"/>
    </row>
    <row r="67" spans="1:10" x14ac:dyDescent="0.25">
      <c r="A67" s="73" t="s">
        <v>106</v>
      </c>
      <c r="B67" s="73"/>
      <c r="C67" s="140">
        <f>+D27</f>
        <v>0</v>
      </c>
      <c r="D67" s="141" t="str">
        <f>IFERROR(C67/C$88,"")</f>
        <v/>
      </c>
      <c r="E67" s="139"/>
      <c r="F67" s="139"/>
      <c r="G67" s="139"/>
    </row>
    <row r="68" spans="1:10" x14ac:dyDescent="0.25">
      <c r="A68" s="77" t="s">
        <v>105</v>
      </c>
      <c r="B68" s="77"/>
      <c r="C68" s="150"/>
      <c r="D68" s="142" t="str">
        <f t="shared" ref="D68:D87" si="16">IFERROR(C68/C$88,"")</f>
        <v/>
      </c>
      <c r="E68" s="139"/>
      <c r="F68" s="139"/>
      <c r="G68" s="34"/>
      <c r="H68" s="34"/>
      <c r="I68" s="34"/>
      <c r="J68" s="143"/>
    </row>
    <row r="69" spans="1:10" x14ac:dyDescent="0.25">
      <c r="A69" s="73" t="s">
        <v>107</v>
      </c>
      <c r="B69" s="73"/>
      <c r="C69" s="150"/>
      <c r="D69" s="141" t="str">
        <f t="shared" si="16"/>
        <v/>
      </c>
      <c r="E69" s="139"/>
      <c r="F69" s="139"/>
      <c r="G69" s="144"/>
      <c r="H69" s="145"/>
      <c r="I69" s="145"/>
      <c r="J69" s="146"/>
    </row>
    <row r="70" spans="1:10" x14ac:dyDescent="0.25">
      <c r="A70" s="151"/>
      <c r="B70" s="147"/>
      <c r="C70" s="150"/>
      <c r="D70" s="142" t="str">
        <f t="shared" si="16"/>
        <v/>
      </c>
      <c r="E70" s="139"/>
      <c r="F70" s="139"/>
      <c r="G70" s="144"/>
      <c r="H70" s="145"/>
      <c r="I70" s="145"/>
      <c r="J70" s="146"/>
    </row>
    <row r="71" spans="1:10" x14ac:dyDescent="0.25">
      <c r="A71" s="151"/>
      <c r="B71" s="147"/>
      <c r="C71" s="150"/>
      <c r="D71" s="141" t="str">
        <f t="shared" si="16"/>
        <v/>
      </c>
      <c r="E71" s="139"/>
      <c r="F71" s="139"/>
      <c r="G71" s="144"/>
      <c r="H71" s="145"/>
      <c r="I71" s="145"/>
      <c r="J71" s="146"/>
    </row>
    <row r="72" spans="1:10" x14ac:dyDescent="0.25">
      <c r="A72" s="151"/>
      <c r="B72" s="147"/>
      <c r="C72" s="150"/>
      <c r="D72" s="142" t="str">
        <f t="shared" si="16"/>
        <v/>
      </c>
      <c r="E72" s="139"/>
      <c r="F72" s="139"/>
      <c r="G72" s="144"/>
      <c r="H72" s="145"/>
      <c r="I72" s="145"/>
      <c r="J72" s="146"/>
    </row>
    <row r="73" spans="1:10" x14ac:dyDescent="0.25">
      <c r="A73" s="151"/>
      <c r="B73" s="147"/>
      <c r="C73" s="150"/>
      <c r="D73" s="141" t="str">
        <f t="shared" si="16"/>
        <v/>
      </c>
    </row>
    <row r="74" spans="1:10" x14ac:dyDescent="0.25">
      <c r="A74" s="151"/>
      <c r="B74" s="147"/>
      <c r="C74" s="150"/>
      <c r="D74" s="142" t="str">
        <f t="shared" si="16"/>
        <v/>
      </c>
    </row>
    <row r="75" spans="1:10" x14ac:dyDescent="0.25">
      <c r="A75" s="151"/>
      <c r="B75" s="147"/>
      <c r="C75" s="150"/>
      <c r="D75" s="141" t="str">
        <f t="shared" si="16"/>
        <v/>
      </c>
    </row>
    <row r="76" spans="1:10" x14ac:dyDescent="0.25">
      <c r="A76" s="151"/>
      <c r="B76" s="147"/>
      <c r="C76" s="150"/>
      <c r="D76" s="142" t="str">
        <f t="shared" si="16"/>
        <v/>
      </c>
    </row>
    <row r="77" spans="1:10" x14ac:dyDescent="0.25">
      <c r="A77" s="151"/>
      <c r="B77" s="147"/>
      <c r="C77" s="150"/>
      <c r="D77" s="141" t="str">
        <f t="shared" si="16"/>
        <v/>
      </c>
    </row>
    <row r="78" spans="1:10" x14ac:dyDescent="0.25">
      <c r="A78" s="151"/>
      <c r="B78" s="147"/>
      <c r="C78" s="150"/>
      <c r="D78" s="142" t="str">
        <f t="shared" si="16"/>
        <v/>
      </c>
      <c r="G78" s="2"/>
    </row>
    <row r="79" spans="1:10" x14ac:dyDescent="0.25">
      <c r="A79" s="151"/>
      <c r="B79" s="147"/>
      <c r="C79" s="150"/>
      <c r="D79" s="141" t="str">
        <f t="shared" si="16"/>
        <v/>
      </c>
    </row>
    <row r="80" spans="1:10" x14ac:dyDescent="0.25">
      <c r="A80" s="151"/>
      <c r="B80" s="147"/>
      <c r="C80" s="150"/>
      <c r="D80" s="142" t="str">
        <f t="shared" si="16"/>
        <v/>
      </c>
    </row>
    <row r="81" spans="1:10" x14ac:dyDescent="0.25">
      <c r="A81" s="151"/>
      <c r="B81" s="147"/>
      <c r="C81" s="150"/>
      <c r="D81" s="141" t="str">
        <f t="shared" si="16"/>
        <v/>
      </c>
    </row>
    <row r="82" spans="1:10" x14ac:dyDescent="0.25">
      <c r="A82" s="151"/>
      <c r="B82" s="147"/>
      <c r="C82" s="150"/>
      <c r="D82" s="142" t="str">
        <f t="shared" si="16"/>
        <v/>
      </c>
    </row>
    <row r="83" spans="1:10" x14ac:dyDescent="0.25">
      <c r="A83" s="151"/>
      <c r="B83" s="147"/>
      <c r="C83" s="150"/>
      <c r="D83" s="141" t="str">
        <f t="shared" si="16"/>
        <v/>
      </c>
    </row>
    <row r="84" spans="1:10" x14ac:dyDescent="0.25">
      <c r="A84" s="151"/>
      <c r="B84" s="147"/>
      <c r="C84" s="150"/>
      <c r="D84" s="142" t="str">
        <f t="shared" si="16"/>
        <v/>
      </c>
    </row>
    <row r="85" spans="1:10" x14ac:dyDescent="0.25">
      <c r="A85" s="151"/>
      <c r="B85" s="147"/>
      <c r="C85" s="150"/>
      <c r="D85" s="141" t="str">
        <f t="shared" si="16"/>
        <v/>
      </c>
    </row>
    <row r="86" spans="1:10" x14ac:dyDescent="0.25">
      <c r="A86" s="151"/>
      <c r="B86" s="147"/>
      <c r="C86" s="150"/>
      <c r="D86" s="142" t="str">
        <f t="shared" si="16"/>
        <v/>
      </c>
    </row>
    <row r="87" spans="1:10" x14ac:dyDescent="0.25">
      <c r="A87" s="151"/>
      <c r="B87" s="147"/>
      <c r="C87" s="150"/>
      <c r="D87" s="141" t="str">
        <f t="shared" si="16"/>
        <v/>
      </c>
    </row>
    <row r="88" spans="1:10" x14ac:dyDescent="0.25">
      <c r="A88" s="73" t="s">
        <v>1</v>
      </c>
      <c r="B88" s="73"/>
      <c r="C88" s="140">
        <f>SUM(C67:C82)</f>
        <v>0</v>
      </c>
      <c r="D88" s="148">
        <f>SUM(D67:D82)</f>
        <v>0</v>
      </c>
    </row>
    <row r="89" spans="1:10" x14ac:dyDescent="0.25">
      <c r="A89" s="149"/>
      <c r="B89" s="149"/>
      <c r="C89" s="149"/>
      <c r="D89" s="149"/>
    </row>
    <row r="91" spans="1:10" x14ac:dyDescent="0.25">
      <c r="A91" s="172" t="s">
        <v>294</v>
      </c>
      <c r="B91" s="35"/>
    </row>
    <row r="92" spans="1:10" x14ac:dyDescent="0.25">
      <c r="A92" s="481"/>
      <c r="B92" s="481"/>
      <c r="C92" s="481"/>
      <c r="D92" s="481"/>
      <c r="E92" s="481"/>
      <c r="F92" s="481"/>
      <c r="G92" s="481"/>
      <c r="H92" s="481"/>
      <c r="I92" s="481"/>
      <c r="J92" s="481"/>
    </row>
    <row r="93" spans="1:10" x14ac:dyDescent="0.25">
      <c r="A93" s="481"/>
      <c r="B93" s="481"/>
      <c r="C93" s="481"/>
      <c r="D93" s="481"/>
      <c r="E93" s="481"/>
      <c r="F93" s="481"/>
      <c r="G93" s="481"/>
      <c r="H93" s="481"/>
      <c r="I93" s="481"/>
      <c r="J93" s="481"/>
    </row>
  </sheetData>
  <sheetProtection password="FA05" sheet="1" selectLockedCells="1"/>
  <sortState ref="A35:A50">
    <sortCondition ref="A35:A50"/>
  </sortState>
  <mergeCells count="13">
    <mergeCell ref="A92:J93"/>
    <mergeCell ref="F7:G7"/>
    <mergeCell ref="E56:E57"/>
    <mergeCell ref="G56:G57"/>
    <mergeCell ref="F56:F57"/>
    <mergeCell ref="H56:H57"/>
    <mergeCell ref="E32:J32"/>
    <mergeCell ref="A14:A15"/>
    <mergeCell ref="C14:C15"/>
    <mergeCell ref="G14:G15"/>
    <mergeCell ref="D14:D15"/>
    <mergeCell ref="E14:E15"/>
    <mergeCell ref="F14:F15"/>
  </mergeCells>
  <printOptions horizontalCentered="1"/>
  <pageMargins left="0.70866141732283472" right="0.70866141732283472" top="0.78740157480314965" bottom="0.78740157480314965" header="0.31496062992125984" footer="0.31496062992125984"/>
  <pageSetup paperSize="9" scale="55" orientation="portrait" r:id="rId1"/>
  <headerFooter>
    <oddFooter>&amp;L&amp;8&amp;D&amp;R&amp;8&amp;F/&amp;A</oddFooter>
  </headerFooter>
  <rowBreaks count="1" manualBreakCount="1">
    <brk id="63" max="16383"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4">
    <pageSetUpPr fitToPage="1"/>
  </sheetPr>
  <dimension ref="A1:XEZ75"/>
  <sheetViews>
    <sheetView showGridLines="0" topLeftCell="A4" zoomScale="130" zoomScaleNormal="130" zoomScaleSheetLayoutView="100" workbookViewId="0">
      <selection activeCell="D13" sqref="D13"/>
    </sheetView>
  </sheetViews>
  <sheetFormatPr baseColWidth="10" defaultRowHeight="15" x14ac:dyDescent="0.25"/>
  <cols>
    <col min="1" max="1" width="11.85546875" style="152" customWidth="1"/>
    <col min="2" max="2" width="40.42578125" customWidth="1"/>
    <col min="3" max="3" width="18.28515625" customWidth="1"/>
    <col min="4" max="4" width="19.140625" customWidth="1"/>
    <col min="5" max="5" width="16.140625" customWidth="1"/>
    <col min="6" max="7" width="14.42578125" customWidth="1"/>
    <col min="8" max="8" width="20.7109375" hidden="1" customWidth="1"/>
    <col min="9" max="10" width="11.42578125" hidden="1" customWidth="1"/>
    <col min="11" max="11" width="9.140625" hidden="1" customWidth="1"/>
    <col min="12" max="12" width="11.42578125" customWidth="1"/>
  </cols>
  <sheetData>
    <row r="1" spans="1:14" x14ac:dyDescent="0.25">
      <c r="A1" s="152" t="s">
        <v>0</v>
      </c>
    </row>
    <row r="3" spans="1:14" ht="15.75" x14ac:dyDescent="0.25">
      <c r="A3" s="26" t="s">
        <v>78</v>
      </c>
      <c r="G3" s="34" t="str">
        <f>B_Schlüssel!J1</f>
        <v>Version 2025/2</v>
      </c>
    </row>
    <row r="4" spans="1:14" s="156" customFormat="1" ht="30" customHeight="1" x14ac:dyDescent="0.35">
      <c r="A4" s="3" t="s">
        <v>221</v>
      </c>
      <c r="B4" s="3"/>
      <c r="I4" s="304"/>
      <c r="J4" s="304"/>
      <c r="L4" s="304"/>
      <c r="M4" s="304"/>
      <c r="N4" s="304"/>
    </row>
    <row r="5" spans="1:14" s="156" customFormat="1" ht="20.100000000000001" customHeight="1" x14ac:dyDescent="0.35">
      <c r="A5" s="54"/>
      <c r="B5" s="3"/>
      <c r="I5" s="157"/>
      <c r="J5" s="157"/>
      <c r="L5" s="157"/>
      <c r="M5" s="157"/>
      <c r="N5" s="157"/>
    </row>
    <row r="6" spans="1:14" ht="18.75" x14ac:dyDescent="0.3">
      <c r="A6" s="68" t="s">
        <v>10</v>
      </c>
      <c r="B6" s="350"/>
      <c r="C6" s="351" t="str">
        <f>'A_ Personal'!C8</f>
        <v xml:space="preserve"> </v>
      </c>
      <c r="D6" s="154"/>
      <c r="E6" s="482" t="str">
        <f>"ZSR "&amp;ZSR</f>
        <v xml:space="preserve">ZSR </v>
      </c>
      <c r="F6" s="482"/>
      <c r="G6" s="384"/>
    </row>
    <row r="7" spans="1:14" ht="18.75" x14ac:dyDescent="0.3">
      <c r="A7" s="68" t="s">
        <v>11</v>
      </c>
      <c r="B7" s="350"/>
      <c r="C7" s="352">
        <f>akjahr</f>
        <v>2025</v>
      </c>
      <c r="D7" s="155"/>
      <c r="E7" s="155"/>
      <c r="F7" s="155"/>
      <c r="G7" s="155"/>
    </row>
    <row r="9" spans="1:14" ht="19.5" customHeight="1" x14ac:dyDescent="0.25">
      <c r="A9" s="498" t="s">
        <v>296</v>
      </c>
      <c r="B9" s="498"/>
      <c r="C9" s="158" t="s">
        <v>195</v>
      </c>
      <c r="D9" s="158" t="s">
        <v>199</v>
      </c>
      <c r="E9" s="158" t="s">
        <v>201</v>
      </c>
      <c r="F9" s="158" t="s">
        <v>1</v>
      </c>
      <c r="G9" s="1" t="s">
        <v>104</v>
      </c>
    </row>
    <row r="10" spans="1:14" s="96" customFormat="1" ht="29.25" customHeight="1" x14ac:dyDescent="0.25">
      <c r="A10" s="498"/>
      <c r="B10" s="498"/>
      <c r="C10" s="159" t="s">
        <v>236</v>
      </c>
      <c r="D10" s="159" t="s">
        <v>200</v>
      </c>
      <c r="E10" s="159" t="str">
        <f>+D10</f>
        <v>im Kanton Schaffhausen</v>
      </c>
      <c r="F10" s="159" t="str">
        <f>E10</f>
        <v>im Kanton Schaffhausen</v>
      </c>
      <c r="H10" s="499" t="s">
        <v>336</v>
      </c>
      <c r="I10" s="500"/>
      <c r="J10" s="500"/>
      <c r="K10" s="501"/>
    </row>
    <row r="11" spans="1:14" ht="31.5" customHeight="1" x14ac:dyDescent="0.25">
      <c r="A11" s="2">
        <v>30</v>
      </c>
      <c r="B11" s="5" t="s">
        <v>81</v>
      </c>
      <c r="C11" s="160">
        <f>SUM(C12:C17)</f>
        <v>0</v>
      </c>
      <c r="D11" s="161">
        <f>SUM(D12:D17)</f>
        <v>0</v>
      </c>
      <c r="E11" s="161">
        <f>SUM(E12:E17)</f>
        <v>0</v>
      </c>
      <c r="F11" s="161">
        <f>SUM(D11:E11)</f>
        <v>0</v>
      </c>
      <c r="G11" s="162" t="str">
        <f t="shared" ref="G11:G32" si="0">IFERROR(F11/F$34,"")</f>
        <v/>
      </c>
      <c r="H11" s="496" t="s">
        <v>330</v>
      </c>
      <c r="I11" s="497"/>
      <c r="J11" s="496" t="s">
        <v>335</v>
      </c>
      <c r="K11" s="497"/>
    </row>
    <row r="12" spans="1:14" ht="31.5" customHeight="1" x14ac:dyDescent="0.25">
      <c r="A12" s="460">
        <v>310</v>
      </c>
      <c r="B12" s="191" t="s">
        <v>208</v>
      </c>
      <c r="C12" s="269"/>
      <c r="D12" s="270"/>
      <c r="E12" s="271"/>
      <c r="F12" s="477">
        <f t="shared" ref="F12:F14" si="1">SUM(D12:E12)</f>
        <v>0</v>
      </c>
      <c r="G12" s="474" t="str">
        <f t="shared" si="0"/>
        <v/>
      </c>
      <c r="H12" s="461">
        <f>IFERROR(ROUND(D12/SUM($F$12:$F$14),4),0)</f>
        <v>0</v>
      </c>
      <c r="I12" s="462"/>
      <c r="J12" s="467">
        <f>ROUND($D$15*H12,0)</f>
        <v>0</v>
      </c>
      <c r="K12" s="468"/>
    </row>
    <row r="13" spans="1:14" x14ac:dyDescent="0.25">
      <c r="A13" s="163">
        <v>320</v>
      </c>
      <c r="B13" s="164" t="s">
        <v>82</v>
      </c>
      <c r="C13" s="46"/>
      <c r="D13" s="270"/>
      <c r="E13" s="43"/>
      <c r="F13" s="477">
        <f t="shared" si="1"/>
        <v>0</v>
      </c>
      <c r="G13" s="474" t="str">
        <f t="shared" si="0"/>
        <v/>
      </c>
      <c r="H13" s="461">
        <f t="shared" ref="H13" si="2">IFERROR(ROUND(D13/SUM($F$12:$F$14),4),0)</f>
        <v>0</v>
      </c>
      <c r="I13" s="462">
        <f>IFERROR(ROUND(E13/SUM(F12:F14),4),0)</f>
        <v>0</v>
      </c>
      <c r="J13" s="467">
        <f>ROUND($D$15*H13,0)</f>
        <v>0</v>
      </c>
      <c r="K13" s="469">
        <f>ROUND($D$15*I13,0)</f>
        <v>0</v>
      </c>
    </row>
    <row r="14" spans="1:14" ht="14.25" customHeight="1" x14ac:dyDescent="0.25">
      <c r="A14" s="163">
        <v>330</v>
      </c>
      <c r="B14" s="164" t="s">
        <v>256</v>
      </c>
      <c r="C14" s="46"/>
      <c r="D14" s="42"/>
      <c r="E14" s="165"/>
      <c r="F14" s="477">
        <f t="shared" si="1"/>
        <v>0</v>
      </c>
      <c r="G14" s="474" t="str">
        <f t="shared" si="0"/>
        <v/>
      </c>
      <c r="H14" s="463">
        <f>1-SUM(H12:I13)</f>
        <v>1</v>
      </c>
      <c r="I14" s="464"/>
      <c r="J14" s="470">
        <f>ROUND($D$15*H14,0)</f>
        <v>0</v>
      </c>
      <c r="K14" s="471"/>
    </row>
    <row r="15" spans="1:14" x14ac:dyDescent="0.25">
      <c r="A15" s="163">
        <v>370</v>
      </c>
      <c r="B15" s="164" t="s">
        <v>209</v>
      </c>
      <c r="C15" s="46"/>
      <c r="D15" s="42"/>
      <c r="E15" s="165"/>
      <c r="F15" s="477">
        <f>SUM(D15:E15)</f>
        <v>0</v>
      </c>
      <c r="G15" s="474" t="str">
        <f t="shared" si="0"/>
        <v/>
      </c>
      <c r="H15" s="381"/>
      <c r="I15" s="166"/>
      <c r="J15" s="465"/>
      <c r="K15" s="465"/>
    </row>
    <row r="16" spans="1:14" x14ac:dyDescent="0.25">
      <c r="A16" s="163">
        <v>380</v>
      </c>
      <c r="B16" s="164" t="s">
        <v>83</v>
      </c>
      <c r="C16" s="46"/>
      <c r="D16" s="42"/>
      <c r="E16" s="43"/>
      <c r="F16" s="477">
        <f t="shared" ref="F16:F17" si="3">SUM(D16:E16)</f>
        <v>0</v>
      </c>
      <c r="G16" s="474" t="str">
        <f t="shared" si="0"/>
        <v/>
      </c>
      <c r="I16" s="472" t="s">
        <v>340</v>
      </c>
      <c r="J16" s="466">
        <f>J12+J13</f>
        <v>0</v>
      </c>
      <c r="K16" s="465"/>
    </row>
    <row r="17" spans="1:8" x14ac:dyDescent="0.25">
      <c r="A17" s="163">
        <v>390</v>
      </c>
      <c r="B17" s="164" t="s">
        <v>84</v>
      </c>
      <c r="C17" s="46"/>
      <c r="D17" s="42"/>
      <c r="E17" s="43"/>
      <c r="F17" s="477">
        <f t="shared" si="3"/>
        <v>0</v>
      </c>
      <c r="G17" s="474" t="str">
        <f t="shared" si="0"/>
        <v/>
      </c>
    </row>
    <row r="18" spans="1:8" ht="25.5" customHeight="1" x14ac:dyDescent="0.25">
      <c r="A18" s="2">
        <v>40</v>
      </c>
      <c r="B18" s="123" t="s">
        <v>85</v>
      </c>
      <c r="C18" s="167">
        <f>SUM(C19:C20)</f>
        <v>0</v>
      </c>
      <c r="D18" s="168">
        <f t="shared" ref="D18:E18" si="4">SUM(D19:D20)</f>
        <v>0</v>
      </c>
      <c r="E18" s="168">
        <f t="shared" si="4"/>
        <v>0</v>
      </c>
      <c r="F18" s="279">
        <f>SUM(D18:E18)</f>
        <v>0</v>
      </c>
      <c r="G18" s="162" t="str">
        <f t="shared" si="0"/>
        <v/>
      </c>
    </row>
    <row r="19" spans="1:8" x14ac:dyDescent="0.25">
      <c r="A19" s="163">
        <v>400</v>
      </c>
      <c r="B19" s="164" t="s">
        <v>86</v>
      </c>
      <c r="C19" s="46"/>
      <c r="D19" s="42"/>
      <c r="E19" s="43"/>
      <c r="F19" s="477">
        <f t="shared" ref="F19:F22" si="5">SUM(D19:E19)</f>
        <v>0</v>
      </c>
      <c r="G19" s="475" t="str">
        <f t="shared" si="0"/>
        <v/>
      </c>
    </row>
    <row r="20" spans="1:8" x14ac:dyDescent="0.25">
      <c r="A20" s="163">
        <v>460</v>
      </c>
      <c r="B20" s="164" t="s">
        <v>87</v>
      </c>
      <c r="C20" s="46"/>
      <c r="D20" s="42"/>
      <c r="E20" s="43"/>
      <c r="F20" s="477">
        <f t="shared" si="5"/>
        <v>0</v>
      </c>
      <c r="G20" s="475" t="str">
        <f t="shared" si="0"/>
        <v/>
      </c>
      <c r="H20" s="170"/>
    </row>
    <row r="21" spans="1:8" s="334" customFormat="1" ht="16.5" customHeight="1" x14ac:dyDescent="0.25">
      <c r="A21" s="330"/>
      <c r="B21" s="331" t="s">
        <v>88</v>
      </c>
      <c r="C21" s="332"/>
      <c r="D21" s="332"/>
      <c r="E21" s="332"/>
      <c r="F21" s="477">
        <f t="shared" si="5"/>
        <v>0</v>
      </c>
      <c r="G21" s="475" t="str">
        <f t="shared" si="0"/>
        <v/>
      </c>
      <c r="H21" s="333"/>
    </row>
    <row r="22" spans="1:8" s="334" customFormat="1" ht="13.5" customHeight="1" x14ac:dyDescent="0.25">
      <c r="A22" s="330"/>
      <c r="B22" s="331" t="s">
        <v>95</v>
      </c>
      <c r="C22" s="332"/>
      <c r="D22" s="332"/>
      <c r="E22" s="332"/>
      <c r="F22" s="477">
        <f t="shared" si="5"/>
        <v>0</v>
      </c>
      <c r="G22" s="475" t="str">
        <f t="shared" si="0"/>
        <v/>
      </c>
      <c r="H22" s="333"/>
    </row>
    <row r="23" spans="1:8" s="5" customFormat="1" ht="18.75" customHeight="1" x14ac:dyDescent="0.25">
      <c r="A23" s="172">
        <v>50</v>
      </c>
      <c r="B23" s="5" t="s">
        <v>94</v>
      </c>
      <c r="C23" s="167">
        <f>SUM(C24:C28,C30:C32)</f>
        <v>0</v>
      </c>
      <c r="D23" s="168">
        <f>SUM(D24:D28,D30:D32)</f>
        <v>0</v>
      </c>
      <c r="E23" s="168">
        <f>SUM(E24:E28,E30:E32)</f>
        <v>0</v>
      </c>
      <c r="F23" s="279">
        <f>SUM(D23:E23)</f>
        <v>0</v>
      </c>
      <c r="G23" s="162" t="str">
        <f t="shared" si="0"/>
        <v/>
      </c>
      <c r="H23" s="173"/>
    </row>
    <row r="24" spans="1:8" x14ac:dyDescent="0.25">
      <c r="A24" s="163">
        <v>520</v>
      </c>
      <c r="B24" s="164" t="s">
        <v>96</v>
      </c>
      <c r="C24" s="46"/>
      <c r="D24" s="42"/>
      <c r="E24" s="43"/>
      <c r="F24" s="477">
        <f t="shared" ref="F24:F32" si="6">SUM(D24:E24)</f>
        <v>0</v>
      </c>
      <c r="G24" s="475" t="str">
        <f t="shared" si="0"/>
        <v/>
      </c>
    </row>
    <row r="25" spans="1:8" s="23" customFormat="1" ht="18" customHeight="1" x14ac:dyDescent="0.25">
      <c r="A25" s="280">
        <v>530</v>
      </c>
      <c r="B25" s="171" t="s">
        <v>196</v>
      </c>
      <c r="C25" s="46"/>
      <c r="D25" s="42"/>
      <c r="E25" s="43"/>
      <c r="F25" s="477">
        <f t="shared" si="6"/>
        <v>0</v>
      </c>
      <c r="G25" s="476" t="str">
        <f t="shared" si="0"/>
        <v/>
      </c>
    </row>
    <row r="26" spans="1:8" x14ac:dyDescent="0.25">
      <c r="A26" s="139">
        <v>550</v>
      </c>
      <c r="B26" s="174" t="s">
        <v>89</v>
      </c>
      <c r="C26" s="46"/>
      <c r="D26" s="42"/>
      <c r="E26" s="43"/>
      <c r="F26" s="477">
        <f t="shared" si="6"/>
        <v>0</v>
      </c>
      <c r="G26" s="475" t="str">
        <f t="shared" si="0"/>
        <v/>
      </c>
      <c r="H26" s="174"/>
    </row>
    <row r="27" spans="1:8" x14ac:dyDescent="0.25">
      <c r="A27" s="139">
        <v>560</v>
      </c>
      <c r="B27" s="174" t="s">
        <v>90</v>
      </c>
      <c r="C27" s="46"/>
      <c r="D27" s="42"/>
      <c r="E27" s="43"/>
      <c r="F27" s="477">
        <f t="shared" si="6"/>
        <v>0</v>
      </c>
      <c r="G27" s="475" t="str">
        <f t="shared" si="0"/>
        <v/>
      </c>
      <c r="H27" s="174"/>
    </row>
    <row r="28" spans="1:8" x14ac:dyDescent="0.25">
      <c r="A28" s="139">
        <v>570</v>
      </c>
      <c r="B28" s="174" t="s">
        <v>91</v>
      </c>
      <c r="C28" s="46"/>
      <c r="D28" s="42"/>
      <c r="E28" s="43"/>
      <c r="F28" s="477">
        <f t="shared" si="6"/>
        <v>0</v>
      </c>
      <c r="G28" s="475" t="str">
        <f t="shared" si="0"/>
        <v/>
      </c>
      <c r="H28" s="174"/>
    </row>
    <row r="29" spans="1:8" x14ac:dyDescent="0.25">
      <c r="A29" s="139"/>
      <c r="B29" s="336" t="s">
        <v>88</v>
      </c>
      <c r="C29" s="45"/>
      <c r="D29" s="335"/>
      <c r="E29" s="335"/>
      <c r="F29" s="477">
        <f t="shared" si="6"/>
        <v>0</v>
      </c>
      <c r="G29" s="475" t="str">
        <f t="shared" si="0"/>
        <v/>
      </c>
      <c r="H29" s="174"/>
    </row>
    <row r="30" spans="1:8" x14ac:dyDescent="0.25">
      <c r="A30" s="139">
        <v>580</v>
      </c>
      <c r="B30" s="174" t="s">
        <v>92</v>
      </c>
      <c r="C30" s="46"/>
      <c r="D30" s="42"/>
      <c r="E30" s="43"/>
      <c r="F30" s="477">
        <f t="shared" si="6"/>
        <v>0</v>
      </c>
      <c r="G30" s="475" t="str">
        <f t="shared" si="0"/>
        <v/>
      </c>
      <c r="H30" s="174"/>
    </row>
    <row r="31" spans="1:8" x14ac:dyDescent="0.25">
      <c r="A31" s="139">
        <v>590</v>
      </c>
      <c r="B31" s="170" t="s">
        <v>271</v>
      </c>
      <c r="C31" s="46"/>
      <c r="D31" s="42"/>
      <c r="E31" s="43"/>
      <c r="F31" s="477">
        <f t="shared" si="6"/>
        <v>0</v>
      </c>
      <c r="G31" s="475" t="str">
        <f t="shared" si="0"/>
        <v/>
      </c>
      <c r="H31" s="170"/>
    </row>
    <row r="32" spans="1:8" x14ac:dyDescent="0.25">
      <c r="A32" s="139">
        <v>540</v>
      </c>
      <c r="B32" s="170" t="s">
        <v>93</v>
      </c>
      <c r="C32" s="46"/>
      <c r="D32" s="42"/>
      <c r="E32" s="43"/>
      <c r="F32" s="477">
        <f t="shared" si="6"/>
        <v>0</v>
      </c>
      <c r="G32" s="475" t="str">
        <f t="shared" si="0"/>
        <v/>
      </c>
      <c r="H32" s="170"/>
    </row>
    <row r="33" spans="1:14" x14ac:dyDescent="0.25">
      <c r="A33" s="175"/>
      <c r="B33" s="170"/>
      <c r="C33" s="176"/>
      <c r="D33" s="177"/>
      <c r="E33" s="177"/>
      <c r="F33" s="168"/>
      <c r="G33" s="170"/>
      <c r="H33" s="170"/>
    </row>
    <row r="34" spans="1:14" s="5" customFormat="1" x14ac:dyDescent="0.25">
      <c r="A34" s="178" t="s">
        <v>97</v>
      </c>
      <c r="B34" s="179"/>
      <c r="C34" s="180">
        <f>+C11+C23+C18</f>
        <v>0</v>
      </c>
      <c r="D34" s="180">
        <f>+D11+D23+D18</f>
        <v>0</v>
      </c>
      <c r="E34" s="180">
        <f>+E11+E23+E18</f>
        <v>0</v>
      </c>
      <c r="F34" s="180">
        <f>SUM(D34:E34)</f>
        <v>0</v>
      </c>
      <c r="G34" s="182" t="str">
        <f>IFERROR(+G11+G18+G23,"")</f>
        <v/>
      </c>
      <c r="H34" s="173"/>
      <c r="M34"/>
      <c r="N34"/>
    </row>
    <row r="35" spans="1:14" x14ac:dyDescent="0.25">
      <c r="A35" s="175"/>
      <c r="B35" s="170"/>
      <c r="C35" s="183"/>
      <c r="D35" s="184"/>
      <c r="E35" s="184"/>
      <c r="F35" s="275"/>
      <c r="G35" s="170"/>
      <c r="H35" s="170"/>
    </row>
    <row r="36" spans="1:14" x14ac:dyDescent="0.25">
      <c r="A36" s="172">
        <v>60</v>
      </c>
      <c r="B36" s="5" t="s">
        <v>98</v>
      </c>
      <c r="C36" s="160">
        <f>SUM(C38:C43)</f>
        <v>0</v>
      </c>
      <c r="D36" s="161">
        <f t="shared" ref="D36:E36" si="7">SUM(D38:D43)</f>
        <v>0</v>
      </c>
      <c r="E36" s="161">
        <f t="shared" si="7"/>
        <v>0</v>
      </c>
      <c r="F36" s="161">
        <f t="shared" ref="F36:F54" si="8">SUM(D36:E36)</f>
        <v>0</v>
      </c>
      <c r="G36" s="162" t="str">
        <f t="shared" ref="G36:G43" si="9">IFERROR(F36/F$52,"")</f>
        <v/>
      </c>
    </row>
    <row r="37" spans="1:14" x14ac:dyDescent="0.25">
      <c r="A37" s="163">
        <v>600</v>
      </c>
      <c r="B37" s="164" t="s">
        <v>99</v>
      </c>
      <c r="C37" s="185"/>
      <c r="D37" s="186"/>
      <c r="E37" s="186"/>
      <c r="F37" s="190"/>
      <c r="G37" s="475" t="str">
        <f t="shared" si="9"/>
        <v/>
      </c>
    </row>
    <row r="38" spans="1:14" x14ac:dyDescent="0.25">
      <c r="A38" s="163"/>
      <c r="B38" s="187" t="s">
        <v>211</v>
      </c>
      <c r="C38" s="47"/>
      <c r="D38" s="42"/>
      <c r="E38" s="43"/>
      <c r="F38" s="477">
        <f t="shared" si="8"/>
        <v>0</v>
      </c>
      <c r="G38" s="475" t="str">
        <f t="shared" si="9"/>
        <v/>
      </c>
    </row>
    <row r="39" spans="1:14" x14ac:dyDescent="0.25">
      <c r="A39" s="163"/>
      <c r="B39" s="187" t="s">
        <v>212</v>
      </c>
      <c r="C39" s="47"/>
      <c r="D39" s="42"/>
      <c r="E39" s="43"/>
      <c r="F39" s="477">
        <f t="shared" si="8"/>
        <v>0</v>
      </c>
      <c r="G39" s="475" t="str">
        <f t="shared" si="9"/>
        <v/>
      </c>
    </row>
    <row r="40" spans="1:14" x14ac:dyDescent="0.25">
      <c r="A40" s="163"/>
      <c r="B40" s="187" t="s">
        <v>213</v>
      </c>
      <c r="C40" s="47"/>
      <c r="D40" s="42"/>
      <c r="E40" s="43"/>
      <c r="F40" s="477">
        <f t="shared" si="8"/>
        <v>0</v>
      </c>
      <c r="G40" s="475" t="str">
        <f t="shared" si="9"/>
        <v/>
      </c>
    </row>
    <row r="41" spans="1:14" ht="17.25" customHeight="1" x14ac:dyDescent="0.25">
      <c r="A41" s="163">
        <v>620</v>
      </c>
      <c r="B41" s="191" t="s">
        <v>198</v>
      </c>
      <c r="C41" s="269"/>
      <c r="D41" s="42"/>
      <c r="E41" s="281"/>
      <c r="F41" s="477">
        <f t="shared" si="8"/>
        <v>0</v>
      </c>
      <c r="G41" s="475" t="str">
        <f t="shared" si="9"/>
        <v/>
      </c>
    </row>
    <row r="42" spans="1:14" x14ac:dyDescent="0.25">
      <c r="A42" s="163">
        <v>630</v>
      </c>
      <c r="B42" s="164" t="s">
        <v>325</v>
      </c>
      <c r="C42" s="46"/>
      <c r="D42" s="42"/>
      <c r="E42" s="43"/>
      <c r="F42" s="477">
        <f t="shared" si="8"/>
        <v>0</v>
      </c>
      <c r="G42" s="475" t="str">
        <f t="shared" si="9"/>
        <v/>
      </c>
      <c r="H42" s="170"/>
    </row>
    <row r="43" spans="1:14" x14ac:dyDescent="0.25">
      <c r="A43" s="163">
        <v>670</v>
      </c>
      <c r="B43" s="164" t="s">
        <v>326</v>
      </c>
      <c r="C43" s="46"/>
      <c r="D43" s="42"/>
      <c r="E43" s="43"/>
      <c r="F43" s="477">
        <f t="shared" si="8"/>
        <v>0</v>
      </c>
      <c r="G43" s="475" t="str">
        <f t="shared" si="9"/>
        <v/>
      </c>
      <c r="H43" s="170"/>
    </row>
    <row r="44" spans="1:14" x14ac:dyDescent="0.25">
      <c r="A44" s="163"/>
      <c r="B44" s="164"/>
      <c r="C44" s="185"/>
      <c r="D44" s="186"/>
      <c r="E44" s="165"/>
      <c r="F44" s="274"/>
      <c r="G44" s="169"/>
      <c r="H44" s="170"/>
    </row>
    <row r="45" spans="1:14" s="5" customFormat="1" ht="30" x14ac:dyDescent="0.25">
      <c r="A45" s="282">
        <v>65</v>
      </c>
      <c r="B45" s="188" t="s">
        <v>297</v>
      </c>
      <c r="C45" s="189">
        <f>SUM(C46:C47)</f>
        <v>0</v>
      </c>
      <c r="D45" s="190">
        <f t="shared" ref="D45:E45" si="10">SUM(D46:D47)</f>
        <v>0</v>
      </c>
      <c r="E45" s="190">
        <f t="shared" si="10"/>
        <v>0</v>
      </c>
      <c r="F45" s="473">
        <f t="shared" si="8"/>
        <v>0</v>
      </c>
      <c r="G45" s="162" t="str">
        <f t="shared" ref="G45:G50" si="11">IFERROR(F45/F$52,"")</f>
        <v/>
      </c>
      <c r="H45" s="173"/>
      <c r="N45" s="234"/>
    </row>
    <row r="46" spans="1:14" x14ac:dyDescent="0.25">
      <c r="A46" s="163"/>
      <c r="B46" s="164" t="s">
        <v>205</v>
      </c>
      <c r="C46" s="46"/>
      <c r="D46" s="42"/>
      <c r="E46" s="43"/>
      <c r="F46" s="477">
        <f t="shared" si="8"/>
        <v>0</v>
      </c>
      <c r="G46" s="169" t="str">
        <f t="shared" si="11"/>
        <v/>
      </c>
      <c r="H46" s="170"/>
    </row>
    <row r="47" spans="1:14" x14ac:dyDescent="0.25">
      <c r="A47" s="163"/>
      <c r="B47" s="164" t="s">
        <v>206</v>
      </c>
      <c r="C47" s="46"/>
      <c r="D47" s="42"/>
      <c r="E47" s="43"/>
      <c r="F47" s="477">
        <f t="shared" si="8"/>
        <v>0</v>
      </c>
      <c r="G47" s="169" t="str">
        <f t="shared" si="11"/>
        <v/>
      </c>
      <c r="H47" s="170"/>
    </row>
    <row r="48" spans="1:14" ht="21.75" customHeight="1" x14ac:dyDescent="0.25">
      <c r="A48" s="172">
        <v>70</v>
      </c>
      <c r="B48" s="5" t="s">
        <v>101</v>
      </c>
      <c r="C48" s="160">
        <f>C49-C50</f>
        <v>0</v>
      </c>
      <c r="D48" s="160">
        <f>D49-D50</f>
        <v>0</v>
      </c>
      <c r="E48" s="160">
        <f>E49-E50</f>
        <v>0</v>
      </c>
      <c r="F48" s="279">
        <f t="shared" si="8"/>
        <v>0</v>
      </c>
      <c r="G48" s="162" t="str">
        <f t="shared" si="11"/>
        <v/>
      </c>
    </row>
    <row r="49" spans="1:16380" ht="15" customHeight="1" x14ac:dyDescent="0.25">
      <c r="A49" s="163">
        <v>700</v>
      </c>
      <c r="B49" s="191" t="s">
        <v>100</v>
      </c>
      <c r="C49" s="46"/>
      <c r="D49" s="42"/>
      <c r="E49" s="43"/>
      <c r="F49" s="477">
        <f t="shared" si="8"/>
        <v>0</v>
      </c>
      <c r="G49" s="169" t="str">
        <f t="shared" si="11"/>
        <v/>
      </c>
      <c r="H49" s="170"/>
    </row>
    <row r="50" spans="1:16380" x14ac:dyDescent="0.25">
      <c r="A50" s="163">
        <v>750</v>
      </c>
      <c r="B50" s="164" t="s">
        <v>287</v>
      </c>
      <c r="C50" s="46"/>
      <c r="D50" s="42"/>
      <c r="E50" s="43"/>
      <c r="F50" s="477">
        <f t="shared" si="8"/>
        <v>0</v>
      </c>
      <c r="G50" s="169" t="str">
        <f t="shared" si="11"/>
        <v/>
      </c>
      <c r="H50" s="170"/>
    </row>
    <row r="51" spans="1:16380" x14ac:dyDescent="0.25">
      <c r="A51" s="172"/>
      <c r="B51" s="173"/>
      <c r="C51" s="192"/>
      <c r="D51" s="192"/>
      <c r="E51" s="165"/>
      <c r="F51" s="279"/>
      <c r="G51" s="170"/>
      <c r="H51" s="170"/>
    </row>
    <row r="52" spans="1:16380" s="5" customFormat="1" x14ac:dyDescent="0.25">
      <c r="A52" s="193" t="s">
        <v>102</v>
      </c>
      <c r="B52" s="179"/>
      <c r="C52" s="181">
        <f>+C36++C45+C48</f>
        <v>0</v>
      </c>
      <c r="D52" s="181">
        <f>+D36+D45+D48</f>
        <v>0</v>
      </c>
      <c r="E52" s="181">
        <f>+E36+E45+E48</f>
        <v>0</v>
      </c>
      <c r="F52" s="181">
        <f t="shared" si="8"/>
        <v>0</v>
      </c>
      <c r="G52" s="182" t="str">
        <f>IFERROR(+G36+G48,"")</f>
        <v/>
      </c>
      <c r="H52" s="173"/>
    </row>
    <row r="53" spans="1:16380" x14ac:dyDescent="0.25">
      <c r="A53" s="194"/>
      <c r="B53" s="173"/>
      <c r="C53" s="184"/>
      <c r="D53" s="184"/>
      <c r="E53" s="184"/>
      <c r="F53" s="275"/>
      <c r="G53" s="170"/>
      <c r="H53" s="170"/>
    </row>
    <row r="54" spans="1:16380" x14ac:dyDescent="0.25">
      <c r="A54" s="193" t="s">
        <v>197</v>
      </c>
      <c r="B54" s="179"/>
      <c r="C54" s="181">
        <f>C52-C34</f>
        <v>0</v>
      </c>
      <c r="D54" s="181">
        <f>D52-D34</f>
        <v>0</v>
      </c>
      <c r="E54" s="181">
        <f>E52-E34</f>
        <v>0</v>
      </c>
      <c r="F54" s="181">
        <f t="shared" si="8"/>
        <v>0</v>
      </c>
      <c r="G54" s="454" t="str">
        <f>IFERROR(+F54/F34,"")</f>
        <v/>
      </c>
      <c r="H54" s="172"/>
      <c r="I54" s="173"/>
      <c r="J54" s="173"/>
      <c r="L54" s="173"/>
      <c r="M54" s="173"/>
      <c r="N54" s="172"/>
      <c r="O54" s="173"/>
      <c r="P54" s="173"/>
      <c r="Q54" s="173"/>
      <c r="R54" s="172"/>
      <c r="S54" s="173"/>
      <c r="T54" s="173"/>
      <c r="U54" s="172"/>
      <c r="V54" s="173"/>
      <c r="W54" s="173"/>
      <c r="X54" s="172"/>
      <c r="Y54" s="173"/>
      <c r="Z54" s="173"/>
      <c r="AA54" s="172"/>
      <c r="AB54" s="173"/>
      <c r="AC54" s="173"/>
      <c r="AD54" s="172"/>
      <c r="AE54" s="173"/>
      <c r="AF54" s="173"/>
      <c r="AG54" s="172"/>
      <c r="AH54" s="173"/>
      <c r="AI54" s="173"/>
      <c r="AJ54" s="172"/>
      <c r="AK54" s="173"/>
      <c r="AL54" s="173"/>
      <c r="AM54" s="172"/>
      <c r="AN54" s="173"/>
      <c r="AO54" s="173"/>
      <c r="AP54" s="172"/>
      <c r="AQ54" s="173"/>
      <c r="AR54" s="173"/>
      <c r="AS54" s="172"/>
      <c r="AT54" s="173"/>
      <c r="AU54" s="173"/>
      <c r="AV54" s="172"/>
      <c r="AW54" s="173"/>
      <c r="AX54" s="173"/>
      <c r="AY54" s="172"/>
      <c r="AZ54" s="173"/>
      <c r="BA54" s="173"/>
      <c r="BB54" s="172"/>
      <c r="BC54" s="173"/>
      <c r="BD54" s="173"/>
      <c r="BE54" s="172"/>
      <c r="BF54" s="173"/>
      <c r="BG54" s="173"/>
      <c r="BH54" s="172"/>
      <c r="BI54" s="173"/>
      <c r="BJ54" s="173"/>
      <c r="BK54" s="172"/>
      <c r="BL54" s="173"/>
      <c r="BM54" s="173"/>
      <c r="BN54" s="172"/>
      <c r="BO54" s="173"/>
      <c r="BP54" s="173"/>
      <c r="BQ54" s="172"/>
      <c r="BR54" s="173"/>
      <c r="BS54" s="173"/>
      <c r="BT54" s="172"/>
      <c r="BU54" s="173"/>
      <c r="BV54" s="173"/>
      <c r="BW54" s="172"/>
      <c r="BX54" s="173"/>
      <c r="BY54" s="173"/>
      <c r="BZ54" s="172"/>
      <c r="CA54" s="173"/>
      <c r="CB54" s="173"/>
      <c r="CC54" s="172"/>
      <c r="CD54" s="173"/>
      <c r="CE54" s="173"/>
      <c r="CF54" s="172"/>
      <c r="CG54" s="173"/>
      <c r="CH54" s="173"/>
      <c r="CI54" s="172"/>
      <c r="CJ54" s="173"/>
      <c r="CK54" s="173"/>
      <c r="CL54" s="172"/>
      <c r="CM54" s="173"/>
      <c r="CN54" s="173"/>
      <c r="CO54" s="172"/>
      <c r="CP54" s="173"/>
      <c r="CQ54" s="173"/>
      <c r="CR54" s="172"/>
      <c r="CS54" s="173"/>
      <c r="CT54" s="173"/>
      <c r="CU54" s="172"/>
      <c r="CV54" s="173"/>
      <c r="CW54" s="173"/>
      <c r="CX54" s="172"/>
      <c r="CY54" s="173"/>
      <c r="CZ54" s="173"/>
      <c r="DA54" s="172"/>
      <c r="DB54" s="173"/>
      <c r="DC54" s="173"/>
      <c r="DD54" s="172"/>
      <c r="DE54" s="173"/>
      <c r="DF54" s="173"/>
      <c r="DG54" s="172"/>
      <c r="DH54" s="173"/>
      <c r="DI54" s="173"/>
      <c r="DJ54" s="172"/>
      <c r="DK54" s="173"/>
      <c r="DL54" s="173"/>
      <c r="DM54" s="172"/>
      <c r="DN54" s="173"/>
      <c r="DO54" s="173"/>
      <c r="DP54" s="172"/>
      <c r="DQ54" s="173"/>
      <c r="DR54" s="173"/>
      <c r="DS54" s="172"/>
      <c r="DT54" s="173"/>
      <c r="DU54" s="173"/>
      <c r="DV54" s="172"/>
      <c r="DW54" s="173"/>
      <c r="DX54" s="173"/>
      <c r="DY54" s="172"/>
      <c r="DZ54" s="173"/>
      <c r="EA54" s="173"/>
      <c r="EB54" s="172"/>
      <c r="EC54" s="173"/>
      <c r="ED54" s="173"/>
      <c r="EE54" s="172"/>
      <c r="EF54" s="173"/>
      <c r="EG54" s="173"/>
      <c r="EH54" s="172"/>
      <c r="EI54" s="173"/>
      <c r="EJ54" s="173"/>
      <c r="EK54" s="172"/>
      <c r="EL54" s="173"/>
      <c r="EM54" s="173"/>
      <c r="EN54" s="172"/>
      <c r="EO54" s="173"/>
      <c r="EP54" s="173"/>
      <c r="EQ54" s="172"/>
      <c r="ER54" s="173"/>
      <c r="ES54" s="173"/>
      <c r="ET54" s="172"/>
      <c r="EU54" s="173"/>
      <c r="EV54" s="173"/>
      <c r="EW54" s="172"/>
      <c r="EX54" s="173"/>
      <c r="EY54" s="173"/>
      <c r="EZ54" s="172"/>
      <c r="FA54" s="173"/>
      <c r="FB54" s="173"/>
      <c r="FC54" s="172"/>
      <c r="FD54" s="173"/>
      <c r="FE54" s="173"/>
      <c r="FF54" s="172"/>
      <c r="FG54" s="173"/>
      <c r="FH54" s="173"/>
      <c r="FI54" s="172"/>
      <c r="FJ54" s="173"/>
      <c r="FK54" s="173"/>
      <c r="FL54" s="172"/>
      <c r="FM54" s="173"/>
      <c r="FN54" s="173"/>
      <c r="FO54" s="172"/>
      <c r="FP54" s="173"/>
      <c r="FQ54" s="173"/>
      <c r="FR54" s="172"/>
      <c r="FS54" s="173"/>
      <c r="FT54" s="173"/>
      <c r="FU54" s="172"/>
      <c r="FV54" s="173"/>
      <c r="FW54" s="173"/>
      <c r="FX54" s="172"/>
      <c r="FY54" s="173"/>
      <c r="FZ54" s="173"/>
      <c r="GA54" s="172"/>
      <c r="GB54" s="173"/>
      <c r="GC54" s="173"/>
      <c r="GD54" s="172"/>
      <c r="GE54" s="173"/>
      <c r="GF54" s="173"/>
      <c r="GG54" s="172"/>
      <c r="GH54" s="173"/>
      <c r="GI54" s="173"/>
      <c r="GJ54" s="172"/>
      <c r="GK54" s="173"/>
      <c r="GL54" s="173"/>
      <c r="GM54" s="172"/>
      <c r="GN54" s="173"/>
      <c r="GO54" s="173"/>
      <c r="GP54" s="172"/>
      <c r="GQ54" s="173"/>
      <c r="GR54" s="173"/>
      <c r="GS54" s="172"/>
      <c r="GT54" s="173"/>
      <c r="GU54" s="173"/>
      <c r="GV54" s="172"/>
      <c r="GW54" s="173"/>
      <c r="GX54" s="173"/>
      <c r="GY54" s="172"/>
      <c r="GZ54" s="173"/>
      <c r="HA54" s="173"/>
      <c r="HB54" s="172"/>
      <c r="HC54" s="173"/>
      <c r="HD54" s="173"/>
      <c r="HE54" s="172"/>
      <c r="HF54" s="173"/>
      <c r="HG54" s="173"/>
      <c r="HH54" s="172"/>
      <c r="HI54" s="173"/>
      <c r="HJ54" s="173"/>
      <c r="HK54" s="172"/>
      <c r="HL54" s="173"/>
      <c r="HM54" s="173"/>
      <c r="HN54" s="172"/>
      <c r="HO54" s="173"/>
      <c r="HP54" s="173"/>
      <c r="HQ54" s="172"/>
      <c r="HR54" s="173"/>
      <c r="HS54" s="173"/>
      <c r="HT54" s="172"/>
      <c r="HU54" s="173"/>
      <c r="HV54" s="173"/>
      <c r="HW54" s="172"/>
      <c r="HX54" s="173"/>
      <c r="HY54" s="173"/>
      <c r="HZ54" s="172"/>
      <c r="IA54" s="173"/>
      <c r="IB54" s="173"/>
      <c r="IC54" s="172"/>
      <c r="ID54" s="173"/>
      <c r="IE54" s="173"/>
      <c r="IF54" s="172"/>
      <c r="IG54" s="173"/>
      <c r="IH54" s="173"/>
      <c r="II54" s="172"/>
      <c r="IJ54" s="173"/>
      <c r="IK54" s="173"/>
      <c r="IL54" s="172"/>
      <c r="IM54" s="173"/>
      <c r="IN54" s="173"/>
      <c r="IO54" s="172"/>
      <c r="IP54" s="173"/>
      <c r="IQ54" s="173"/>
      <c r="IR54" s="172"/>
      <c r="IS54" s="173"/>
      <c r="IT54" s="173"/>
      <c r="IU54" s="172"/>
      <c r="IV54" s="173"/>
      <c r="IW54" s="173"/>
      <c r="IX54" s="172"/>
      <c r="IY54" s="173"/>
      <c r="IZ54" s="173"/>
      <c r="JA54" s="172"/>
      <c r="JB54" s="173"/>
      <c r="JC54" s="173"/>
      <c r="JD54" s="172"/>
      <c r="JE54" s="173"/>
      <c r="JF54" s="173"/>
      <c r="JG54" s="172"/>
      <c r="JH54" s="173"/>
      <c r="JI54" s="173"/>
      <c r="JJ54" s="172"/>
      <c r="JK54" s="173"/>
      <c r="JL54" s="173"/>
      <c r="JM54" s="172"/>
      <c r="JN54" s="173"/>
      <c r="JO54" s="173"/>
      <c r="JP54" s="172"/>
      <c r="JQ54" s="173"/>
      <c r="JR54" s="173"/>
      <c r="JS54" s="172"/>
      <c r="JT54" s="173"/>
      <c r="JU54" s="173"/>
      <c r="JV54" s="172"/>
      <c r="JW54" s="173"/>
      <c r="JX54" s="173"/>
      <c r="JY54" s="172"/>
      <c r="JZ54" s="173"/>
      <c r="KA54" s="173"/>
      <c r="KB54" s="172"/>
      <c r="KC54" s="173"/>
      <c r="KD54" s="173"/>
      <c r="KE54" s="172"/>
      <c r="KF54" s="173"/>
      <c r="KG54" s="173"/>
      <c r="KH54" s="172"/>
      <c r="KI54" s="173"/>
      <c r="KJ54" s="173"/>
      <c r="KK54" s="172"/>
      <c r="KL54" s="173"/>
      <c r="KM54" s="173"/>
      <c r="KN54" s="172"/>
      <c r="KO54" s="173"/>
      <c r="KP54" s="173"/>
      <c r="KQ54" s="172"/>
      <c r="KR54" s="173"/>
      <c r="KS54" s="173"/>
      <c r="KT54" s="172"/>
      <c r="KU54" s="173"/>
      <c r="KV54" s="173"/>
      <c r="KW54" s="172"/>
      <c r="KX54" s="173"/>
      <c r="KY54" s="173"/>
      <c r="KZ54" s="172"/>
      <c r="LA54" s="173"/>
      <c r="LB54" s="173"/>
      <c r="LC54" s="172"/>
      <c r="LD54" s="173"/>
      <c r="LE54" s="173"/>
      <c r="LF54" s="172"/>
      <c r="LG54" s="173"/>
      <c r="LH54" s="173"/>
      <c r="LI54" s="172"/>
      <c r="LJ54" s="173"/>
      <c r="LK54" s="173"/>
      <c r="LL54" s="172"/>
      <c r="LM54" s="173"/>
      <c r="LN54" s="173"/>
      <c r="LO54" s="172"/>
      <c r="LP54" s="173"/>
      <c r="LQ54" s="173"/>
      <c r="LR54" s="172"/>
      <c r="LS54" s="173"/>
      <c r="LT54" s="173"/>
      <c r="LU54" s="172"/>
      <c r="LV54" s="173"/>
      <c r="LW54" s="173"/>
      <c r="LX54" s="172"/>
      <c r="LY54" s="173"/>
      <c r="LZ54" s="173"/>
      <c r="MA54" s="172"/>
      <c r="MB54" s="173"/>
      <c r="MC54" s="173"/>
      <c r="MD54" s="172"/>
      <c r="ME54" s="173"/>
      <c r="MF54" s="173"/>
      <c r="MG54" s="172"/>
      <c r="MH54" s="173"/>
      <c r="MI54" s="173"/>
      <c r="MJ54" s="172"/>
      <c r="MK54" s="173"/>
      <c r="ML54" s="173"/>
      <c r="MM54" s="172"/>
      <c r="MN54" s="173"/>
      <c r="MO54" s="173"/>
      <c r="MP54" s="172"/>
      <c r="MQ54" s="173"/>
      <c r="MR54" s="173"/>
      <c r="MS54" s="172"/>
      <c r="MT54" s="173"/>
      <c r="MU54" s="173"/>
      <c r="MV54" s="172"/>
      <c r="MW54" s="173"/>
      <c r="MX54" s="173"/>
      <c r="MY54" s="172"/>
      <c r="MZ54" s="173"/>
      <c r="NA54" s="173"/>
      <c r="NB54" s="172"/>
      <c r="NC54" s="173"/>
      <c r="ND54" s="173"/>
      <c r="NE54" s="172"/>
      <c r="NF54" s="173"/>
      <c r="NG54" s="173"/>
      <c r="NH54" s="172"/>
      <c r="NI54" s="173"/>
      <c r="NJ54" s="173"/>
      <c r="NK54" s="172"/>
      <c r="NL54" s="173"/>
      <c r="NM54" s="173"/>
      <c r="NN54" s="172"/>
      <c r="NO54" s="173"/>
      <c r="NP54" s="173"/>
      <c r="NQ54" s="172"/>
      <c r="NR54" s="173"/>
      <c r="NS54" s="173"/>
      <c r="NT54" s="172"/>
      <c r="NU54" s="173"/>
      <c r="NV54" s="173"/>
      <c r="NW54" s="172"/>
      <c r="NX54" s="173"/>
      <c r="NY54" s="173"/>
      <c r="NZ54" s="172"/>
      <c r="OA54" s="173"/>
      <c r="OB54" s="173"/>
      <c r="OC54" s="172"/>
      <c r="OD54" s="173"/>
      <c r="OE54" s="173"/>
      <c r="OF54" s="172"/>
      <c r="OG54" s="173"/>
      <c r="OH54" s="173"/>
      <c r="OI54" s="172"/>
      <c r="OJ54" s="173"/>
      <c r="OK54" s="173"/>
      <c r="OL54" s="172"/>
      <c r="OM54" s="173"/>
      <c r="ON54" s="173"/>
      <c r="OO54" s="172"/>
      <c r="OP54" s="173"/>
      <c r="OQ54" s="173"/>
      <c r="OR54" s="172"/>
      <c r="OS54" s="173"/>
      <c r="OT54" s="173"/>
      <c r="OU54" s="172"/>
      <c r="OV54" s="173"/>
      <c r="OW54" s="173"/>
      <c r="OX54" s="172"/>
      <c r="OY54" s="173"/>
      <c r="OZ54" s="173"/>
      <c r="PA54" s="172"/>
      <c r="PB54" s="173"/>
      <c r="PC54" s="173"/>
      <c r="PD54" s="172"/>
      <c r="PE54" s="173"/>
      <c r="PF54" s="173"/>
      <c r="PG54" s="172"/>
      <c r="PH54" s="173"/>
      <c r="PI54" s="173"/>
      <c r="PJ54" s="172"/>
      <c r="PK54" s="173"/>
      <c r="PL54" s="173"/>
      <c r="PM54" s="172"/>
      <c r="PN54" s="173"/>
      <c r="PO54" s="173"/>
      <c r="PP54" s="172"/>
      <c r="PQ54" s="173"/>
      <c r="PR54" s="173"/>
      <c r="PS54" s="172"/>
      <c r="PT54" s="173"/>
      <c r="PU54" s="173"/>
      <c r="PV54" s="172"/>
      <c r="PW54" s="173"/>
      <c r="PX54" s="173"/>
      <c r="PY54" s="172"/>
      <c r="PZ54" s="173"/>
      <c r="QA54" s="173"/>
      <c r="QB54" s="172"/>
      <c r="QC54" s="173"/>
      <c r="QD54" s="173"/>
      <c r="QE54" s="172"/>
      <c r="QF54" s="173"/>
      <c r="QG54" s="173"/>
      <c r="QH54" s="172"/>
      <c r="QI54" s="173"/>
      <c r="QJ54" s="173"/>
      <c r="QK54" s="172"/>
      <c r="QL54" s="173"/>
      <c r="QM54" s="173"/>
      <c r="QN54" s="172"/>
      <c r="QO54" s="173"/>
      <c r="QP54" s="173"/>
      <c r="QQ54" s="172"/>
      <c r="QR54" s="173"/>
      <c r="QS54" s="173"/>
      <c r="QT54" s="172"/>
      <c r="QU54" s="173"/>
      <c r="QV54" s="173"/>
      <c r="QW54" s="172"/>
      <c r="QX54" s="173"/>
      <c r="QY54" s="173"/>
      <c r="QZ54" s="172"/>
      <c r="RA54" s="173"/>
      <c r="RB54" s="173"/>
      <c r="RC54" s="172"/>
      <c r="RD54" s="173"/>
      <c r="RE54" s="173"/>
      <c r="RF54" s="172"/>
      <c r="RG54" s="173"/>
      <c r="RH54" s="173"/>
      <c r="RI54" s="172"/>
      <c r="RJ54" s="173"/>
      <c r="RK54" s="173"/>
      <c r="RL54" s="172"/>
      <c r="RM54" s="173"/>
      <c r="RN54" s="173"/>
      <c r="RO54" s="172"/>
      <c r="RP54" s="173"/>
      <c r="RQ54" s="173"/>
      <c r="RR54" s="172"/>
      <c r="RS54" s="173"/>
      <c r="RT54" s="173"/>
      <c r="RU54" s="172"/>
      <c r="RV54" s="173"/>
      <c r="RW54" s="173"/>
      <c r="RX54" s="172"/>
      <c r="RY54" s="173"/>
      <c r="RZ54" s="173"/>
      <c r="SA54" s="172"/>
      <c r="SB54" s="173"/>
      <c r="SC54" s="173"/>
      <c r="SD54" s="172"/>
      <c r="SE54" s="173"/>
      <c r="SF54" s="173"/>
      <c r="SG54" s="172"/>
      <c r="SH54" s="173"/>
      <c r="SI54" s="173"/>
      <c r="SJ54" s="172"/>
      <c r="SK54" s="173"/>
      <c r="SL54" s="173"/>
      <c r="SM54" s="172"/>
      <c r="SN54" s="173"/>
      <c r="SO54" s="173"/>
      <c r="SP54" s="172"/>
      <c r="SQ54" s="173"/>
      <c r="SR54" s="173"/>
      <c r="SS54" s="172"/>
      <c r="ST54" s="173"/>
      <c r="SU54" s="173"/>
      <c r="SV54" s="172"/>
      <c r="SW54" s="173"/>
      <c r="SX54" s="173"/>
      <c r="SY54" s="172"/>
      <c r="SZ54" s="173"/>
      <c r="TA54" s="173"/>
      <c r="TB54" s="172"/>
      <c r="TC54" s="173"/>
      <c r="TD54" s="173"/>
      <c r="TE54" s="172"/>
      <c r="TF54" s="173"/>
      <c r="TG54" s="173"/>
      <c r="TH54" s="172"/>
      <c r="TI54" s="173"/>
      <c r="TJ54" s="173"/>
      <c r="TK54" s="172"/>
      <c r="TL54" s="173"/>
      <c r="TM54" s="173"/>
      <c r="TN54" s="172"/>
      <c r="TO54" s="173"/>
      <c r="TP54" s="173"/>
      <c r="TQ54" s="172"/>
      <c r="TR54" s="173"/>
      <c r="TS54" s="173"/>
      <c r="TT54" s="172"/>
      <c r="TU54" s="173"/>
      <c r="TV54" s="173"/>
      <c r="TW54" s="172"/>
      <c r="TX54" s="173"/>
      <c r="TY54" s="173"/>
      <c r="TZ54" s="172"/>
      <c r="UA54" s="173"/>
      <c r="UB54" s="173"/>
      <c r="UC54" s="172"/>
      <c r="UD54" s="173"/>
      <c r="UE54" s="173"/>
      <c r="UF54" s="172"/>
      <c r="UG54" s="173"/>
      <c r="UH54" s="173"/>
      <c r="UI54" s="172"/>
      <c r="UJ54" s="173"/>
      <c r="UK54" s="173"/>
      <c r="UL54" s="172"/>
      <c r="UM54" s="173"/>
      <c r="UN54" s="173"/>
      <c r="UO54" s="172"/>
      <c r="UP54" s="173"/>
      <c r="UQ54" s="173"/>
      <c r="UR54" s="172"/>
      <c r="US54" s="173"/>
      <c r="UT54" s="173"/>
      <c r="UU54" s="172"/>
      <c r="UV54" s="173"/>
      <c r="UW54" s="173"/>
      <c r="UX54" s="172"/>
      <c r="UY54" s="173"/>
      <c r="UZ54" s="173"/>
      <c r="VA54" s="172"/>
      <c r="VB54" s="173"/>
      <c r="VC54" s="173"/>
      <c r="VD54" s="172"/>
      <c r="VE54" s="173"/>
      <c r="VF54" s="173"/>
      <c r="VG54" s="172"/>
      <c r="VH54" s="173"/>
      <c r="VI54" s="173"/>
      <c r="VJ54" s="172"/>
      <c r="VK54" s="173"/>
      <c r="VL54" s="173"/>
      <c r="VM54" s="172"/>
      <c r="VN54" s="173"/>
      <c r="VO54" s="173"/>
      <c r="VP54" s="172"/>
      <c r="VQ54" s="173"/>
      <c r="VR54" s="173"/>
      <c r="VS54" s="172"/>
      <c r="VT54" s="173"/>
      <c r="VU54" s="173"/>
      <c r="VV54" s="172"/>
      <c r="VW54" s="173"/>
      <c r="VX54" s="173"/>
      <c r="VY54" s="172"/>
      <c r="VZ54" s="173"/>
      <c r="WA54" s="173"/>
      <c r="WB54" s="172"/>
      <c r="WC54" s="173"/>
      <c r="WD54" s="173"/>
      <c r="WE54" s="172"/>
      <c r="WF54" s="173"/>
      <c r="WG54" s="173"/>
      <c r="WH54" s="172"/>
      <c r="WI54" s="173"/>
      <c r="WJ54" s="173"/>
      <c r="WK54" s="172"/>
      <c r="WL54" s="173"/>
      <c r="WM54" s="173"/>
      <c r="WN54" s="172"/>
      <c r="WO54" s="173"/>
      <c r="WP54" s="173"/>
      <c r="WQ54" s="172"/>
      <c r="WR54" s="173"/>
      <c r="WS54" s="173"/>
      <c r="WT54" s="172"/>
      <c r="WU54" s="173"/>
      <c r="WV54" s="173"/>
      <c r="WW54" s="172"/>
      <c r="WX54" s="173"/>
      <c r="WY54" s="173"/>
      <c r="WZ54" s="172"/>
      <c r="XA54" s="173"/>
      <c r="XB54" s="173"/>
      <c r="XC54" s="172"/>
      <c r="XD54" s="173"/>
      <c r="XE54" s="173"/>
      <c r="XF54" s="172"/>
      <c r="XG54" s="173"/>
      <c r="XH54" s="173"/>
      <c r="XI54" s="172"/>
      <c r="XJ54" s="173"/>
      <c r="XK54" s="173"/>
      <c r="XL54" s="172"/>
      <c r="XM54" s="173"/>
      <c r="XN54" s="173"/>
      <c r="XO54" s="172"/>
      <c r="XP54" s="173"/>
      <c r="XQ54" s="173"/>
      <c r="XR54" s="172"/>
      <c r="XS54" s="173"/>
      <c r="XT54" s="173"/>
      <c r="XU54" s="172"/>
      <c r="XV54" s="173"/>
      <c r="XW54" s="173"/>
      <c r="XX54" s="172"/>
      <c r="XY54" s="173"/>
      <c r="XZ54" s="173"/>
      <c r="YA54" s="172"/>
      <c r="YB54" s="173"/>
      <c r="YC54" s="173"/>
      <c r="YD54" s="172"/>
      <c r="YE54" s="173"/>
      <c r="YF54" s="173"/>
      <c r="YG54" s="172"/>
      <c r="YH54" s="173"/>
      <c r="YI54" s="173"/>
      <c r="YJ54" s="172"/>
      <c r="YK54" s="173"/>
      <c r="YL54" s="173"/>
      <c r="YM54" s="172"/>
      <c r="YN54" s="173"/>
      <c r="YO54" s="173"/>
      <c r="YP54" s="172"/>
      <c r="YQ54" s="173"/>
      <c r="YR54" s="173"/>
      <c r="YS54" s="172"/>
      <c r="YT54" s="173"/>
      <c r="YU54" s="173"/>
      <c r="YV54" s="172"/>
      <c r="YW54" s="173"/>
      <c r="YX54" s="173"/>
      <c r="YY54" s="172"/>
      <c r="YZ54" s="173"/>
      <c r="ZA54" s="173"/>
      <c r="ZB54" s="172"/>
      <c r="ZC54" s="173"/>
      <c r="ZD54" s="173"/>
      <c r="ZE54" s="172"/>
      <c r="ZF54" s="173"/>
      <c r="ZG54" s="173"/>
      <c r="ZH54" s="172"/>
      <c r="ZI54" s="173"/>
      <c r="ZJ54" s="173"/>
      <c r="ZK54" s="172"/>
      <c r="ZL54" s="173"/>
      <c r="ZM54" s="173"/>
      <c r="ZN54" s="172"/>
      <c r="ZO54" s="173"/>
      <c r="ZP54" s="173"/>
      <c r="ZQ54" s="172"/>
      <c r="ZR54" s="173"/>
      <c r="ZS54" s="173"/>
      <c r="ZT54" s="172"/>
      <c r="ZU54" s="173"/>
      <c r="ZV54" s="173"/>
      <c r="ZW54" s="172"/>
      <c r="ZX54" s="173"/>
      <c r="ZY54" s="173"/>
      <c r="ZZ54" s="172"/>
      <c r="AAA54" s="173"/>
      <c r="AAB54" s="173"/>
      <c r="AAC54" s="172"/>
      <c r="AAD54" s="173"/>
      <c r="AAE54" s="173"/>
      <c r="AAF54" s="172"/>
      <c r="AAG54" s="173"/>
      <c r="AAH54" s="173"/>
      <c r="AAI54" s="172"/>
      <c r="AAJ54" s="173"/>
      <c r="AAK54" s="173"/>
      <c r="AAL54" s="172"/>
      <c r="AAM54" s="173"/>
      <c r="AAN54" s="173"/>
      <c r="AAO54" s="172"/>
      <c r="AAP54" s="173"/>
      <c r="AAQ54" s="173"/>
      <c r="AAR54" s="172"/>
      <c r="AAS54" s="173"/>
      <c r="AAT54" s="173"/>
      <c r="AAU54" s="172"/>
      <c r="AAV54" s="173"/>
      <c r="AAW54" s="173"/>
      <c r="AAX54" s="172"/>
      <c r="AAY54" s="173"/>
      <c r="AAZ54" s="173"/>
      <c r="ABA54" s="172"/>
      <c r="ABB54" s="173"/>
      <c r="ABC54" s="173"/>
      <c r="ABD54" s="172"/>
      <c r="ABE54" s="173"/>
      <c r="ABF54" s="173"/>
      <c r="ABG54" s="172"/>
      <c r="ABH54" s="173"/>
      <c r="ABI54" s="173"/>
      <c r="ABJ54" s="172"/>
      <c r="ABK54" s="173"/>
      <c r="ABL54" s="173"/>
      <c r="ABM54" s="172"/>
      <c r="ABN54" s="173"/>
      <c r="ABO54" s="173"/>
      <c r="ABP54" s="172"/>
      <c r="ABQ54" s="173"/>
      <c r="ABR54" s="173"/>
      <c r="ABS54" s="172"/>
      <c r="ABT54" s="173"/>
      <c r="ABU54" s="173"/>
      <c r="ABV54" s="172"/>
      <c r="ABW54" s="173"/>
      <c r="ABX54" s="173"/>
      <c r="ABY54" s="172"/>
      <c r="ABZ54" s="173"/>
      <c r="ACA54" s="173"/>
      <c r="ACB54" s="172"/>
      <c r="ACC54" s="173"/>
      <c r="ACD54" s="173"/>
      <c r="ACE54" s="172"/>
      <c r="ACF54" s="173"/>
      <c r="ACG54" s="173"/>
      <c r="ACH54" s="172"/>
      <c r="ACI54" s="173"/>
      <c r="ACJ54" s="173"/>
      <c r="ACK54" s="172"/>
      <c r="ACL54" s="173"/>
      <c r="ACM54" s="173"/>
      <c r="ACN54" s="172"/>
      <c r="ACO54" s="173"/>
      <c r="ACP54" s="173"/>
      <c r="ACQ54" s="172"/>
      <c r="ACR54" s="173"/>
      <c r="ACS54" s="173"/>
      <c r="ACT54" s="172"/>
      <c r="ACU54" s="173"/>
      <c r="ACV54" s="173"/>
      <c r="ACW54" s="172"/>
      <c r="ACX54" s="173"/>
      <c r="ACY54" s="173"/>
      <c r="ACZ54" s="172"/>
      <c r="ADA54" s="173"/>
      <c r="ADB54" s="173"/>
      <c r="ADC54" s="172"/>
      <c r="ADD54" s="173"/>
      <c r="ADE54" s="173"/>
      <c r="ADF54" s="172"/>
      <c r="ADG54" s="173"/>
      <c r="ADH54" s="173"/>
      <c r="ADI54" s="172"/>
      <c r="ADJ54" s="173"/>
      <c r="ADK54" s="173"/>
      <c r="ADL54" s="172"/>
      <c r="ADM54" s="173"/>
      <c r="ADN54" s="173"/>
      <c r="ADO54" s="172"/>
      <c r="ADP54" s="173"/>
      <c r="ADQ54" s="173"/>
      <c r="ADR54" s="172"/>
      <c r="ADS54" s="173"/>
      <c r="ADT54" s="173"/>
      <c r="ADU54" s="172"/>
      <c r="ADV54" s="173"/>
      <c r="ADW54" s="173"/>
      <c r="ADX54" s="172"/>
      <c r="ADY54" s="173"/>
      <c r="ADZ54" s="173"/>
      <c r="AEA54" s="172"/>
      <c r="AEB54" s="173"/>
      <c r="AEC54" s="173"/>
      <c r="AED54" s="172"/>
      <c r="AEE54" s="173"/>
      <c r="AEF54" s="173"/>
      <c r="AEG54" s="172"/>
      <c r="AEH54" s="173"/>
      <c r="AEI54" s="173"/>
      <c r="AEJ54" s="172"/>
      <c r="AEK54" s="173"/>
      <c r="AEL54" s="173"/>
      <c r="AEM54" s="172"/>
      <c r="AEN54" s="173"/>
      <c r="AEO54" s="173"/>
      <c r="AEP54" s="172"/>
      <c r="AEQ54" s="173"/>
      <c r="AER54" s="173"/>
      <c r="AES54" s="172"/>
      <c r="AET54" s="173"/>
      <c r="AEU54" s="173"/>
      <c r="AEV54" s="172"/>
      <c r="AEW54" s="173"/>
      <c r="AEX54" s="173"/>
      <c r="AEY54" s="172"/>
      <c r="AEZ54" s="173"/>
      <c r="AFA54" s="173"/>
      <c r="AFB54" s="172"/>
      <c r="AFC54" s="173"/>
      <c r="AFD54" s="173"/>
      <c r="AFE54" s="172"/>
      <c r="AFF54" s="173"/>
      <c r="AFG54" s="173"/>
      <c r="AFH54" s="172"/>
      <c r="AFI54" s="173"/>
      <c r="AFJ54" s="173"/>
      <c r="AFK54" s="172"/>
      <c r="AFL54" s="173"/>
      <c r="AFM54" s="173"/>
      <c r="AFN54" s="172"/>
      <c r="AFO54" s="173"/>
      <c r="AFP54" s="173"/>
      <c r="AFQ54" s="172"/>
      <c r="AFR54" s="173"/>
      <c r="AFS54" s="173"/>
      <c r="AFT54" s="172"/>
      <c r="AFU54" s="173"/>
      <c r="AFV54" s="173"/>
      <c r="AFW54" s="172"/>
      <c r="AFX54" s="173"/>
      <c r="AFY54" s="173"/>
      <c r="AFZ54" s="172"/>
      <c r="AGA54" s="173"/>
      <c r="AGB54" s="173"/>
      <c r="AGC54" s="172"/>
      <c r="AGD54" s="173"/>
      <c r="AGE54" s="173"/>
      <c r="AGF54" s="172"/>
      <c r="AGG54" s="173"/>
      <c r="AGH54" s="173"/>
      <c r="AGI54" s="172"/>
      <c r="AGJ54" s="173"/>
      <c r="AGK54" s="173"/>
      <c r="AGL54" s="172"/>
      <c r="AGM54" s="173"/>
      <c r="AGN54" s="173"/>
      <c r="AGO54" s="172"/>
      <c r="AGP54" s="173"/>
      <c r="AGQ54" s="173"/>
      <c r="AGR54" s="172"/>
      <c r="AGS54" s="173"/>
      <c r="AGT54" s="173"/>
      <c r="AGU54" s="172"/>
      <c r="AGV54" s="173"/>
      <c r="AGW54" s="173"/>
      <c r="AGX54" s="172"/>
      <c r="AGY54" s="173"/>
      <c r="AGZ54" s="173"/>
      <c r="AHA54" s="172"/>
      <c r="AHB54" s="173"/>
      <c r="AHC54" s="173"/>
      <c r="AHD54" s="172"/>
      <c r="AHE54" s="173"/>
      <c r="AHF54" s="173"/>
      <c r="AHG54" s="172"/>
      <c r="AHH54" s="173"/>
      <c r="AHI54" s="173"/>
      <c r="AHJ54" s="172"/>
      <c r="AHK54" s="173"/>
      <c r="AHL54" s="173"/>
      <c r="AHM54" s="172"/>
      <c r="AHN54" s="173"/>
      <c r="AHO54" s="173"/>
      <c r="AHP54" s="172"/>
      <c r="AHQ54" s="173"/>
      <c r="AHR54" s="173"/>
      <c r="AHS54" s="172"/>
      <c r="AHT54" s="173"/>
      <c r="AHU54" s="173"/>
      <c r="AHV54" s="172"/>
      <c r="AHW54" s="173"/>
      <c r="AHX54" s="173"/>
      <c r="AHY54" s="172"/>
      <c r="AHZ54" s="173"/>
      <c r="AIA54" s="173"/>
      <c r="AIB54" s="172"/>
      <c r="AIC54" s="173"/>
      <c r="AID54" s="173"/>
      <c r="AIE54" s="172"/>
      <c r="AIF54" s="173"/>
      <c r="AIG54" s="173"/>
      <c r="AIH54" s="172"/>
      <c r="AII54" s="173"/>
      <c r="AIJ54" s="173"/>
      <c r="AIK54" s="172"/>
      <c r="AIL54" s="173"/>
      <c r="AIM54" s="173"/>
      <c r="AIN54" s="172"/>
      <c r="AIO54" s="173"/>
      <c r="AIP54" s="173"/>
      <c r="AIQ54" s="172"/>
      <c r="AIR54" s="173"/>
      <c r="AIS54" s="173"/>
      <c r="AIT54" s="172"/>
      <c r="AIU54" s="173"/>
      <c r="AIV54" s="173"/>
      <c r="AIW54" s="172"/>
      <c r="AIX54" s="173"/>
      <c r="AIY54" s="173"/>
      <c r="AIZ54" s="172"/>
      <c r="AJA54" s="173"/>
      <c r="AJB54" s="173"/>
      <c r="AJC54" s="172"/>
      <c r="AJD54" s="173"/>
      <c r="AJE54" s="173"/>
      <c r="AJF54" s="172"/>
      <c r="AJG54" s="173"/>
      <c r="AJH54" s="173"/>
      <c r="AJI54" s="172"/>
      <c r="AJJ54" s="173"/>
      <c r="AJK54" s="173"/>
      <c r="AJL54" s="172"/>
      <c r="AJM54" s="173"/>
      <c r="AJN54" s="173"/>
      <c r="AJO54" s="172"/>
      <c r="AJP54" s="173"/>
      <c r="AJQ54" s="173"/>
      <c r="AJR54" s="172"/>
      <c r="AJS54" s="173"/>
      <c r="AJT54" s="173"/>
      <c r="AJU54" s="172"/>
      <c r="AJV54" s="173"/>
      <c r="AJW54" s="173"/>
      <c r="AJX54" s="172"/>
      <c r="AJY54" s="173"/>
      <c r="AJZ54" s="173"/>
      <c r="AKA54" s="172"/>
      <c r="AKB54" s="173"/>
      <c r="AKC54" s="173"/>
      <c r="AKD54" s="172"/>
      <c r="AKE54" s="173"/>
      <c r="AKF54" s="173"/>
      <c r="AKG54" s="172"/>
      <c r="AKH54" s="173"/>
      <c r="AKI54" s="173"/>
      <c r="AKJ54" s="172"/>
      <c r="AKK54" s="173"/>
      <c r="AKL54" s="173"/>
      <c r="AKM54" s="172"/>
      <c r="AKN54" s="173"/>
      <c r="AKO54" s="173"/>
      <c r="AKP54" s="172"/>
      <c r="AKQ54" s="173"/>
      <c r="AKR54" s="173"/>
      <c r="AKS54" s="172"/>
      <c r="AKT54" s="173"/>
      <c r="AKU54" s="173"/>
      <c r="AKV54" s="172"/>
      <c r="AKW54" s="173"/>
      <c r="AKX54" s="173"/>
      <c r="AKY54" s="172"/>
      <c r="AKZ54" s="173"/>
      <c r="ALA54" s="173"/>
      <c r="ALB54" s="172"/>
      <c r="ALC54" s="173"/>
      <c r="ALD54" s="173"/>
      <c r="ALE54" s="172"/>
      <c r="ALF54" s="173"/>
      <c r="ALG54" s="173"/>
      <c r="ALH54" s="172"/>
      <c r="ALI54" s="173"/>
      <c r="ALJ54" s="173"/>
      <c r="ALK54" s="172"/>
      <c r="ALL54" s="173"/>
      <c r="ALM54" s="173"/>
      <c r="ALN54" s="172"/>
      <c r="ALO54" s="173"/>
      <c r="ALP54" s="173"/>
      <c r="ALQ54" s="172"/>
      <c r="ALR54" s="173"/>
      <c r="ALS54" s="173"/>
      <c r="ALT54" s="172"/>
      <c r="ALU54" s="173"/>
      <c r="ALV54" s="173"/>
      <c r="ALW54" s="172"/>
      <c r="ALX54" s="173"/>
      <c r="ALY54" s="173"/>
      <c r="ALZ54" s="172"/>
      <c r="AMA54" s="173"/>
      <c r="AMB54" s="173"/>
      <c r="AMC54" s="172"/>
      <c r="AMD54" s="173"/>
      <c r="AME54" s="173"/>
      <c r="AMF54" s="172"/>
      <c r="AMG54" s="173"/>
      <c r="AMH54" s="173"/>
      <c r="AMI54" s="172"/>
      <c r="AMJ54" s="173"/>
      <c r="AMK54" s="173"/>
      <c r="AML54" s="172"/>
      <c r="AMM54" s="173"/>
      <c r="AMN54" s="173"/>
      <c r="AMO54" s="172"/>
      <c r="AMP54" s="173"/>
      <c r="AMQ54" s="173"/>
      <c r="AMR54" s="172"/>
      <c r="AMS54" s="173"/>
      <c r="AMT54" s="173"/>
      <c r="AMU54" s="172"/>
      <c r="AMV54" s="173"/>
      <c r="AMW54" s="173"/>
      <c r="AMX54" s="172"/>
      <c r="AMY54" s="173"/>
      <c r="AMZ54" s="173"/>
      <c r="ANA54" s="172"/>
      <c r="ANB54" s="173"/>
      <c r="ANC54" s="173"/>
      <c r="AND54" s="172"/>
      <c r="ANE54" s="173"/>
      <c r="ANF54" s="173"/>
      <c r="ANG54" s="172"/>
      <c r="ANH54" s="173"/>
      <c r="ANI54" s="173"/>
      <c r="ANJ54" s="172"/>
      <c r="ANK54" s="173"/>
      <c r="ANL54" s="173"/>
      <c r="ANM54" s="172"/>
      <c r="ANN54" s="173"/>
      <c r="ANO54" s="173"/>
      <c r="ANP54" s="172"/>
      <c r="ANQ54" s="173"/>
      <c r="ANR54" s="173"/>
      <c r="ANS54" s="172"/>
      <c r="ANT54" s="173"/>
      <c r="ANU54" s="173"/>
      <c r="ANV54" s="172"/>
      <c r="ANW54" s="173"/>
      <c r="ANX54" s="173"/>
      <c r="ANY54" s="172"/>
      <c r="ANZ54" s="173"/>
      <c r="AOA54" s="173"/>
      <c r="AOB54" s="172"/>
      <c r="AOC54" s="173"/>
      <c r="AOD54" s="173"/>
      <c r="AOE54" s="172"/>
      <c r="AOF54" s="173"/>
      <c r="AOG54" s="173"/>
      <c r="AOH54" s="172"/>
      <c r="AOI54" s="173"/>
      <c r="AOJ54" s="173"/>
      <c r="AOK54" s="172"/>
      <c r="AOL54" s="173"/>
      <c r="AOM54" s="173"/>
      <c r="AON54" s="172"/>
      <c r="AOO54" s="173"/>
      <c r="AOP54" s="173"/>
      <c r="AOQ54" s="172"/>
      <c r="AOR54" s="173"/>
      <c r="AOS54" s="173"/>
      <c r="AOT54" s="172"/>
      <c r="AOU54" s="173"/>
      <c r="AOV54" s="173"/>
      <c r="AOW54" s="172"/>
      <c r="AOX54" s="173"/>
      <c r="AOY54" s="173"/>
      <c r="AOZ54" s="172"/>
      <c r="APA54" s="173"/>
      <c r="APB54" s="173"/>
      <c r="APC54" s="172"/>
      <c r="APD54" s="173"/>
      <c r="APE54" s="173"/>
      <c r="APF54" s="172"/>
      <c r="APG54" s="173"/>
      <c r="APH54" s="173"/>
      <c r="API54" s="172"/>
      <c r="APJ54" s="173"/>
      <c r="APK54" s="173"/>
      <c r="APL54" s="172"/>
      <c r="APM54" s="173"/>
      <c r="APN54" s="173"/>
      <c r="APO54" s="172"/>
      <c r="APP54" s="173"/>
      <c r="APQ54" s="173"/>
      <c r="APR54" s="172"/>
      <c r="APS54" s="173"/>
      <c r="APT54" s="173"/>
      <c r="APU54" s="172"/>
      <c r="APV54" s="173"/>
      <c r="APW54" s="173"/>
      <c r="APX54" s="172"/>
      <c r="APY54" s="173"/>
      <c r="APZ54" s="173"/>
      <c r="AQA54" s="172"/>
      <c r="AQB54" s="173"/>
      <c r="AQC54" s="173"/>
      <c r="AQD54" s="172"/>
      <c r="AQE54" s="173"/>
      <c r="AQF54" s="173"/>
      <c r="AQG54" s="172"/>
      <c r="AQH54" s="173"/>
      <c r="AQI54" s="173"/>
      <c r="AQJ54" s="172"/>
      <c r="AQK54" s="173"/>
      <c r="AQL54" s="173"/>
      <c r="AQM54" s="172"/>
      <c r="AQN54" s="173"/>
      <c r="AQO54" s="173"/>
      <c r="AQP54" s="172"/>
      <c r="AQQ54" s="173"/>
      <c r="AQR54" s="173"/>
      <c r="AQS54" s="172"/>
      <c r="AQT54" s="173"/>
      <c r="AQU54" s="173"/>
      <c r="AQV54" s="172"/>
      <c r="AQW54" s="173"/>
      <c r="AQX54" s="173"/>
      <c r="AQY54" s="172"/>
      <c r="AQZ54" s="173"/>
      <c r="ARA54" s="173"/>
      <c r="ARB54" s="172"/>
      <c r="ARC54" s="173"/>
      <c r="ARD54" s="173"/>
      <c r="ARE54" s="172"/>
      <c r="ARF54" s="173"/>
      <c r="ARG54" s="173"/>
      <c r="ARH54" s="172"/>
      <c r="ARI54" s="173"/>
      <c r="ARJ54" s="173"/>
      <c r="ARK54" s="172"/>
      <c r="ARL54" s="173"/>
      <c r="ARM54" s="173"/>
      <c r="ARN54" s="172"/>
      <c r="ARO54" s="173"/>
      <c r="ARP54" s="173"/>
      <c r="ARQ54" s="172"/>
      <c r="ARR54" s="173"/>
      <c r="ARS54" s="173"/>
      <c r="ART54" s="172"/>
      <c r="ARU54" s="173"/>
      <c r="ARV54" s="173"/>
      <c r="ARW54" s="172"/>
      <c r="ARX54" s="173"/>
      <c r="ARY54" s="173"/>
      <c r="ARZ54" s="172"/>
      <c r="ASA54" s="173"/>
      <c r="ASB54" s="173"/>
      <c r="ASC54" s="172"/>
      <c r="ASD54" s="173"/>
      <c r="ASE54" s="173"/>
      <c r="ASF54" s="172"/>
      <c r="ASG54" s="173"/>
      <c r="ASH54" s="173"/>
      <c r="ASI54" s="172"/>
      <c r="ASJ54" s="173"/>
      <c r="ASK54" s="173"/>
      <c r="ASL54" s="172"/>
      <c r="ASM54" s="173"/>
      <c r="ASN54" s="173"/>
      <c r="ASO54" s="172"/>
      <c r="ASP54" s="173"/>
      <c r="ASQ54" s="173"/>
      <c r="ASR54" s="172"/>
      <c r="ASS54" s="173"/>
      <c r="AST54" s="173"/>
      <c r="ASU54" s="172"/>
      <c r="ASV54" s="173"/>
      <c r="ASW54" s="173"/>
      <c r="ASX54" s="172"/>
      <c r="ASY54" s="173"/>
      <c r="ASZ54" s="173"/>
      <c r="ATA54" s="172"/>
      <c r="ATB54" s="173"/>
      <c r="ATC54" s="173"/>
      <c r="ATD54" s="172"/>
      <c r="ATE54" s="173"/>
      <c r="ATF54" s="173"/>
      <c r="ATG54" s="172"/>
      <c r="ATH54" s="173"/>
      <c r="ATI54" s="173"/>
      <c r="ATJ54" s="172"/>
      <c r="ATK54" s="173"/>
      <c r="ATL54" s="173"/>
      <c r="ATM54" s="172"/>
      <c r="ATN54" s="173"/>
      <c r="ATO54" s="173"/>
      <c r="ATP54" s="172"/>
      <c r="ATQ54" s="173"/>
      <c r="ATR54" s="173"/>
      <c r="ATS54" s="172"/>
      <c r="ATT54" s="173"/>
      <c r="ATU54" s="173"/>
      <c r="ATV54" s="172"/>
      <c r="ATW54" s="173"/>
      <c r="ATX54" s="173"/>
      <c r="ATY54" s="172"/>
      <c r="ATZ54" s="173"/>
      <c r="AUA54" s="173"/>
      <c r="AUB54" s="172"/>
      <c r="AUC54" s="173"/>
      <c r="AUD54" s="173"/>
      <c r="AUE54" s="172"/>
      <c r="AUF54" s="173"/>
      <c r="AUG54" s="173"/>
      <c r="AUH54" s="172"/>
      <c r="AUI54" s="173"/>
      <c r="AUJ54" s="173"/>
      <c r="AUK54" s="172"/>
      <c r="AUL54" s="173"/>
      <c r="AUM54" s="173"/>
      <c r="AUN54" s="172"/>
      <c r="AUO54" s="173"/>
      <c r="AUP54" s="173"/>
      <c r="AUQ54" s="172"/>
      <c r="AUR54" s="173"/>
      <c r="AUS54" s="173"/>
      <c r="AUT54" s="172"/>
      <c r="AUU54" s="173"/>
      <c r="AUV54" s="173"/>
      <c r="AUW54" s="172"/>
      <c r="AUX54" s="173"/>
      <c r="AUY54" s="173"/>
      <c r="AUZ54" s="172"/>
      <c r="AVA54" s="173"/>
      <c r="AVB54" s="173"/>
      <c r="AVC54" s="172"/>
      <c r="AVD54" s="173"/>
      <c r="AVE54" s="173"/>
      <c r="AVF54" s="172"/>
      <c r="AVG54" s="173"/>
      <c r="AVH54" s="173"/>
      <c r="AVI54" s="172"/>
      <c r="AVJ54" s="173"/>
      <c r="AVK54" s="173"/>
      <c r="AVL54" s="172"/>
      <c r="AVM54" s="173"/>
      <c r="AVN54" s="173"/>
      <c r="AVO54" s="172"/>
      <c r="AVP54" s="173"/>
      <c r="AVQ54" s="173"/>
      <c r="AVR54" s="172"/>
      <c r="AVS54" s="173"/>
      <c r="AVT54" s="173"/>
      <c r="AVU54" s="172"/>
      <c r="AVV54" s="173"/>
      <c r="AVW54" s="173"/>
      <c r="AVX54" s="172"/>
      <c r="AVY54" s="173"/>
      <c r="AVZ54" s="173"/>
      <c r="AWA54" s="172"/>
      <c r="AWB54" s="173"/>
      <c r="AWC54" s="173"/>
      <c r="AWD54" s="172"/>
      <c r="AWE54" s="173"/>
      <c r="AWF54" s="173"/>
      <c r="AWG54" s="172"/>
      <c r="AWH54" s="173"/>
      <c r="AWI54" s="173"/>
      <c r="AWJ54" s="172"/>
      <c r="AWK54" s="173"/>
      <c r="AWL54" s="173"/>
      <c r="AWM54" s="172"/>
      <c r="AWN54" s="173"/>
      <c r="AWO54" s="173"/>
      <c r="AWP54" s="172"/>
      <c r="AWQ54" s="173"/>
      <c r="AWR54" s="173"/>
      <c r="AWS54" s="172"/>
      <c r="AWT54" s="173"/>
      <c r="AWU54" s="173"/>
      <c r="AWV54" s="172"/>
      <c r="AWW54" s="173"/>
      <c r="AWX54" s="173"/>
      <c r="AWY54" s="172"/>
      <c r="AWZ54" s="173"/>
      <c r="AXA54" s="173"/>
      <c r="AXB54" s="172"/>
      <c r="AXC54" s="173"/>
      <c r="AXD54" s="173"/>
      <c r="AXE54" s="172"/>
      <c r="AXF54" s="173"/>
      <c r="AXG54" s="173"/>
      <c r="AXH54" s="172"/>
      <c r="AXI54" s="173"/>
      <c r="AXJ54" s="173"/>
      <c r="AXK54" s="172"/>
      <c r="AXL54" s="173"/>
      <c r="AXM54" s="173"/>
      <c r="AXN54" s="172"/>
      <c r="AXO54" s="173"/>
      <c r="AXP54" s="173"/>
      <c r="AXQ54" s="172"/>
      <c r="AXR54" s="173"/>
      <c r="AXS54" s="173"/>
      <c r="AXT54" s="172"/>
      <c r="AXU54" s="173"/>
      <c r="AXV54" s="173"/>
      <c r="AXW54" s="172"/>
      <c r="AXX54" s="173"/>
      <c r="AXY54" s="173"/>
      <c r="AXZ54" s="172"/>
      <c r="AYA54" s="173"/>
      <c r="AYB54" s="173"/>
      <c r="AYC54" s="172"/>
      <c r="AYD54" s="173"/>
      <c r="AYE54" s="173"/>
      <c r="AYF54" s="172"/>
      <c r="AYG54" s="173"/>
      <c r="AYH54" s="173"/>
      <c r="AYI54" s="172"/>
      <c r="AYJ54" s="173"/>
      <c r="AYK54" s="173"/>
      <c r="AYL54" s="172"/>
      <c r="AYM54" s="173"/>
      <c r="AYN54" s="173"/>
      <c r="AYO54" s="172"/>
      <c r="AYP54" s="173"/>
      <c r="AYQ54" s="173"/>
      <c r="AYR54" s="172"/>
      <c r="AYS54" s="173"/>
      <c r="AYT54" s="173"/>
      <c r="AYU54" s="172"/>
      <c r="AYV54" s="173"/>
      <c r="AYW54" s="173"/>
      <c r="AYX54" s="172"/>
      <c r="AYY54" s="173"/>
      <c r="AYZ54" s="173"/>
      <c r="AZA54" s="172"/>
      <c r="AZB54" s="173"/>
      <c r="AZC54" s="173"/>
      <c r="AZD54" s="172"/>
      <c r="AZE54" s="173"/>
      <c r="AZF54" s="173"/>
      <c r="AZG54" s="172"/>
      <c r="AZH54" s="173"/>
      <c r="AZI54" s="173"/>
      <c r="AZJ54" s="172"/>
      <c r="AZK54" s="173"/>
      <c r="AZL54" s="173"/>
      <c r="AZM54" s="172"/>
      <c r="AZN54" s="173"/>
      <c r="AZO54" s="173"/>
      <c r="AZP54" s="172"/>
      <c r="AZQ54" s="173"/>
      <c r="AZR54" s="173"/>
      <c r="AZS54" s="172"/>
      <c r="AZT54" s="173"/>
      <c r="AZU54" s="173"/>
      <c r="AZV54" s="172"/>
      <c r="AZW54" s="173"/>
      <c r="AZX54" s="173"/>
      <c r="AZY54" s="172"/>
      <c r="AZZ54" s="173"/>
      <c r="BAA54" s="173"/>
      <c r="BAB54" s="172"/>
      <c r="BAC54" s="173"/>
      <c r="BAD54" s="173"/>
      <c r="BAE54" s="172"/>
      <c r="BAF54" s="173"/>
      <c r="BAG54" s="173"/>
      <c r="BAH54" s="172"/>
      <c r="BAI54" s="173"/>
      <c r="BAJ54" s="173"/>
      <c r="BAK54" s="172"/>
      <c r="BAL54" s="173"/>
      <c r="BAM54" s="173"/>
      <c r="BAN54" s="172"/>
      <c r="BAO54" s="173"/>
      <c r="BAP54" s="173"/>
      <c r="BAQ54" s="172"/>
      <c r="BAR54" s="173"/>
      <c r="BAS54" s="173"/>
      <c r="BAT54" s="172"/>
      <c r="BAU54" s="173"/>
      <c r="BAV54" s="173"/>
      <c r="BAW54" s="172"/>
      <c r="BAX54" s="173"/>
      <c r="BAY54" s="173"/>
      <c r="BAZ54" s="172"/>
      <c r="BBA54" s="173"/>
      <c r="BBB54" s="173"/>
      <c r="BBC54" s="172"/>
      <c r="BBD54" s="173"/>
      <c r="BBE54" s="173"/>
      <c r="BBF54" s="172"/>
      <c r="BBG54" s="173"/>
      <c r="BBH54" s="173"/>
      <c r="BBI54" s="172"/>
      <c r="BBJ54" s="173"/>
      <c r="BBK54" s="173"/>
      <c r="BBL54" s="172"/>
      <c r="BBM54" s="173"/>
      <c r="BBN54" s="173"/>
      <c r="BBO54" s="172"/>
      <c r="BBP54" s="173"/>
      <c r="BBQ54" s="173"/>
      <c r="BBR54" s="172"/>
      <c r="BBS54" s="173"/>
      <c r="BBT54" s="173"/>
      <c r="BBU54" s="172"/>
      <c r="BBV54" s="173"/>
      <c r="BBW54" s="173"/>
      <c r="BBX54" s="172"/>
      <c r="BBY54" s="173"/>
      <c r="BBZ54" s="173"/>
      <c r="BCA54" s="172"/>
      <c r="BCB54" s="173"/>
      <c r="BCC54" s="173"/>
      <c r="BCD54" s="172"/>
      <c r="BCE54" s="173"/>
      <c r="BCF54" s="173"/>
      <c r="BCG54" s="172"/>
      <c r="BCH54" s="173"/>
      <c r="BCI54" s="173"/>
      <c r="BCJ54" s="172"/>
      <c r="BCK54" s="173"/>
      <c r="BCL54" s="173"/>
      <c r="BCM54" s="172"/>
      <c r="BCN54" s="173"/>
      <c r="BCO54" s="173"/>
      <c r="BCP54" s="172"/>
      <c r="BCQ54" s="173"/>
      <c r="BCR54" s="173"/>
      <c r="BCS54" s="172"/>
      <c r="BCT54" s="173"/>
      <c r="BCU54" s="173"/>
      <c r="BCV54" s="172"/>
      <c r="BCW54" s="173"/>
      <c r="BCX54" s="173"/>
      <c r="BCY54" s="172"/>
      <c r="BCZ54" s="173"/>
      <c r="BDA54" s="173"/>
      <c r="BDB54" s="172"/>
      <c r="BDC54" s="173"/>
      <c r="BDD54" s="173"/>
      <c r="BDE54" s="172"/>
      <c r="BDF54" s="173"/>
      <c r="BDG54" s="173"/>
      <c r="BDH54" s="172"/>
      <c r="BDI54" s="173"/>
      <c r="BDJ54" s="173"/>
      <c r="BDK54" s="172"/>
      <c r="BDL54" s="173"/>
      <c r="BDM54" s="173"/>
      <c r="BDN54" s="172"/>
      <c r="BDO54" s="173"/>
      <c r="BDP54" s="173"/>
      <c r="BDQ54" s="172"/>
      <c r="BDR54" s="173"/>
      <c r="BDS54" s="173"/>
      <c r="BDT54" s="172"/>
      <c r="BDU54" s="173"/>
      <c r="BDV54" s="173"/>
      <c r="BDW54" s="172"/>
      <c r="BDX54" s="173"/>
      <c r="BDY54" s="173"/>
      <c r="BDZ54" s="172"/>
      <c r="BEA54" s="173"/>
      <c r="BEB54" s="173"/>
      <c r="BEC54" s="172"/>
      <c r="BED54" s="173"/>
      <c r="BEE54" s="173"/>
      <c r="BEF54" s="172"/>
      <c r="BEG54" s="173"/>
      <c r="BEH54" s="173"/>
      <c r="BEI54" s="172"/>
      <c r="BEJ54" s="173"/>
      <c r="BEK54" s="173"/>
      <c r="BEL54" s="172"/>
      <c r="BEM54" s="173"/>
      <c r="BEN54" s="173"/>
      <c r="BEO54" s="172"/>
      <c r="BEP54" s="173"/>
      <c r="BEQ54" s="173"/>
      <c r="BER54" s="172"/>
      <c r="BES54" s="173"/>
      <c r="BET54" s="173"/>
      <c r="BEU54" s="172"/>
      <c r="BEV54" s="173"/>
      <c r="BEW54" s="173"/>
      <c r="BEX54" s="172"/>
      <c r="BEY54" s="173"/>
      <c r="BEZ54" s="173"/>
      <c r="BFA54" s="172"/>
      <c r="BFB54" s="173"/>
      <c r="BFC54" s="173"/>
      <c r="BFD54" s="172"/>
      <c r="BFE54" s="173"/>
      <c r="BFF54" s="173"/>
      <c r="BFG54" s="172"/>
      <c r="BFH54" s="173"/>
      <c r="BFI54" s="173"/>
      <c r="BFJ54" s="172"/>
      <c r="BFK54" s="173"/>
      <c r="BFL54" s="173"/>
      <c r="BFM54" s="172"/>
      <c r="BFN54" s="173"/>
      <c r="BFO54" s="173"/>
      <c r="BFP54" s="172"/>
      <c r="BFQ54" s="173"/>
      <c r="BFR54" s="173"/>
      <c r="BFS54" s="172"/>
      <c r="BFT54" s="173"/>
      <c r="BFU54" s="173"/>
      <c r="BFV54" s="172"/>
      <c r="BFW54" s="173"/>
      <c r="BFX54" s="173"/>
      <c r="BFY54" s="172"/>
      <c r="BFZ54" s="173"/>
      <c r="BGA54" s="173"/>
      <c r="BGB54" s="172"/>
      <c r="BGC54" s="173"/>
      <c r="BGD54" s="173"/>
      <c r="BGE54" s="172"/>
      <c r="BGF54" s="173"/>
      <c r="BGG54" s="173"/>
      <c r="BGH54" s="172"/>
      <c r="BGI54" s="173"/>
      <c r="BGJ54" s="173"/>
      <c r="BGK54" s="172"/>
      <c r="BGL54" s="173"/>
      <c r="BGM54" s="173"/>
      <c r="BGN54" s="172"/>
      <c r="BGO54" s="173"/>
      <c r="BGP54" s="173"/>
      <c r="BGQ54" s="172"/>
      <c r="BGR54" s="173"/>
      <c r="BGS54" s="173"/>
      <c r="BGT54" s="172"/>
      <c r="BGU54" s="173"/>
      <c r="BGV54" s="173"/>
      <c r="BGW54" s="172"/>
      <c r="BGX54" s="173"/>
      <c r="BGY54" s="173"/>
      <c r="BGZ54" s="172"/>
      <c r="BHA54" s="173"/>
      <c r="BHB54" s="173"/>
      <c r="BHC54" s="172"/>
      <c r="BHD54" s="173"/>
      <c r="BHE54" s="173"/>
      <c r="BHF54" s="172"/>
      <c r="BHG54" s="173"/>
      <c r="BHH54" s="173"/>
      <c r="BHI54" s="172"/>
      <c r="BHJ54" s="173"/>
      <c r="BHK54" s="173"/>
      <c r="BHL54" s="172"/>
      <c r="BHM54" s="173"/>
      <c r="BHN54" s="173"/>
      <c r="BHO54" s="172"/>
      <c r="BHP54" s="173"/>
      <c r="BHQ54" s="173"/>
      <c r="BHR54" s="172"/>
      <c r="BHS54" s="173"/>
      <c r="BHT54" s="173"/>
      <c r="BHU54" s="172"/>
      <c r="BHV54" s="173"/>
      <c r="BHW54" s="173"/>
      <c r="BHX54" s="172"/>
      <c r="BHY54" s="173"/>
      <c r="BHZ54" s="173"/>
      <c r="BIA54" s="172"/>
      <c r="BIB54" s="173"/>
      <c r="BIC54" s="173"/>
      <c r="BID54" s="172"/>
      <c r="BIE54" s="173"/>
      <c r="BIF54" s="173"/>
      <c r="BIG54" s="172"/>
      <c r="BIH54" s="173"/>
      <c r="BII54" s="173"/>
      <c r="BIJ54" s="172"/>
      <c r="BIK54" s="173"/>
      <c r="BIL54" s="173"/>
      <c r="BIM54" s="172"/>
      <c r="BIN54" s="173"/>
      <c r="BIO54" s="173"/>
      <c r="BIP54" s="172"/>
      <c r="BIQ54" s="173"/>
      <c r="BIR54" s="173"/>
      <c r="BIS54" s="172"/>
      <c r="BIT54" s="173"/>
      <c r="BIU54" s="173"/>
      <c r="BIV54" s="172"/>
      <c r="BIW54" s="173"/>
      <c r="BIX54" s="173"/>
      <c r="BIY54" s="172"/>
      <c r="BIZ54" s="173"/>
      <c r="BJA54" s="173"/>
      <c r="BJB54" s="172"/>
      <c r="BJC54" s="173"/>
      <c r="BJD54" s="173"/>
      <c r="BJE54" s="172"/>
      <c r="BJF54" s="173"/>
      <c r="BJG54" s="173"/>
      <c r="BJH54" s="172"/>
      <c r="BJI54" s="173"/>
      <c r="BJJ54" s="173"/>
      <c r="BJK54" s="172"/>
      <c r="BJL54" s="173"/>
      <c r="BJM54" s="173"/>
      <c r="BJN54" s="172"/>
      <c r="BJO54" s="173"/>
      <c r="BJP54" s="173"/>
      <c r="BJQ54" s="172"/>
      <c r="BJR54" s="173"/>
      <c r="BJS54" s="173"/>
      <c r="BJT54" s="172"/>
      <c r="BJU54" s="173"/>
      <c r="BJV54" s="173"/>
      <c r="BJW54" s="172"/>
      <c r="BJX54" s="173"/>
      <c r="BJY54" s="173"/>
      <c r="BJZ54" s="172"/>
      <c r="BKA54" s="173"/>
      <c r="BKB54" s="173"/>
      <c r="BKC54" s="172"/>
      <c r="BKD54" s="173"/>
      <c r="BKE54" s="173"/>
      <c r="BKF54" s="172"/>
      <c r="BKG54" s="173"/>
      <c r="BKH54" s="173"/>
      <c r="BKI54" s="172"/>
      <c r="BKJ54" s="173"/>
      <c r="BKK54" s="173"/>
      <c r="BKL54" s="172"/>
      <c r="BKM54" s="173"/>
      <c r="BKN54" s="173"/>
      <c r="BKO54" s="172"/>
      <c r="BKP54" s="173"/>
      <c r="BKQ54" s="173"/>
      <c r="BKR54" s="172"/>
      <c r="BKS54" s="173"/>
      <c r="BKT54" s="173"/>
      <c r="BKU54" s="172"/>
      <c r="BKV54" s="173"/>
      <c r="BKW54" s="173"/>
      <c r="BKX54" s="172"/>
      <c r="BKY54" s="173"/>
      <c r="BKZ54" s="173"/>
      <c r="BLA54" s="172"/>
      <c r="BLB54" s="173"/>
      <c r="BLC54" s="173"/>
      <c r="BLD54" s="172"/>
      <c r="BLE54" s="173"/>
      <c r="BLF54" s="173"/>
      <c r="BLG54" s="172"/>
      <c r="BLH54" s="173"/>
      <c r="BLI54" s="173"/>
      <c r="BLJ54" s="172"/>
      <c r="BLK54" s="173"/>
      <c r="BLL54" s="173"/>
      <c r="BLM54" s="172"/>
      <c r="BLN54" s="173"/>
      <c r="BLO54" s="173"/>
      <c r="BLP54" s="172"/>
      <c r="BLQ54" s="173"/>
      <c r="BLR54" s="173"/>
      <c r="BLS54" s="172"/>
      <c r="BLT54" s="173"/>
      <c r="BLU54" s="173"/>
      <c r="BLV54" s="172"/>
      <c r="BLW54" s="173"/>
      <c r="BLX54" s="173"/>
      <c r="BLY54" s="172"/>
      <c r="BLZ54" s="173"/>
      <c r="BMA54" s="173"/>
      <c r="BMB54" s="172"/>
      <c r="BMC54" s="173"/>
      <c r="BMD54" s="173"/>
      <c r="BME54" s="172"/>
      <c r="BMF54" s="173"/>
      <c r="BMG54" s="173"/>
      <c r="BMH54" s="172"/>
      <c r="BMI54" s="173"/>
      <c r="BMJ54" s="173"/>
      <c r="BMK54" s="172"/>
      <c r="BML54" s="173"/>
      <c r="BMM54" s="173"/>
      <c r="BMN54" s="172"/>
      <c r="BMO54" s="173"/>
      <c r="BMP54" s="173"/>
      <c r="BMQ54" s="172"/>
      <c r="BMR54" s="173"/>
      <c r="BMS54" s="173"/>
      <c r="BMT54" s="172"/>
      <c r="BMU54" s="173"/>
      <c r="BMV54" s="173"/>
      <c r="BMW54" s="172"/>
      <c r="BMX54" s="173"/>
      <c r="BMY54" s="173"/>
      <c r="BMZ54" s="172"/>
      <c r="BNA54" s="173"/>
      <c r="BNB54" s="173"/>
      <c r="BNC54" s="172"/>
      <c r="BND54" s="173"/>
      <c r="BNE54" s="173"/>
      <c r="BNF54" s="172"/>
      <c r="BNG54" s="173"/>
      <c r="BNH54" s="173"/>
      <c r="BNI54" s="172"/>
      <c r="BNJ54" s="173"/>
      <c r="BNK54" s="173"/>
      <c r="BNL54" s="172"/>
      <c r="BNM54" s="173"/>
      <c r="BNN54" s="173"/>
      <c r="BNO54" s="172"/>
      <c r="BNP54" s="173"/>
      <c r="BNQ54" s="173"/>
      <c r="BNR54" s="172"/>
      <c r="BNS54" s="173"/>
      <c r="BNT54" s="173"/>
      <c r="BNU54" s="172"/>
      <c r="BNV54" s="173"/>
      <c r="BNW54" s="173"/>
      <c r="BNX54" s="172"/>
      <c r="BNY54" s="173"/>
      <c r="BNZ54" s="173"/>
      <c r="BOA54" s="172"/>
      <c r="BOB54" s="173"/>
      <c r="BOC54" s="173"/>
      <c r="BOD54" s="172"/>
      <c r="BOE54" s="173"/>
      <c r="BOF54" s="173"/>
      <c r="BOG54" s="172"/>
      <c r="BOH54" s="173"/>
      <c r="BOI54" s="173"/>
      <c r="BOJ54" s="172"/>
      <c r="BOK54" s="173"/>
      <c r="BOL54" s="173"/>
      <c r="BOM54" s="172"/>
      <c r="BON54" s="173"/>
      <c r="BOO54" s="173"/>
      <c r="BOP54" s="172"/>
      <c r="BOQ54" s="173"/>
      <c r="BOR54" s="173"/>
      <c r="BOS54" s="172"/>
      <c r="BOT54" s="173"/>
      <c r="BOU54" s="173"/>
      <c r="BOV54" s="172"/>
      <c r="BOW54" s="173"/>
      <c r="BOX54" s="173"/>
      <c r="BOY54" s="172"/>
      <c r="BOZ54" s="173"/>
      <c r="BPA54" s="173"/>
      <c r="BPB54" s="172"/>
      <c r="BPC54" s="173"/>
      <c r="BPD54" s="173"/>
      <c r="BPE54" s="172"/>
      <c r="BPF54" s="173"/>
      <c r="BPG54" s="173"/>
      <c r="BPH54" s="172"/>
      <c r="BPI54" s="173"/>
      <c r="BPJ54" s="173"/>
      <c r="BPK54" s="172"/>
      <c r="BPL54" s="173"/>
      <c r="BPM54" s="173"/>
      <c r="BPN54" s="172"/>
      <c r="BPO54" s="173"/>
      <c r="BPP54" s="173"/>
      <c r="BPQ54" s="172"/>
      <c r="BPR54" s="173"/>
      <c r="BPS54" s="173"/>
      <c r="BPT54" s="172"/>
      <c r="BPU54" s="173"/>
      <c r="BPV54" s="173"/>
      <c r="BPW54" s="172"/>
      <c r="BPX54" s="173"/>
      <c r="BPY54" s="173"/>
      <c r="BPZ54" s="172"/>
      <c r="BQA54" s="173"/>
      <c r="BQB54" s="173"/>
      <c r="BQC54" s="172"/>
      <c r="BQD54" s="173"/>
      <c r="BQE54" s="173"/>
      <c r="BQF54" s="172"/>
      <c r="BQG54" s="173"/>
      <c r="BQH54" s="173"/>
      <c r="BQI54" s="172"/>
      <c r="BQJ54" s="173"/>
      <c r="BQK54" s="173"/>
      <c r="BQL54" s="172"/>
      <c r="BQM54" s="173"/>
      <c r="BQN54" s="173"/>
      <c r="BQO54" s="172"/>
      <c r="BQP54" s="173"/>
      <c r="BQQ54" s="173"/>
      <c r="BQR54" s="172"/>
      <c r="BQS54" s="173"/>
      <c r="BQT54" s="173"/>
      <c r="BQU54" s="172"/>
      <c r="BQV54" s="173"/>
      <c r="BQW54" s="173"/>
      <c r="BQX54" s="172"/>
      <c r="BQY54" s="173"/>
      <c r="BQZ54" s="173"/>
      <c r="BRA54" s="172"/>
      <c r="BRB54" s="173"/>
      <c r="BRC54" s="173"/>
      <c r="BRD54" s="172"/>
      <c r="BRE54" s="173"/>
      <c r="BRF54" s="173"/>
      <c r="BRG54" s="172"/>
      <c r="BRH54" s="173"/>
      <c r="BRI54" s="173"/>
      <c r="BRJ54" s="172"/>
      <c r="BRK54" s="173"/>
      <c r="BRL54" s="173"/>
      <c r="BRM54" s="172"/>
      <c r="BRN54" s="173"/>
      <c r="BRO54" s="173"/>
      <c r="BRP54" s="172"/>
      <c r="BRQ54" s="173"/>
      <c r="BRR54" s="173"/>
      <c r="BRS54" s="172"/>
      <c r="BRT54" s="173"/>
      <c r="BRU54" s="173"/>
      <c r="BRV54" s="172"/>
      <c r="BRW54" s="173"/>
      <c r="BRX54" s="173"/>
      <c r="BRY54" s="172"/>
      <c r="BRZ54" s="173"/>
      <c r="BSA54" s="173"/>
      <c r="BSB54" s="172"/>
      <c r="BSC54" s="173"/>
      <c r="BSD54" s="173"/>
      <c r="BSE54" s="172"/>
      <c r="BSF54" s="173"/>
      <c r="BSG54" s="173"/>
      <c r="BSH54" s="172"/>
      <c r="BSI54" s="173"/>
      <c r="BSJ54" s="173"/>
      <c r="BSK54" s="172"/>
      <c r="BSL54" s="173"/>
      <c r="BSM54" s="173"/>
      <c r="BSN54" s="172"/>
      <c r="BSO54" s="173"/>
      <c r="BSP54" s="173"/>
      <c r="BSQ54" s="172"/>
      <c r="BSR54" s="173"/>
      <c r="BSS54" s="173"/>
      <c r="BST54" s="172"/>
      <c r="BSU54" s="173"/>
      <c r="BSV54" s="173"/>
      <c r="BSW54" s="172"/>
      <c r="BSX54" s="173"/>
      <c r="BSY54" s="173"/>
      <c r="BSZ54" s="172"/>
      <c r="BTA54" s="173"/>
      <c r="BTB54" s="173"/>
      <c r="BTC54" s="172"/>
      <c r="BTD54" s="173"/>
      <c r="BTE54" s="173"/>
      <c r="BTF54" s="172"/>
      <c r="BTG54" s="173"/>
      <c r="BTH54" s="173"/>
      <c r="BTI54" s="172"/>
      <c r="BTJ54" s="173"/>
      <c r="BTK54" s="173"/>
      <c r="BTL54" s="172"/>
      <c r="BTM54" s="173"/>
      <c r="BTN54" s="173"/>
      <c r="BTO54" s="172"/>
      <c r="BTP54" s="173"/>
      <c r="BTQ54" s="173"/>
      <c r="BTR54" s="172"/>
      <c r="BTS54" s="173"/>
      <c r="BTT54" s="173"/>
      <c r="BTU54" s="172"/>
      <c r="BTV54" s="173"/>
      <c r="BTW54" s="173"/>
      <c r="BTX54" s="172"/>
      <c r="BTY54" s="173"/>
      <c r="BTZ54" s="173"/>
      <c r="BUA54" s="172"/>
      <c r="BUB54" s="173"/>
      <c r="BUC54" s="173"/>
      <c r="BUD54" s="172"/>
      <c r="BUE54" s="173"/>
      <c r="BUF54" s="173"/>
      <c r="BUG54" s="172"/>
      <c r="BUH54" s="173"/>
      <c r="BUI54" s="173"/>
      <c r="BUJ54" s="172"/>
      <c r="BUK54" s="173"/>
      <c r="BUL54" s="173"/>
      <c r="BUM54" s="172"/>
      <c r="BUN54" s="173"/>
      <c r="BUO54" s="173"/>
      <c r="BUP54" s="172"/>
      <c r="BUQ54" s="173"/>
      <c r="BUR54" s="173"/>
      <c r="BUS54" s="172"/>
      <c r="BUT54" s="173"/>
      <c r="BUU54" s="173"/>
      <c r="BUV54" s="172"/>
      <c r="BUW54" s="173"/>
      <c r="BUX54" s="173"/>
      <c r="BUY54" s="172"/>
      <c r="BUZ54" s="173"/>
      <c r="BVA54" s="173"/>
      <c r="BVB54" s="172"/>
      <c r="BVC54" s="173"/>
      <c r="BVD54" s="173"/>
      <c r="BVE54" s="172"/>
      <c r="BVF54" s="173"/>
      <c r="BVG54" s="173"/>
      <c r="BVH54" s="172"/>
      <c r="BVI54" s="173"/>
      <c r="BVJ54" s="173"/>
      <c r="BVK54" s="172"/>
      <c r="BVL54" s="173"/>
      <c r="BVM54" s="173"/>
      <c r="BVN54" s="172"/>
      <c r="BVO54" s="173"/>
      <c r="BVP54" s="173"/>
      <c r="BVQ54" s="172"/>
      <c r="BVR54" s="173"/>
      <c r="BVS54" s="173"/>
      <c r="BVT54" s="172"/>
      <c r="BVU54" s="173"/>
      <c r="BVV54" s="173"/>
      <c r="BVW54" s="172"/>
      <c r="BVX54" s="173"/>
      <c r="BVY54" s="173"/>
      <c r="BVZ54" s="172"/>
      <c r="BWA54" s="173"/>
      <c r="BWB54" s="173"/>
      <c r="BWC54" s="172"/>
      <c r="BWD54" s="173"/>
      <c r="BWE54" s="173"/>
      <c r="BWF54" s="172"/>
      <c r="BWG54" s="173"/>
      <c r="BWH54" s="173"/>
      <c r="BWI54" s="172"/>
      <c r="BWJ54" s="173"/>
      <c r="BWK54" s="173"/>
      <c r="BWL54" s="172"/>
      <c r="BWM54" s="173"/>
      <c r="BWN54" s="173"/>
      <c r="BWO54" s="172"/>
      <c r="BWP54" s="173"/>
      <c r="BWQ54" s="173"/>
      <c r="BWR54" s="172"/>
      <c r="BWS54" s="173"/>
      <c r="BWT54" s="173"/>
      <c r="BWU54" s="172"/>
      <c r="BWV54" s="173"/>
      <c r="BWW54" s="173"/>
      <c r="BWX54" s="172"/>
      <c r="BWY54" s="173"/>
      <c r="BWZ54" s="173"/>
      <c r="BXA54" s="172"/>
      <c r="BXB54" s="173"/>
      <c r="BXC54" s="173"/>
      <c r="BXD54" s="172"/>
      <c r="BXE54" s="173"/>
      <c r="BXF54" s="173"/>
      <c r="BXG54" s="172"/>
      <c r="BXH54" s="173"/>
      <c r="BXI54" s="173"/>
      <c r="BXJ54" s="172"/>
      <c r="BXK54" s="173"/>
      <c r="BXL54" s="173"/>
      <c r="BXM54" s="172"/>
      <c r="BXN54" s="173"/>
      <c r="BXO54" s="173"/>
      <c r="BXP54" s="172"/>
      <c r="BXQ54" s="173"/>
      <c r="BXR54" s="173"/>
      <c r="BXS54" s="172"/>
      <c r="BXT54" s="173"/>
      <c r="BXU54" s="173"/>
      <c r="BXV54" s="172"/>
      <c r="BXW54" s="173"/>
      <c r="BXX54" s="173"/>
      <c r="BXY54" s="172"/>
      <c r="BXZ54" s="173"/>
      <c r="BYA54" s="173"/>
      <c r="BYB54" s="172"/>
      <c r="BYC54" s="173"/>
      <c r="BYD54" s="173"/>
      <c r="BYE54" s="172"/>
      <c r="BYF54" s="173"/>
      <c r="BYG54" s="173"/>
      <c r="BYH54" s="172"/>
      <c r="BYI54" s="173"/>
      <c r="BYJ54" s="173"/>
      <c r="BYK54" s="172"/>
      <c r="BYL54" s="173"/>
      <c r="BYM54" s="173"/>
      <c r="BYN54" s="172"/>
      <c r="BYO54" s="173"/>
      <c r="BYP54" s="173"/>
      <c r="BYQ54" s="172"/>
      <c r="BYR54" s="173"/>
      <c r="BYS54" s="173"/>
      <c r="BYT54" s="172"/>
      <c r="BYU54" s="173"/>
      <c r="BYV54" s="173"/>
      <c r="BYW54" s="172"/>
      <c r="BYX54" s="173"/>
      <c r="BYY54" s="173"/>
      <c r="BYZ54" s="172"/>
      <c r="BZA54" s="173"/>
      <c r="BZB54" s="173"/>
      <c r="BZC54" s="172"/>
      <c r="BZD54" s="173"/>
      <c r="BZE54" s="173"/>
      <c r="BZF54" s="172"/>
      <c r="BZG54" s="173"/>
      <c r="BZH54" s="173"/>
      <c r="BZI54" s="172"/>
      <c r="BZJ54" s="173"/>
      <c r="BZK54" s="173"/>
      <c r="BZL54" s="172"/>
      <c r="BZM54" s="173"/>
      <c r="BZN54" s="173"/>
      <c r="BZO54" s="172"/>
      <c r="BZP54" s="173"/>
      <c r="BZQ54" s="173"/>
      <c r="BZR54" s="172"/>
      <c r="BZS54" s="173"/>
      <c r="BZT54" s="173"/>
      <c r="BZU54" s="172"/>
      <c r="BZV54" s="173"/>
      <c r="BZW54" s="173"/>
      <c r="BZX54" s="172"/>
      <c r="BZY54" s="173"/>
      <c r="BZZ54" s="173"/>
      <c r="CAA54" s="172"/>
      <c r="CAB54" s="173"/>
      <c r="CAC54" s="173"/>
      <c r="CAD54" s="172"/>
      <c r="CAE54" s="173"/>
      <c r="CAF54" s="173"/>
      <c r="CAG54" s="172"/>
      <c r="CAH54" s="173"/>
      <c r="CAI54" s="173"/>
      <c r="CAJ54" s="172"/>
      <c r="CAK54" s="173"/>
      <c r="CAL54" s="173"/>
      <c r="CAM54" s="172"/>
      <c r="CAN54" s="173"/>
      <c r="CAO54" s="173"/>
      <c r="CAP54" s="172"/>
      <c r="CAQ54" s="173"/>
      <c r="CAR54" s="173"/>
      <c r="CAS54" s="172"/>
      <c r="CAT54" s="173"/>
      <c r="CAU54" s="173"/>
      <c r="CAV54" s="172"/>
      <c r="CAW54" s="173"/>
      <c r="CAX54" s="173"/>
      <c r="CAY54" s="172"/>
      <c r="CAZ54" s="173"/>
      <c r="CBA54" s="173"/>
      <c r="CBB54" s="172"/>
      <c r="CBC54" s="173"/>
      <c r="CBD54" s="173"/>
      <c r="CBE54" s="172"/>
      <c r="CBF54" s="173"/>
      <c r="CBG54" s="173"/>
      <c r="CBH54" s="172"/>
      <c r="CBI54" s="173"/>
      <c r="CBJ54" s="173"/>
      <c r="CBK54" s="172"/>
      <c r="CBL54" s="173"/>
      <c r="CBM54" s="173"/>
      <c r="CBN54" s="172"/>
      <c r="CBO54" s="173"/>
      <c r="CBP54" s="173"/>
      <c r="CBQ54" s="172"/>
      <c r="CBR54" s="173"/>
      <c r="CBS54" s="173"/>
      <c r="CBT54" s="172"/>
      <c r="CBU54" s="173"/>
      <c r="CBV54" s="173"/>
      <c r="CBW54" s="172"/>
      <c r="CBX54" s="173"/>
      <c r="CBY54" s="173"/>
      <c r="CBZ54" s="172"/>
      <c r="CCA54" s="173"/>
      <c r="CCB54" s="173"/>
      <c r="CCC54" s="172"/>
      <c r="CCD54" s="173"/>
      <c r="CCE54" s="173"/>
      <c r="CCF54" s="172"/>
      <c r="CCG54" s="173"/>
      <c r="CCH54" s="173"/>
      <c r="CCI54" s="172"/>
      <c r="CCJ54" s="173"/>
      <c r="CCK54" s="173"/>
      <c r="CCL54" s="172"/>
      <c r="CCM54" s="173"/>
      <c r="CCN54" s="173"/>
      <c r="CCO54" s="172"/>
      <c r="CCP54" s="173"/>
      <c r="CCQ54" s="173"/>
      <c r="CCR54" s="172"/>
      <c r="CCS54" s="173"/>
      <c r="CCT54" s="173"/>
      <c r="CCU54" s="172"/>
      <c r="CCV54" s="173"/>
      <c r="CCW54" s="173"/>
      <c r="CCX54" s="172"/>
      <c r="CCY54" s="173"/>
      <c r="CCZ54" s="173"/>
      <c r="CDA54" s="172"/>
      <c r="CDB54" s="173"/>
      <c r="CDC54" s="173"/>
      <c r="CDD54" s="172"/>
      <c r="CDE54" s="173"/>
      <c r="CDF54" s="173"/>
      <c r="CDG54" s="172"/>
      <c r="CDH54" s="173"/>
      <c r="CDI54" s="173"/>
      <c r="CDJ54" s="172"/>
      <c r="CDK54" s="173"/>
      <c r="CDL54" s="173"/>
      <c r="CDM54" s="172"/>
      <c r="CDN54" s="173"/>
      <c r="CDO54" s="173"/>
      <c r="CDP54" s="172"/>
      <c r="CDQ54" s="173"/>
      <c r="CDR54" s="173"/>
      <c r="CDS54" s="172"/>
      <c r="CDT54" s="173"/>
      <c r="CDU54" s="173"/>
      <c r="CDV54" s="172"/>
      <c r="CDW54" s="173"/>
      <c r="CDX54" s="173"/>
      <c r="CDY54" s="172"/>
      <c r="CDZ54" s="173"/>
      <c r="CEA54" s="173"/>
      <c r="CEB54" s="172"/>
      <c r="CEC54" s="173"/>
      <c r="CED54" s="173"/>
      <c r="CEE54" s="172"/>
      <c r="CEF54" s="173"/>
      <c r="CEG54" s="173"/>
      <c r="CEH54" s="172"/>
      <c r="CEI54" s="173"/>
      <c r="CEJ54" s="173"/>
      <c r="CEK54" s="172"/>
      <c r="CEL54" s="173"/>
      <c r="CEM54" s="173"/>
      <c r="CEN54" s="172"/>
      <c r="CEO54" s="173"/>
      <c r="CEP54" s="173"/>
      <c r="CEQ54" s="172"/>
      <c r="CER54" s="173"/>
      <c r="CES54" s="173"/>
      <c r="CET54" s="172"/>
      <c r="CEU54" s="173"/>
      <c r="CEV54" s="173"/>
      <c r="CEW54" s="172"/>
      <c r="CEX54" s="173"/>
      <c r="CEY54" s="173"/>
      <c r="CEZ54" s="172"/>
      <c r="CFA54" s="173"/>
      <c r="CFB54" s="173"/>
      <c r="CFC54" s="172"/>
      <c r="CFD54" s="173"/>
      <c r="CFE54" s="173"/>
      <c r="CFF54" s="172"/>
      <c r="CFG54" s="173"/>
      <c r="CFH54" s="173"/>
      <c r="CFI54" s="172"/>
      <c r="CFJ54" s="173"/>
      <c r="CFK54" s="173"/>
      <c r="CFL54" s="172"/>
      <c r="CFM54" s="173"/>
      <c r="CFN54" s="173"/>
      <c r="CFO54" s="172"/>
      <c r="CFP54" s="173"/>
      <c r="CFQ54" s="173"/>
      <c r="CFR54" s="172"/>
      <c r="CFS54" s="173"/>
      <c r="CFT54" s="173"/>
      <c r="CFU54" s="172"/>
      <c r="CFV54" s="173"/>
      <c r="CFW54" s="173"/>
      <c r="CFX54" s="172"/>
      <c r="CFY54" s="173"/>
      <c r="CFZ54" s="173"/>
      <c r="CGA54" s="172"/>
      <c r="CGB54" s="173"/>
      <c r="CGC54" s="173"/>
      <c r="CGD54" s="172"/>
      <c r="CGE54" s="173"/>
      <c r="CGF54" s="173"/>
      <c r="CGG54" s="172"/>
      <c r="CGH54" s="173"/>
      <c r="CGI54" s="173"/>
      <c r="CGJ54" s="172"/>
      <c r="CGK54" s="173"/>
      <c r="CGL54" s="173"/>
      <c r="CGM54" s="172"/>
      <c r="CGN54" s="173"/>
      <c r="CGO54" s="173"/>
      <c r="CGP54" s="172"/>
      <c r="CGQ54" s="173"/>
      <c r="CGR54" s="173"/>
      <c r="CGS54" s="172"/>
      <c r="CGT54" s="173"/>
      <c r="CGU54" s="173"/>
      <c r="CGV54" s="172"/>
      <c r="CGW54" s="173"/>
      <c r="CGX54" s="173"/>
      <c r="CGY54" s="172"/>
      <c r="CGZ54" s="173"/>
      <c r="CHA54" s="173"/>
      <c r="CHB54" s="172"/>
      <c r="CHC54" s="173"/>
      <c r="CHD54" s="173"/>
      <c r="CHE54" s="172"/>
      <c r="CHF54" s="173"/>
      <c r="CHG54" s="173"/>
      <c r="CHH54" s="172"/>
      <c r="CHI54" s="173"/>
      <c r="CHJ54" s="173"/>
      <c r="CHK54" s="172"/>
      <c r="CHL54" s="173"/>
      <c r="CHM54" s="173"/>
      <c r="CHN54" s="172"/>
      <c r="CHO54" s="173"/>
      <c r="CHP54" s="173"/>
      <c r="CHQ54" s="172"/>
      <c r="CHR54" s="173"/>
      <c r="CHS54" s="173"/>
      <c r="CHT54" s="172"/>
      <c r="CHU54" s="173"/>
      <c r="CHV54" s="173"/>
      <c r="CHW54" s="172"/>
      <c r="CHX54" s="173"/>
      <c r="CHY54" s="173"/>
      <c r="CHZ54" s="172"/>
      <c r="CIA54" s="173"/>
      <c r="CIB54" s="173"/>
      <c r="CIC54" s="172"/>
      <c r="CID54" s="173"/>
      <c r="CIE54" s="173"/>
      <c r="CIF54" s="172"/>
      <c r="CIG54" s="173"/>
      <c r="CIH54" s="173"/>
      <c r="CII54" s="172"/>
      <c r="CIJ54" s="173"/>
      <c r="CIK54" s="173"/>
      <c r="CIL54" s="172"/>
      <c r="CIM54" s="173"/>
      <c r="CIN54" s="173"/>
      <c r="CIO54" s="172"/>
      <c r="CIP54" s="173"/>
      <c r="CIQ54" s="173"/>
      <c r="CIR54" s="172"/>
      <c r="CIS54" s="173"/>
      <c r="CIT54" s="173"/>
      <c r="CIU54" s="172"/>
      <c r="CIV54" s="173"/>
      <c r="CIW54" s="173"/>
      <c r="CIX54" s="172"/>
      <c r="CIY54" s="173"/>
      <c r="CIZ54" s="173"/>
      <c r="CJA54" s="172"/>
      <c r="CJB54" s="173"/>
      <c r="CJC54" s="173"/>
      <c r="CJD54" s="172"/>
      <c r="CJE54" s="173"/>
      <c r="CJF54" s="173"/>
      <c r="CJG54" s="172"/>
      <c r="CJH54" s="173"/>
      <c r="CJI54" s="173"/>
      <c r="CJJ54" s="172"/>
      <c r="CJK54" s="173"/>
      <c r="CJL54" s="173"/>
      <c r="CJM54" s="172"/>
      <c r="CJN54" s="173"/>
      <c r="CJO54" s="173"/>
      <c r="CJP54" s="172"/>
      <c r="CJQ54" s="173"/>
      <c r="CJR54" s="173"/>
      <c r="CJS54" s="172"/>
      <c r="CJT54" s="173"/>
      <c r="CJU54" s="173"/>
      <c r="CJV54" s="172"/>
      <c r="CJW54" s="173"/>
      <c r="CJX54" s="173"/>
      <c r="CJY54" s="172"/>
      <c r="CJZ54" s="173"/>
      <c r="CKA54" s="173"/>
      <c r="CKB54" s="172"/>
      <c r="CKC54" s="173"/>
      <c r="CKD54" s="173"/>
      <c r="CKE54" s="172"/>
      <c r="CKF54" s="173"/>
      <c r="CKG54" s="173"/>
      <c r="CKH54" s="172"/>
      <c r="CKI54" s="173"/>
      <c r="CKJ54" s="173"/>
      <c r="CKK54" s="172"/>
      <c r="CKL54" s="173"/>
      <c r="CKM54" s="173"/>
      <c r="CKN54" s="172"/>
      <c r="CKO54" s="173"/>
      <c r="CKP54" s="173"/>
      <c r="CKQ54" s="172"/>
      <c r="CKR54" s="173"/>
      <c r="CKS54" s="173"/>
      <c r="CKT54" s="172"/>
      <c r="CKU54" s="173"/>
      <c r="CKV54" s="173"/>
      <c r="CKW54" s="172"/>
      <c r="CKX54" s="173"/>
      <c r="CKY54" s="173"/>
      <c r="CKZ54" s="172"/>
      <c r="CLA54" s="173"/>
      <c r="CLB54" s="173"/>
      <c r="CLC54" s="172"/>
      <c r="CLD54" s="173"/>
      <c r="CLE54" s="173"/>
      <c r="CLF54" s="172"/>
      <c r="CLG54" s="173"/>
      <c r="CLH54" s="173"/>
      <c r="CLI54" s="172"/>
      <c r="CLJ54" s="173"/>
      <c r="CLK54" s="173"/>
      <c r="CLL54" s="172"/>
      <c r="CLM54" s="173"/>
      <c r="CLN54" s="173"/>
      <c r="CLO54" s="172"/>
      <c r="CLP54" s="173"/>
      <c r="CLQ54" s="173"/>
      <c r="CLR54" s="172"/>
      <c r="CLS54" s="173"/>
      <c r="CLT54" s="173"/>
      <c r="CLU54" s="172"/>
      <c r="CLV54" s="173"/>
      <c r="CLW54" s="173"/>
      <c r="CLX54" s="172"/>
      <c r="CLY54" s="173"/>
      <c r="CLZ54" s="173"/>
      <c r="CMA54" s="172"/>
      <c r="CMB54" s="173"/>
      <c r="CMC54" s="173"/>
      <c r="CMD54" s="172"/>
      <c r="CME54" s="173"/>
      <c r="CMF54" s="173"/>
      <c r="CMG54" s="172"/>
      <c r="CMH54" s="173"/>
      <c r="CMI54" s="173"/>
      <c r="CMJ54" s="172"/>
      <c r="CMK54" s="173"/>
      <c r="CML54" s="173"/>
      <c r="CMM54" s="172"/>
      <c r="CMN54" s="173"/>
      <c r="CMO54" s="173"/>
      <c r="CMP54" s="172"/>
      <c r="CMQ54" s="173"/>
      <c r="CMR54" s="173"/>
      <c r="CMS54" s="172"/>
      <c r="CMT54" s="173"/>
      <c r="CMU54" s="173"/>
      <c r="CMV54" s="172"/>
      <c r="CMW54" s="173"/>
      <c r="CMX54" s="173"/>
      <c r="CMY54" s="172"/>
      <c r="CMZ54" s="173"/>
      <c r="CNA54" s="173"/>
      <c r="CNB54" s="172"/>
      <c r="CNC54" s="173"/>
      <c r="CND54" s="173"/>
      <c r="CNE54" s="172"/>
      <c r="CNF54" s="173"/>
      <c r="CNG54" s="173"/>
      <c r="CNH54" s="172"/>
      <c r="CNI54" s="173"/>
      <c r="CNJ54" s="173"/>
      <c r="CNK54" s="172"/>
      <c r="CNL54" s="173"/>
      <c r="CNM54" s="173"/>
      <c r="CNN54" s="172"/>
      <c r="CNO54" s="173"/>
      <c r="CNP54" s="173"/>
      <c r="CNQ54" s="172"/>
      <c r="CNR54" s="173"/>
      <c r="CNS54" s="173"/>
      <c r="CNT54" s="172"/>
      <c r="CNU54" s="173"/>
      <c r="CNV54" s="173"/>
      <c r="CNW54" s="172"/>
      <c r="CNX54" s="173"/>
      <c r="CNY54" s="173"/>
      <c r="CNZ54" s="172"/>
      <c r="COA54" s="173"/>
      <c r="COB54" s="173"/>
      <c r="COC54" s="172"/>
      <c r="COD54" s="173"/>
      <c r="COE54" s="173"/>
      <c r="COF54" s="172"/>
      <c r="COG54" s="173"/>
      <c r="COH54" s="173"/>
      <c r="COI54" s="172"/>
      <c r="COJ54" s="173"/>
      <c r="COK54" s="173"/>
      <c r="COL54" s="172"/>
      <c r="COM54" s="173"/>
      <c r="CON54" s="173"/>
      <c r="COO54" s="172"/>
      <c r="COP54" s="173"/>
      <c r="COQ54" s="173"/>
      <c r="COR54" s="172"/>
      <c r="COS54" s="173"/>
      <c r="COT54" s="173"/>
      <c r="COU54" s="172"/>
      <c r="COV54" s="173"/>
      <c r="COW54" s="173"/>
      <c r="COX54" s="172"/>
      <c r="COY54" s="173"/>
      <c r="COZ54" s="173"/>
      <c r="CPA54" s="172"/>
      <c r="CPB54" s="173"/>
      <c r="CPC54" s="173"/>
      <c r="CPD54" s="172"/>
      <c r="CPE54" s="173"/>
      <c r="CPF54" s="173"/>
      <c r="CPG54" s="172"/>
      <c r="CPH54" s="173"/>
      <c r="CPI54" s="173"/>
      <c r="CPJ54" s="172"/>
      <c r="CPK54" s="173"/>
      <c r="CPL54" s="173"/>
      <c r="CPM54" s="172"/>
      <c r="CPN54" s="173"/>
      <c r="CPO54" s="173"/>
      <c r="CPP54" s="172"/>
      <c r="CPQ54" s="173"/>
      <c r="CPR54" s="173"/>
      <c r="CPS54" s="172"/>
      <c r="CPT54" s="173"/>
      <c r="CPU54" s="173"/>
      <c r="CPV54" s="172"/>
      <c r="CPW54" s="173"/>
      <c r="CPX54" s="173"/>
      <c r="CPY54" s="172"/>
      <c r="CPZ54" s="173"/>
      <c r="CQA54" s="173"/>
      <c r="CQB54" s="172"/>
      <c r="CQC54" s="173"/>
      <c r="CQD54" s="173"/>
      <c r="CQE54" s="172"/>
      <c r="CQF54" s="173"/>
      <c r="CQG54" s="173"/>
      <c r="CQH54" s="172"/>
      <c r="CQI54" s="173"/>
      <c r="CQJ54" s="173"/>
      <c r="CQK54" s="172"/>
      <c r="CQL54" s="173"/>
      <c r="CQM54" s="173"/>
      <c r="CQN54" s="172"/>
      <c r="CQO54" s="173"/>
      <c r="CQP54" s="173"/>
      <c r="CQQ54" s="172"/>
      <c r="CQR54" s="173"/>
      <c r="CQS54" s="173"/>
      <c r="CQT54" s="172"/>
      <c r="CQU54" s="173"/>
      <c r="CQV54" s="173"/>
      <c r="CQW54" s="172"/>
      <c r="CQX54" s="173"/>
      <c r="CQY54" s="173"/>
      <c r="CQZ54" s="172"/>
      <c r="CRA54" s="173"/>
      <c r="CRB54" s="173"/>
      <c r="CRC54" s="172"/>
      <c r="CRD54" s="173"/>
      <c r="CRE54" s="173"/>
      <c r="CRF54" s="172"/>
      <c r="CRG54" s="173"/>
      <c r="CRH54" s="173"/>
      <c r="CRI54" s="172"/>
      <c r="CRJ54" s="173"/>
      <c r="CRK54" s="173"/>
      <c r="CRL54" s="172"/>
      <c r="CRM54" s="173"/>
      <c r="CRN54" s="173"/>
      <c r="CRO54" s="172"/>
      <c r="CRP54" s="173"/>
      <c r="CRQ54" s="173"/>
      <c r="CRR54" s="172"/>
      <c r="CRS54" s="173"/>
      <c r="CRT54" s="173"/>
      <c r="CRU54" s="172"/>
      <c r="CRV54" s="173"/>
      <c r="CRW54" s="173"/>
      <c r="CRX54" s="172"/>
      <c r="CRY54" s="173"/>
      <c r="CRZ54" s="173"/>
      <c r="CSA54" s="172"/>
      <c r="CSB54" s="173"/>
      <c r="CSC54" s="173"/>
      <c r="CSD54" s="172"/>
      <c r="CSE54" s="173"/>
      <c r="CSF54" s="173"/>
      <c r="CSG54" s="172"/>
      <c r="CSH54" s="173"/>
      <c r="CSI54" s="173"/>
      <c r="CSJ54" s="172"/>
      <c r="CSK54" s="173"/>
      <c r="CSL54" s="173"/>
      <c r="CSM54" s="172"/>
      <c r="CSN54" s="173"/>
      <c r="CSO54" s="173"/>
      <c r="CSP54" s="172"/>
      <c r="CSQ54" s="173"/>
      <c r="CSR54" s="173"/>
      <c r="CSS54" s="172"/>
      <c r="CST54" s="173"/>
      <c r="CSU54" s="173"/>
      <c r="CSV54" s="172"/>
      <c r="CSW54" s="173"/>
      <c r="CSX54" s="173"/>
      <c r="CSY54" s="172"/>
      <c r="CSZ54" s="173"/>
      <c r="CTA54" s="173"/>
      <c r="CTB54" s="172"/>
      <c r="CTC54" s="173"/>
      <c r="CTD54" s="173"/>
      <c r="CTE54" s="172"/>
      <c r="CTF54" s="173"/>
      <c r="CTG54" s="173"/>
      <c r="CTH54" s="172"/>
      <c r="CTI54" s="173"/>
      <c r="CTJ54" s="173"/>
      <c r="CTK54" s="172"/>
      <c r="CTL54" s="173"/>
      <c r="CTM54" s="173"/>
      <c r="CTN54" s="172"/>
      <c r="CTO54" s="173"/>
      <c r="CTP54" s="173"/>
      <c r="CTQ54" s="172"/>
      <c r="CTR54" s="173"/>
      <c r="CTS54" s="173"/>
      <c r="CTT54" s="172"/>
      <c r="CTU54" s="173"/>
      <c r="CTV54" s="173"/>
      <c r="CTW54" s="172"/>
      <c r="CTX54" s="173"/>
      <c r="CTY54" s="173"/>
      <c r="CTZ54" s="172"/>
      <c r="CUA54" s="173"/>
      <c r="CUB54" s="173"/>
      <c r="CUC54" s="172"/>
      <c r="CUD54" s="173"/>
      <c r="CUE54" s="173"/>
      <c r="CUF54" s="172"/>
      <c r="CUG54" s="173"/>
      <c r="CUH54" s="173"/>
      <c r="CUI54" s="172"/>
      <c r="CUJ54" s="173"/>
      <c r="CUK54" s="173"/>
      <c r="CUL54" s="172"/>
      <c r="CUM54" s="173"/>
      <c r="CUN54" s="173"/>
      <c r="CUO54" s="172"/>
      <c r="CUP54" s="173"/>
      <c r="CUQ54" s="173"/>
      <c r="CUR54" s="172"/>
      <c r="CUS54" s="173"/>
      <c r="CUT54" s="173"/>
      <c r="CUU54" s="172"/>
      <c r="CUV54" s="173"/>
      <c r="CUW54" s="173"/>
      <c r="CUX54" s="172"/>
      <c r="CUY54" s="173"/>
      <c r="CUZ54" s="173"/>
      <c r="CVA54" s="172"/>
      <c r="CVB54" s="173"/>
      <c r="CVC54" s="173"/>
      <c r="CVD54" s="172"/>
      <c r="CVE54" s="173"/>
      <c r="CVF54" s="173"/>
      <c r="CVG54" s="172"/>
      <c r="CVH54" s="173"/>
      <c r="CVI54" s="173"/>
      <c r="CVJ54" s="172"/>
      <c r="CVK54" s="173"/>
      <c r="CVL54" s="173"/>
      <c r="CVM54" s="172"/>
      <c r="CVN54" s="173"/>
      <c r="CVO54" s="173"/>
      <c r="CVP54" s="172"/>
      <c r="CVQ54" s="173"/>
      <c r="CVR54" s="173"/>
      <c r="CVS54" s="172"/>
      <c r="CVT54" s="173"/>
      <c r="CVU54" s="173"/>
      <c r="CVV54" s="172"/>
      <c r="CVW54" s="173"/>
      <c r="CVX54" s="173"/>
      <c r="CVY54" s="172"/>
      <c r="CVZ54" s="173"/>
      <c r="CWA54" s="173"/>
      <c r="CWB54" s="172"/>
      <c r="CWC54" s="173"/>
      <c r="CWD54" s="173"/>
      <c r="CWE54" s="172"/>
      <c r="CWF54" s="173"/>
      <c r="CWG54" s="173"/>
      <c r="CWH54" s="172"/>
      <c r="CWI54" s="173"/>
      <c r="CWJ54" s="173"/>
      <c r="CWK54" s="172"/>
      <c r="CWL54" s="173"/>
      <c r="CWM54" s="173"/>
      <c r="CWN54" s="172"/>
      <c r="CWO54" s="173"/>
      <c r="CWP54" s="173"/>
      <c r="CWQ54" s="172"/>
      <c r="CWR54" s="173"/>
      <c r="CWS54" s="173"/>
      <c r="CWT54" s="172"/>
      <c r="CWU54" s="173"/>
      <c r="CWV54" s="173"/>
      <c r="CWW54" s="172"/>
      <c r="CWX54" s="173"/>
      <c r="CWY54" s="173"/>
      <c r="CWZ54" s="172"/>
      <c r="CXA54" s="173"/>
      <c r="CXB54" s="173"/>
      <c r="CXC54" s="172"/>
      <c r="CXD54" s="173"/>
      <c r="CXE54" s="173"/>
      <c r="CXF54" s="172"/>
      <c r="CXG54" s="173"/>
      <c r="CXH54" s="173"/>
      <c r="CXI54" s="172"/>
      <c r="CXJ54" s="173"/>
      <c r="CXK54" s="173"/>
      <c r="CXL54" s="172"/>
      <c r="CXM54" s="173"/>
      <c r="CXN54" s="173"/>
      <c r="CXO54" s="172"/>
      <c r="CXP54" s="173"/>
      <c r="CXQ54" s="173"/>
      <c r="CXR54" s="172"/>
      <c r="CXS54" s="173"/>
      <c r="CXT54" s="173"/>
      <c r="CXU54" s="172"/>
      <c r="CXV54" s="173"/>
      <c r="CXW54" s="173"/>
      <c r="CXX54" s="172"/>
      <c r="CXY54" s="173"/>
      <c r="CXZ54" s="173"/>
      <c r="CYA54" s="172"/>
      <c r="CYB54" s="173"/>
      <c r="CYC54" s="173"/>
      <c r="CYD54" s="172"/>
      <c r="CYE54" s="173"/>
      <c r="CYF54" s="173"/>
      <c r="CYG54" s="172"/>
      <c r="CYH54" s="173"/>
      <c r="CYI54" s="173"/>
      <c r="CYJ54" s="172"/>
      <c r="CYK54" s="173"/>
      <c r="CYL54" s="173"/>
      <c r="CYM54" s="172"/>
      <c r="CYN54" s="173"/>
      <c r="CYO54" s="173"/>
      <c r="CYP54" s="172"/>
      <c r="CYQ54" s="173"/>
      <c r="CYR54" s="173"/>
      <c r="CYS54" s="172"/>
      <c r="CYT54" s="173"/>
      <c r="CYU54" s="173"/>
      <c r="CYV54" s="172"/>
      <c r="CYW54" s="173"/>
      <c r="CYX54" s="173"/>
      <c r="CYY54" s="172"/>
      <c r="CYZ54" s="173"/>
      <c r="CZA54" s="173"/>
      <c r="CZB54" s="172"/>
      <c r="CZC54" s="173"/>
      <c r="CZD54" s="173"/>
      <c r="CZE54" s="172"/>
      <c r="CZF54" s="173"/>
      <c r="CZG54" s="173"/>
      <c r="CZH54" s="172"/>
      <c r="CZI54" s="173"/>
      <c r="CZJ54" s="173"/>
      <c r="CZK54" s="172"/>
      <c r="CZL54" s="173"/>
      <c r="CZM54" s="173"/>
      <c r="CZN54" s="172"/>
      <c r="CZO54" s="173"/>
      <c r="CZP54" s="173"/>
      <c r="CZQ54" s="172"/>
      <c r="CZR54" s="173"/>
      <c r="CZS54" s="173"/>
      <c r="CZT54" s="172"/>
      <c r="CZU54" s="173"/>
      <c r="CZV54" s="173"/>
      <c r="CZW54" s="172"/>
      <c r="CZX54" s="173"/>
      <c r="CZY54" s="173"/>
      <c r="CZZ54" s="172"/>
      <c r="DAA54" s="173"/>
      <c r="DAB54" s="173"/>
      <c r="DAC54" s="172"/>
      <c r="DAD54" s="173"/>
      <c r="DAE54" s="173"/>
      <c r="DAF54" s="172"/>
      <c r="DAG54" s="173"/>
      <c r="DAH54" s="173"/>
      <c r="DAI54" s="172"/>
      <c r="DAJ54" s="173"/>
      <c r="DAK54" s="173"/>
      <c r="DAL54" s="172"/>
      <c r="DAM54" s="173"/>
      <c r="DAN54" s="173"/>
      <c r="DAO54" s="172"/>
      <c r="DAP54" s="173"/>
      <c r="DAQ54" s="173"/>
      <c r="DAR54" s="172"/>
      <c r="DAS54" s="173"/>
      <c r="DAT54" s="173"/>
      <c r="DAU54" s="172"/>
      <c r="DAV54" s="173"/>
      <c r="DAW54" s="173"/>
      <c r="DAX54" s="172"/>
      <c r="DAY54" s="173"/>
      <c r="DAZ54" s="173"/>
      <c r="DBA54" s="172"/>
      <c r="DBB54" s="173"/>
      <c r="DBC54" s="173"/>
      <c r="DBD54" s="172"/>
      <c r="DBE54" s="173"/>
      <c r="DBF54" s="173"/>
      <c r="DBG54" s="172"/>
      <c r="DBH54" s="173"/>
      <c r="DBI54" s="173"/>
      <c r="DBJ54" s="172"/>
      <c r="DBK54" s="173"/>
      <c r="DBL54" s="173"/>
      <c r="DBM54" s="172"/>
      <c r="DBN54" s="173"/>
      <c r="DBO54" s="173"/>
      <c r="DBP54" s="172"/>
      <c r="DBQ54" s="173"/>
      <c r="DBR54" s="173"/>
      <c r="DBS54" s="172"/>
      <c r="DBT54" s="173"/>
      <c r="DBU54" s="173"/>
      <c r="DBV54" s="172"/>
      <c r="DBW54" s="173"/>
      <c r="DBX54" s="173"/>
      <c r="DBY54" s="172"/>
      <c r="DBZ54" s="173"/>
      <c r="DCA54" s="173"/>
      <c r="DCB54" s="172"/>
      <c r="DCC54" s="173"/>
      <c r="DCD54" s="173"/>
      <c r="DCE54" s="172"/>
      <c r="DCF54" s="173"/>
      <c r="DCG54" s="173"/>
      <c r="DCH54" s="172"/>
      <c r="DCI54" s="173"/>
      <c r="DCJ54" s="173"/>
      <c r="DCK54" s="172"/>
      <c r="DCL54" s="173"/>
      <c r="DCM54" s="173"/>
      <c r="DCN54" s="172"/>
      <c r="DCO54" s="173"/>
      <c r="DCP54" s="173"/>
      <c r="DCQ54" s="172"/>
      <c r="DCR54" s="173"/>
      <c r="DCS54" s="173"/>
      <c r="DCT54" s="172"/>
      <c r="DCU54" s="173"/>
      <c r="DCV54" s="173"/>
      <c r="DCW54" s="172"/>
      <c r="DCX54" s="173"/>
      <c r="DCY54" s="173"/>
      <c r="DCZ54" s="172"/>
      <c r="DDA54" s="173"/>
      <c r="DDB54" s="173"/>
      <c r="DDC54" s="172"/>
      <c r="DDD54" s="173"/>
      <c r="DDE54" s="173"/>
      <c r="DDF54" s="172"/>
      <c r="DDG54" s="173"/>
      <c r="DDH54" s="173"/>
      <c r="DDI54" s="172"/>
      <c r="DDJ54" s="173"/>
      <c r="DDK54" s="173"/>
      <c r="DDL54" s="172"/>
      <c r="DDM54" s="173"/>
      <c r="DDN54" s="173"/>
      <c r="DDO54" s="172"/>
      <c r="DDP54" s="173"/>
      <c r="DDQ54" s="173"/>
      <c r="DDR54" s="172"/>
      <c r="DDS54" s="173"/>
      <c r="DDT54" s="173"/>
      <c r="DDU54" s="172"/>
      <c r="DDV54" s="173"/>
      <c r="DDW54" s="173"/>
      <c r="DDX54" s="172"/>
      <c r="DDY54" s="173"/>
      <c r="DDZ54" s="173"/>
      <c r="DEA54" s="172"/>
      <c r="DEB54" s="173"/>
      <c r="DEC54" s="173"/>
      <c r="DED54" s="172"/>
      <c r="DEE54" s="173"/>
      <c r="DEF54" s="173"/>
      <c r="DEG54" s="172"/>
      <c r="DEH54" s="173"/>
      <c r="DEI54" s="173"/>
      <c r="DEJ54" s="172"/>
      <c r="DEK54" s="173"/>
      <c r="DEL54" s="173"/>
      <c r="DEM54" s="172"/>
      <c r="DEN54" s="173"/>
      <c r="DEO54" s="173"/>
      <c r="DEP54" s="172"/>
      <c r="DEQ54" s="173"/>
      <c r="DER54" s="173"/>
      <c r="DES54" s="172"/>
      <c r="DET54" s="173"/>
      <c r="DEU54" s="173"/>
      <c r="DEV54" s="172"/>
      <c r="DEW54" s="173"/>
      <c r="DEX54" s="173"/>
      <c r="DEY54" s="172"/>
      <c r="DEZ54" s="173"/>
      <c r="DFA54" s="173"/>
      <c r="DFB54" s="172"/>
      <c r="DFC54" s="173"/>
      <c r="DFD54" s="173"/>
      <c r="DFE54" s="172"/>
      <c r="DFF54" s="173"/>
      <c r="DFG54" s="173"/>
      <c r="DFH54" s="172"/>
      <c r="DFI54" s="173"/>
      <c r="DFJ54" s="173"/>
      <c r="DFK54" s="172"/>
      <c r="DFL54" s="173"/>
      <c r="DFM54" s="173"/>
      <c r="DFN54" s="172"/>
      <c r="DFO54" s="173"/>
      <c r="DFP54" s="173"/>
      <c r="DFQ54" s="172"/>
      <c r="DFR54" s="173"/>
      <c r="DFS54" s="173"/>
      <c r="DFT54" s="172"/>
      <c r="DFU54" s="173"/>
      <c r="DFV54" s="173"/>
      <c r="DFW54" s="172"/>
      <c r="DFX54" s="173"/>
      <c r="DFY54" s="173"/>
      <c r="DFZ54" s="172"/>
      <c r="DGA54" s="173"/>
      <c r="DGB54" s="173"/>
      <c r="DGC54" s="172"/>
      <c r="DGD54" s="173"/>
      <c r="DGE54" s="173"/>
      <c r="DGF54" s="172"/>
      <c r="DGG54" s="173"/>
      <c r="DGH54" s="173"/>
      <c r="DGI54" s="172"/>
      <c r="DGJ54" s="173"/>
      <c r="DGK54" s="173"/>
      <c r="DGL54" s="172"/>
      <c r="DGM54" s="173"/>
      <c r="DGN54" s="173"/>
      <c r="DGO54" s="172"/>
      <c r="DGP54" s="173"/>
      <c r="DGQ54" s="173"/>
      <c r="DGR54" s="172"/>
      <c r="DGS54" s="173"/>
      <c r="DGT54" s="173"/>
      <c r="DGU54" s="172"/>
      <c r="DGV54" s="173"/>
      <c r="DGW54" s="173"/>
      <c r="DGX54" s="172"/>
      <c r="DGY54" s="173"/>
      <c r="DGZ54" s="173"/>
      <c r="DHA54" s="172"/>
      <c r="DHB54" s="173"/>
      <c r="DHC54" s="173"/>
      <c r="DHD54" s="172"/>
      <c r="DHE54" s="173"/>
      <c r="DHF54" s="173"/>
      <c r="DHG54" s="172"/>
      <c r="DHH54" s="173"/>
      <c r="DHI54" s="173"/>
      <c r="DHJ54" s="172"/>
      <c r="DHK54" s="173"/>
      <c r="DHL54" s="173"/>
      <c r="DHM54" s="172"/>
      <c r="DHN54" s="173"/>
      <c r="DHO54" s="173"/>
      <c r="DHP54" s="172"/>
      <c r="DHQ54" s="173"/>
      <c r="DHR54" s="173"/>
      <c r="DHS54" s="172"/>
      <c r="DHT54" s="173"/>
      <c r="DHU54" s="173"/>
      <c r="DHV54" s="172"/>
      <c r="DHW54" s="173"/>
      <c r="DHX54" s="173"/>
      <c r="DHY54" s="172"/>
      <c r="DHZ54" s="173"/>
      <c r="DIA54" s="173"/>
      <c r="DIB54" s="172"/>
      <c r="DIC54" s="173"/>
      <c r="DID54" s="173"/>
      <c r="DIE54" s="172"/>
      <c r="DIF54" s="173"/>
      <c r="DIG54" s="173"/>
      <c r="DIH54" s="172"/>
      <c r="DII54" s="173"/>
      <c r="DIJ54" s="173"/>
      <c r="DIK54" s="172"/>
      <c r="DIL54" s="173"/>
      <c r="DIM54" s="173"/>
      <c r="DIN54" s="172"/>
      <c r="DIO54" s="173"/>
      <c r="DIP54" s="173"/>
      <c r="DIQ54" s="172"/>
      <c r="DIR54" s="173"/>
      <c r="DIS54" s="173"/>
      <c r="DIT54" s="172"/>
      <c r="DIU54" s="173"/>
      <c r="DIV54" s="173"/>
      <c r="DIW54" s="172"/>
      <c r="DIX54" s="173"/>
      <c r="DIY54" s="173"/>
      <c r="DIZ54" s="172"/>
      <c r="DJA54" s="173"/>
      <c r="DJB54" s="173"/>
      <c r="DJC54" s="172"/>
      <c r="DJD54" s="173"/>
      <c r="DJE54" s="173"/>
      <c r="DJF54" s="172"/>
      <c r="DJG54" s="173"/>
      <c r="DJH54" s="173"/>
      <c r="DJI54" s="172"/>
      <c r="DJJ54" s="173"/>
      <c r="DJK54" s="173"/>
      <c r="DJL54" s="172"/>
      <c r="DJM54" s="173"/>
      <c r="DJN54" s="173"/>
      <c r="DJO54" s="172"/>
      <c r="DJP54" s="173"/>
      <c r="DJQ54" s="173"/>
      <c r="DJR54" s="172"/>
      <c r="DJS54" s="173"/>
      <c r="DJT54" s="173"/>
      <c r="DJU54" s="172"/>
      <c r="DJV54" s="173"/>
      <c r="DJW54" s="173"/>
      <c r="DJX54" s="172"/>
      <c r="DJY54" s="173"/>
      <c r="DJZ54" s="173"/>
      <c r="DKA54" s="172"/>
      <c r="DKB54" s="173"/>
      <c r="DKC54" s="173"/>
      <c r="DKD54" s="172"/>
      <c r="DKE54" s="173"/>
      <c r="DKF54" s="173"/>
      <c r="DKG54" s="172"/>
      <c r="DKH54" s="173"/>
      <c r="DKI54" s="173"/>
      <c r="DKJ54" s="172"/>
      <c r="DKK54" s="173"/>
      <c r="DKL54" s="173"/>
      <c r="DKM54" s="172"/>
      <c r="DKN54" s="173"/>
      <c r="DKO54" s="173"/>
      <c r="DKP54" s="172"/>
      <c r="DKQ54" s="173"/>
      <c r="DKR54" s="173"/>
      <c r="DKS54" s="172"/>
      <c r="DKT54" s="173"/>
      <c r="DKU54" s="173"/>
      <c r="DKV54" s="172"/>
      <c r="DKW54" s="173"/>
      <c r="DKX54" s="173"/>
      <c r="DKY54" s="172"/>
      <c r="DKZ54" s="173"/>
      <c r="DLA54" s="173"/>
      <c r="DLB54" s="172"/>
      <c r="DLC54" s="173"/>
      <c r="DLD54" s="173"/>
      <c r="DLE54" s="172"/>
      <c r="DLF54" s="173"/>
      <c r="DLG54" s="173"/>
      <c r="DLH54" s="172"/>
      <c r="DLI54" s="173"/>
      <c r="DLJ54" s="173"/>
      <c r="DLK54" s="172"/>
      <c r="DLL54" s="173"/>
      <c r="DLM54" s="173"/>
      <c r="DLN54" s="172"/>
      <c r="DLO54" s="173"/>
      <c r="DLP54" s="173"/>
      <c r="DLQ54" s="172"/>
      <c r="DLR54" s="173"/>
      <c r="DLS54" s="173"/>
      <c r="DLT54" s="172"/>
      <c r="DLU54" s="173"/>
      <c r="DLV54" s="173"/>
      <c r="DLW54" s="172"/>
      <c r="DLX54" s="173"/>
      <c r="DLY54" s="173"/>
      <c r="DLZ54" s="172"/>
      <c r="DMA54" s="173"/>
      <c r="DMB54" s="173"/>
      <c r="DMC54" s="172"/>
      <c r="DMD54" s="173"/>
      <c r="DME54" s="173"/>
      <c r="DMF54" s="172"/>
      <c r="DMG54" s="173"/>
      <c r="DMH54" s="173"/>
      <c r="DMI54" s="172"/>
      <c r="DMJ54" s="173"/>
      <c r="DMK54" s="173"/>
      <c r="DML54" s="172"/>
      <c r="DMM54" s="173"/>
      <c r="DMN54" s="173"/>
      <c r="DMO54" s="172"/>
      <c r="DMP54" s="173"/>
      <c r="DMQ54" s="173"/>
      <c r="DMR54" s="172"/>
      <c r="DMS54" s="173"/>
      <c r="DMT54" s="173"/>
      <c r="DMU54" s="172"/>
      <c r="DMV54" s="173"/>
      <c r="DMW54" s="173"/>
      <c r="DMX54" s="172"/>
      <c r="DMY54" s="173"/>
      <c r="DMZ54" s="173"/>
      <c r="DNA54" s="172"/>
      <c r="DNB54" s="173"/>
      <c r="DNC54" s="173"/>
      <c r="DND54" s="172"/>
      <c r="DNE54" s="173"/>
      <c r="DNF54" s="173"/>
      <c r="DNG54" s="172"/>
      <c r="DNH54" s="173"/>
      <c r="DNI54" s="173"/>
      <c r="DNJ54" s="172"/>
      <c r="DNK54" s="173"/>
      <c r="DNL54" s="173"/>
      <c r="DNM54" s="172"/>
      <c r="DNN54" s="173"/>
      <c r="DNO54" s="173"/>
      <c r="DNP54" s="172"/>
      <c r="DNQ54" s="173"/>
      <c r="DNR54" s="173"/>
      <c r="DNS54" s="172"/>
      <c r="DNT54" s="173"/>
      <c r="DNU54" s="173"/>
      <c r="DNV54" s="172"/>
      <c r="DNW54" s="173"/>
      <c r="DNX54" s="173"/>
      <c r="DNY54" s="172"/>
      <c r="DNZ54" s="173"/>
      <c r="DOA54" s="173"/>
      <c r="DOB54" s="172"/>
      <c r="DOC54" s="173"/>
      <c r="DOD54" s="173"/>
      <c r="DOE54" s="172"/>
      <c r="DOF54" s="173"/>
      <c r="DOG54" s="173"/>
      <c r="DOH54" s="172"/>
      <c r="DOI54" s="173"/>
      <c r="DOJ54" s="173"/>
      <c r="DOK54" s="172"/>
      <c r="DOL54" s="173"/>
      <c r="DOM54" s="173"/>
      <c r="DON54" s="172"/>
      <c r="DOO54" s="173"/>
      <c r="DOP54" s="173"/>
      <c r="DOQ54" s="172"/>
      <c r="DOR54" s="173"/>
      <c r="DOS54" s="173"/>
      <c r="DOT54" s="172"/>
      <c r="DOU54" s="173"/>
      <c r="DOV54" s="173"/>
      <c r="DOW54" s="172"/>
      <c r="DOX54" s="173"/>
      <c r="DOY54" s="173"/>
      <c r="DOZ54" s="172"/>
      <c r="DPA54" s="173"/>
      <c r="DPB54" s="173"/>
      <c r="DPC54" s="172"/>
      <c r="DPD54" s="173"/>
      <c r="DPE54" s="173"/>
      <c r="DPF54" s="172"/>
      <c r="DPG54" s="173"/>
      <c r="DPH54" s="173"/>
      <c r="DPI54" s="172"/>
      <c r="DPJ54" s="173"/>
      <c r="DPK54" s="173"/>
      <c r="DPL54" s="172"/>
      <c r="DPM54" s="173"/>
      <c r="DPN54" s="173"/>
      <c r="DPO54" s="172"/>
      <c r="DPP54" s="173"/>
      <c r="DPQ54" s="173"/>
      <c r="DPR54" s="172"/>
      <c r="DPS54" s="173"/>
      <c r="DPT54" s="173"/>
      <c r="DPU54" s="172"/>
      <c r="DPV54" s="173"/>
      <c r="DPW54" s="173"/>
      <c r="DPX54" s="172"/>
      <c r="DPY54" s="173"/>
      <c r="DPZ54" s="173"/>
      <c r="DQA54" s="172"/>
      <c r="DQB54" s="173"/>
      <c r="DQC54" s="173"/>
      <c r="DQD54" s="172"/>
      <c r="DQE54" s="173"/>
      <c r="DQF54" s="173"/>
      <c r="DQG54" s="172"/>
      <c r="DQH54" s="173"/>
      <c r="DQI54" s="173"/>
      <c r="DQJ54" s="172"/>
      <c r="DQK54" s="173"/>
      <c r="DQL54" s="173"/>
      <c r="DQM54" s="172"/>
      <c r="DQN54" s="173"/>
      <c r="DQO54" s="173"/>
      <c r="DQP54" s="172"/>
      <c r="DQQ54" s="173"/>
      <c r="DQR54" s="173"/>
      <c r="DQS54" s="172"/>
      <c r="DQT54" s="173"/>
      <c r="DQU54" s="173"/>
      <c r="DQV54" s="172"/>
      <c r="DQW54" s="173"/>
      <c r="DQX54" s="173"/>
      <c r="DQY54" s="172"/>
      <c r="DQZ54" s="173"/>
      <c r="DRA54" s="173"/>
      <c r="DRB54" s="172"/>
      <c r="DRC54" s="173"/>
      <c r="DRD54" s="173"/>
      <c r="DRE54" s="172"/>
      <c r="DRF54" s="173"/>
      <c r="DRG54" s="173"/>
      <c r="DRH54" s="172"/>
      <c r="DRI54" s="173"/>
      <c r="DRJ54" s="173"/>
      <c r="DRK54" s="172"/>
      <c r="DRL54" s="173"/>
      <c r="DRM54" s="173"/>
      <c r="DRN54" s="172"/>
      <c r="DRO54" s="173"/>
      <c r="DRP54" s="173"/>
      <c r="DRQ54" s="172"/>
      <c r="DRR54" s="173"/>
      <c r="DRS54" s="173"/>
      <c r="DRT54" s="172"/>
      <c r="DRU54" s="173"/>
      <c r="DRV54" s="173"/>
      <c r="DRW54" s="172"/>
      <c r="DRX54" s="173"/>
      <c r="DRY54" s="173"/>
      <c r="DRZ54" s="172"/>
      <c r="DSA54" s="173"/>
      <c r="DSB54" s="173"/>
      <c r="DSC54" s="172"/>
      <c r="DSD54" s="173"/>
      <c r="DSE54" s="173"/>
      <c r="DSF54" s="172"/>
      <c r="DSG54" s="173"/>
      <c r="DSH54" s="173"/>
      <c r="DSI54" s="172"/>
      <c r="DSJ54" s="173"/>
      <c r="DSK54" s="173"/>
      <c r="DSL54" s="172"/>
      <c r="DSM54" s="173"/>
      <c r="DSN54" s="173"/>
      <c r="DSO54" s="172"/>
      <c r="DSP54" s="173"/>
      <c r="DSQ54" s="173"/>
      <c r="DSR54" s="172"/>
      <c r="DSS54" s="173"/>
      <c r="DST54" s="173"/>
      <c r="DSU54" s="172"/>
      <c r="DSV54" s="173"/>
      <c r="DSW54" s="173"/>
      <c r="DSX54" s="172"/>
      <c r="DSY54" s="173"/>
      <c r="DSZ54" s="173"/>
      <c r="DTA54" s="172"/>
      <c r="DTB54" s="173"/>
      <c r="DTC54" s="173"/>
      <c r="DTD54" s="172"/>
      <c r="DTE54" s="173"/>
      <c r="DTF54" s="173"/>
      <c r="DTG54" s="172"/>
      <c r="DTH54" s="173"/>
      <c r="DTI54" s="173"/>
      <c r="DTJ54" s="172"/>
      <c r="DTK54" s="173"/>
      <c r="DTL54" s="173"/>
      <c r="DTM54" s="172"/>
      <c r="DTN54" s="173"/>
      <c r="DTO54" s="173"/>
      <c r="DTP54" s="172"/>
      <c r="DTQ54" s="173"/>
      <c r="DTR54" s="173"/>
      <c r="DTS54" s="172"/>
      <c r="DTT54" s="173"/>
      <c r="DTU54" s="173"/>
      <c r="DTV54" s="172"/>
      <c r="DTW54" s="173"/>
      <c r="DTX54" s="173"/>
      <c r="DTY54" s="172"/>
      <c r="DTZ54" s="173"/>
      <c r="DUA54" s="173"/>
      <c r="DUB54" s="172"/>
      <c r="DUC54" s="173"/>
      <c r="DUD54" s="173"/>
      <c r="DUE54" s="172"/>
      <c r="DUF54" s="173"/>
      <c r="DUG54" s="173"/>
      <c r="DUH54" s="172"/>
      <c r="DUI54" s="173"/>
      <c r="DUJ54" s="173"/>
      <c r="DUK54" s="172"/>
      <c r="DUL54" s="173"/>
      <c r="DUM54" s="173"/>
      <c r="DUN54" s="172"/>
      <c r="DUO54" s="173"/>
      <c r="DUP54" s="173"/>
      <c r="DUQ54" s="172"/>
      <c r="DUR54" s="173"/>
      <c r="DUS54" s="173"/>
      <c r="DUT54" s="172"/>
      <c r="DUU54" s="173"/>
      <c r="DUV54" s="173"/>
      <c r="DUW54" s="172"/>
      <c r="DUX54" s="173"/>
      <c r="DUY54" s="173"/>
      <c r="DUZ54" s="172"/>
      <c r="DVA54" s="173"/>
      <c r="DVB54" s="173"/>
      <c r="DVC54" s="172"/>
      <c r="DVD54" s="173"/>
      <c r="DVE54" s="173"/>
      <c r="DVF54" s="172"/>
      <c r="DVG54" s="173"/>
      <c r="DVH54" s="173"/>
      <c r="DVI54" s="172"/>
      <c r="DVJ54" s="173"/>
      <c r="DVK54" s="173"/>
      <c r="DVL54" s="172"/>
      <c r="DVM54" s="173"/>
      <c r="DVN54" s="173"/>
      <c r="DVO54" s="172"/>
      <c r="DVP54" s="173"/>
      <c r="DVQ54" s="173"/>
      <c r="DVR54" s="172"/>
      <c r="DVS54" s="173"/>
      <c r="DVT54" s="173"/>
      <c r="DVU54" s="172"/>
      <c r="DVV54" s="173"/>
      <c r="DVW54" s="173"/>
      <c r="DVX54" s="172"/>
      <c r="DVY54" s="173"/>
      <c r="DVZ54" s="173"/>
      <c r="DWA54" s="172"/>
      <c r="DWB54" s="173"/>
      <c r="DWC54" s="173"/>
      <c r="DWD54" s="172"/>
      <c r="DWE54" s="173"/>
      <c r="DWF54" s="173"/>
      <c r="DWG54" s="172"/>
      <c r="DWH54" s="173"/>
      <c r="DWI54" s="173"/>
      <c r="DWJ54" s="172"/>
      <c r="DWK54" s="173"/>
      <c r="DWL54" s="173"/>
      <c r="DWM54" s="172"/>
      <c r="DWN54" s="173"/>
      <c r="DWO54" s="173"/>
      <c r="DWP54" s="172"/>
      <c r="DWQ54" s="173"/>
      <c r="DWR54" s="173"/>
      <c r="DWS54" s="172"/>
      <c r="DWT54" s="173"/>
      <c r="DWU54" s="173"/>
      <c r="DWV54" s="172"/>
      <c r="DWW54" s="173"/>
      <c r="DWX54" s="173"/>
      <c r="DWY54" s="172"/>
      <c r="DWZ54" s="173"/>
      <c r="DXA54" s="173"/>
      <c r="DXB54" s="172"/>
      <c r="DXC54" s="173"/>
      <c r="DXD54" s="173"/>
      <c r="DXE54" s="172"/>
      <c r="DXF54" s="173"/>
      <c r="DXG54" s="173"/>
      <c r="DXH54" s="172"/>
      <c r="DXI54" s="173"/>
      <c r="DXJ54" s="173"/>
      <c r="DXK54" s="172"/>
      <c r="DXL54" s="173"/>
      <c r="DXM54" s="173"/>
      <c r="DXN54" s="172"/>
      <c r="DXO54" s="173"/>
      <c r="DXP54" s="173"/>
      <c r="DXQ54" s="172"/>
      <c r="DXR54" s="173"/>
      <c r="DXS54" s="173"/>
      <c r="DXT54" s="172"/>
      <c r="DXU54" s="173"/>
      <c r="DXV54" s="173"/>
      <c r="DXW54" s="172"/>
      <c r="DXX54" s="173"/>
      <c r="DXY54" s="173"/>
      <c r="DXZ54" s="172"/>
      <c r="DYA54" s="173"/>
      <c r="DYB54" s="173"/>
      <c r="DYC54" s="172"/>
      <c r="DYD54" s="173"/>
      <c r="DYE54" s="173"/>
      <c r="DYF54" s="172"/>
      <c r="DYG54" s="173"/>
      <c r="DYH54" s="173"/>
      <c r="DYI54" s="172"/>
      <c r="DYJ54" s="173"/>
      <c r="DYK54" s="173"/>
      <c r="DYL54" s="172"/>
      <c r="DYM54" s="173"/>
      <c r="DYN54" s="173"/>
      <c r="DYO54" s="172"/>
      <c r="DYP54" s="173"/>
      <c r="DYQ54" s="173"/>
      <c r="DYR54" s="172"/>
      <c r="DYS54" s="173"/>
      <c r="DYT54" s="173"/>
      <c r="DYU54" s="172"/>
      <c r="DYV54" s="173"/>
      <c r="DYW54" s="173"/>
      <c r="DYX54" s="172"/>
      <c r="DYY54" s="173"/>
      <c r="DYZ54" s="173"/>
      <c r="DZA54" s="172"/>
      <c r="DZB54" s="173"/>
      <c r="DZC54" s="173"/>
      <c r="DZD54" s="172"/>
      <c r="DZE54" s="173"/>
      <c r="DZF54" s="173"/>
      <c r="DZG54" s="172"/>
      <c r="DZH54" s="173"/>
      <c r="DZI54" s="173"/>
      <c r="DZJ54" s="172"/>
      <c r="DZK54" s="173"/>
      <c r="DZL54" s="173"/>
      <c r="DZM54" s="172"/>
      <c r="DZN54" s="173"/>
      <c r="DZO54" s="173"/>
      <c r="DZP54" s="172"/>
      <c r="DZQ54" s="173"/>
      <c r="DZR54" s="173"/>
      <c r="DZS54" s="172"/>
      <c r="DZT54" s="173"/>
      <c r="DZU54" s="173"/>
      <c r="DZV54" s="172"/>
      <c r="DZW54" s="173"/>
      <c r="DZX54" s="173"/>
      <c r="DZY54" s="172"/>
      <c r="DZZ54" s="173"/>
      <c r="EAA54" s="173"/>
      <c r="EAB54" s="172"/>
      <c r="EAC54" s="173"/>
      <c r="EAD54" s="173"/>
      <c r="EAE54" s="172"/>
      <c r="EAF54" s="173"/>
      <c r="EAG54" s="173"/>
      <c r="EAH54" s="172"/>
      <c r="EAI54" s="173"/>
      <c r="EAJ54" s="173"/>
      <c r="EAK54" s="172"/>
      <c r="EAL54" s="173"/>
      <c r="EAM54" s="173"/>
      <c r="EAN54" s="172"/>
      <c r="EAO54" s="173"/>
      <c r="EAP54" s="173"/>
      <c r="EAQ54" s="172"/>
      <c r="EAR54" s="173"/>
      <c r="EAS54" s="173"/>
      <c r="EAT54" s="172"/>
      <c r="EAU54" s="173"/>
      <c r="EAV54" s="173"/>
      <c r="EAW54" s="172"/>
      <c r="EAX54" s="173"/>
      <c r="EAY54" s="173"/>
      <c r="EAZ54" s="172"/>
      <c r="EBA54" s="173"/>
      <c r="EBB54" s="173"/>
      <c r="EBC54" s="172"/>
      <c r="EBD54" s="173"/>
      <c r="EBE54" s="173"/>
      <c r="EBF54" s="172"/>
      <c r="EBG54" s="173"/>
      <c r="EBH54" s="173"/>
      <c r="EBI54" s="172"/>
      <c r="EBJ54" s="173"/>
      <c r="EBK54" s="173"/>
      <c r="EBL54" s="172"/>
      <c r="EBM54" s="173"/>
      <c r="EBN54" s="173"/>
      <c r="EBO54" s="172"/>
      <c r="EBP54" s="173"/>
      <c r="EBQ54" s="173"/>
      <c r="EBR54" s="172"/>
      <c r="EBS54" s="173"/>
      <c r="EBT54" s="173"/>
      <c r="EBU54" s="172"/>
      <c r="EBV54" s="173"/>
      <c r="EBW54" s="173"/>
      <c r="EBX54" s="172"/>
      <c r="EBY54" s="173"/>
      <c r="EBZ54" s="173"/>
      <c r="ECA54" s="172"/>
      <c r="ECB54" s="173"/>
      <c r="ECC54" s="173"/>
      <c r="ECD54" s="172"/>
      <c r="ECE54" s="173"/>
      <c r="ECF54" s="173"/>
      <c r="ECG54" s="172"/>
      <c r="ECH54" s="173"/>
      <c r="ECI54" s="173"/>
      <c r="ECJ54" s="172"/>
      <c r="ECK54" s="173"/>
      <c r="ECL54" s="173"/>
      <c r="ECM54" s="172"/>
      <c r="ECN54" s="173"/>
      <c r="ECO54" s="173"/>
      <c r="ECP54" s="172"/>
      <c r="ECQ54" s="173"/>
      <c r="ECR54" s="173"/>
      <c r="ECS54" s="172"/>
      <c r="ECT54" s="173"/>
      <c r="ECU54" s="173"/>
      <c r="ECV54" s="172"/>
      <c r="ECW54" s="173"/>
      <c r="ECX54" s="173"/>
      <c r="ECY54" s="172"/>
      <c r="ECZ54" s="173"/>
      <c r="EDA54" s="173"/>
      <c r="EDB54" s="172"/>
      <c r="EDC54" s="173"/>
      <c r="EDD54" s="173"/>
      <c r="EDE54" s="172"/>
      <c r="EDF54" s="173"/>
      <c r="EDG54" s="173"/>
      <c r="EDH54" s="172"/>
      <c r="EDI54" s="173"/>
      <c r="EDJ54" s="173"/>
      <c r="EDK54" s="172"/>
      <c r="EDL54" s="173"/>
      <c r="EDM54" s="173"/>
      <c r="EDN54" s="172"/>
      <c r="EDO54" s="173"/>
      <c r="EDP54" s="173"/>
      <c r="EDQ54" s="172"/>
      <c r="EDR54" s="173"/>
      <c r="EDS54" s="173"/>
      <c r="EDT54" s="172"/>
      <c r="EDU54" s="173"/>
      <c r="EDV54" s="173"/>
      <c r="EDW54" s="172"/>
      <c r="EDX54" s="173"/>
      <c r="EDY54" s="173"/>
      <c r="EDZ54" s="172"/>
      <c r="EEA54" s="173"/>
      <c r="EEB54" s="173"/>
      <c r="EEC54" s="172"/>
      <c r="EED54" s="173"/>
      <c r="EEE54" s="173"/>
      <c r="EEF54" s="172"/>
      <c r="EEG54" s="173"/>
      <c r="EEH54" s="173"/>
      <c r="EEI54" s="172"/>
      <c r="EEJ54" s="173"/>
      <c r="EEK54" s="173"/>
      <c r="EEL54" s="172"/>
      <c r="EEM54" s="173"/>
      <c r="EEN54" s="173"/>
      <c r="EEO54" s="172"/>
      <c r="EEP54" s="173"/>
      <c r="EEQ54" s="173"/>
      <c r="EER54" s="172"/>
      <c r="EES54" s="173"/>
      <c r="EET54" s="173"/>
      <c r="EEU54" s="172"/>
      <c r="EEV54" s="173"/>
      <c r="EEW54" s="173"/>
      <c r="EEX54" s="172"/>
      <c r="EEY54" s="173"/>
      <c r="EEZ54" s="173"/>
      <c r="EFA54" s="172"/>
      <c r="EFB54" s="173"/>
      <c r="EFC54" s="173"/>
      <c r="EFD54" s="172"/>
      <c r="EFE54" s="173"/>
      <c r="EFF54" s="173"/>
      <c r="EFG54" s="172"/>
      <c r="EFH54" s="173"/>
      <c r="EFI54" s="173"/>
      <c r="EFJ54" s="172"/>
      <c r="EFK54" s="173"/>
      <c r="EFL54" s="173"/>
      <c r="EFM54" s="172"/>
      <c r="EFN54" s="173"/>
      <c r="EFO54" s="173"/>
      <c r="EFP54" s="172"/>
      <c r="EFQ54" s="173"/>
      <c r="EFR54" s="173"/>
      <c r="EFS54" s="172"/>
      <c r="EFT54" s="173"/>
      <c r="EFU54" s="173"/>
      <c r="EFV54" s="172"/>
      <c r="EFW54" s="173"/>
      <c r="EFX54" s="173"/>
      <c r="EFY54" s="172"/>
      <c r="EFZ54" s="173"/>
      <c r="EGA54" s="173"/>
      <c r="EGB54" s="172"/>
      <c r="EGC54" s="173"/>
      <c r="EGD54" s="173"/>
      <c r="EGE54" s="172"/>
      <c r="EGF54" s="173"/>
      <c r="EGG54" s="173"/>
      <c r="EGH54" s="172"/>
      <c r="EGI54" s="173"/>
      <c r="EGJ54" s="173"/>
      <c r="EGK54" s="172"/>
      <c r="EGL54" s="173"/>
      <c r="EGM54" s="173"/>
      <c r="EGN54" s="172"/>
      <c r="EGO54" s="173"/>
      <c r="EGP54" s="173"/>
      <c r="EGQ54" s="172"/>
      <c r="EGR54" s="173"/>
      <c r="EGS54" s="173"/>
      <c r="EGT54" s="172"/>
      <c r="EGU54" s="173"/>
      <c r="EGV54" s="173"/>
      <c r="EGW54" s="172"/>
      <c r="EGX54" s="173"/>
      <c r="EGY54" s="173"/>
      <c r="EGZ54" s="172"/>
      <c r="EHA54" s="173"/>
      <c r="EHB54" s="173"/>
      <c r="EHC54" s="172"/>
      <c r="EHD54" s="173"/>
      <c r="EHE54" s="173"/>
      <c r="EHF54" s="172"/>
      <c r="EHG54" s="173"/>
      <c r="EHH54" s="173"/>
      <c r="EHI54" s="172"/>
      <c r="EHJ54" s="173"/>
      <c r="EHK54" s="173"/>
      <c r="EHL54" s="172"/>
      <c r="EHM54" s="173"/>
      <c r="EHN54" s="173"/>
      <c r="EHO54" s="172"/>
      <c r="EHP54" s="173"/>
      <c r="EHQ54" s="173"/>
      <c r="EHR54" s="172"/>
      <c r="EHS54" s="173"/>
      <c r="EHT54" s="173"/>
      <c r="EHU54" s="172"/>
      <c r="EHV54" s="173"/>
      <c r="EHW54" s="173"/>
      <c r="EHX54" s="172"/>
      <c r="EHY54" s="173"/>
      <c r="EHZ54" s="173"/>
      <c r="EIA54" s="172"/>
      <c r="EIB54" s="173"/>
      <c r="EIC54" s="173"/>
      <c r="EID54" s="172"/>
      <c r="EIE54" s="173"/>
      <c r="EIF54" s="173"/>
      <c r="EIG54" s="172"/>
      <c r="EIH54" s="173"/>
      <c r="EII54" s="173"/>
      <c r="EIJ54" s="172"/>
      <c r="EIK54" s="173"/>
      <c r="EIL54" s="173"/>
      <c r="EIM54" s="172"/>
      <c r="EIN54" s="173"/>
      <c r="EIO54" s="173"/>
      <c r="EIP54" s="172"/>
      <c r="EIQ54" s="173"/>
      <c r="EIR54" s="173"/>
      <c r="EIS54" s="172"/>
      <c r="EIT54" s="173"/>
      <c r="EIU54" s="173"/>
      <c r="EIV54" s="172"/>
      <c r="EIW54" s="173"/>
      <c r="EIX54" s="173"/>
      <c r="EIY54" s="172"/>
      <c r="EIZ54" s="173"/>
      <c r="EJA54" s="173"/>
      <c r="EJB54" s="172"/>
      <c r="EJC54" s="173"/>
      <c r="EJD54" s="173"/>
      <c r="EJE54" s="172"/>
      <c r="EJF54" s="173"/>
      <c r="EJG54" s="173"/>
      <c r="EJH54" s="172"/>
      <c r="EJI54" s="173"/>
      <c r="EJJ54" s="173"/>
      <c r="EJK54" s="172"/>
      <c r="EJL54" s="173"/>
      <c r="EJM54" s="173"/>
      <c r="EJN54" s="172"/>
      <c r="EJO54" s="173"/>
      <c r="EJP54" s="173"/>
      <c r="EJQ54" s="172"/>
      <c r="EJR54" s="173"/>
      <c r="EJS54" s="173"/>
      <c r="EJT54" s="172"/>
      <c r="EJU54" s="173"/>
      <c r="EJV54" s="173"/>
      <c r="EJW54" s="172"/>
      <c r="EJX54" s="173"/>
      <c r="EJY54" s="173"/>
      <c r="EJZ54" s="172"/>
      <c r="EKA54" s="173"/>
      <c r="EKB54" s="173"/>
      <c r="EKC54" s="172"/>
      <c r="EKD54" s="173"/>
      <c r="EKE54" s="173"/>
      <c r="EKF54" s="172"/>
      <c r="EKG54" s="173"/>
      <c r="EKH54" s="173"/>
      <c r="EKI54" s="172"/>
      <c r="EKJ54" s="173"/>
      <c r="EKK54" s="173"/>
      <c r="EKL54" s="172"/>
      <c r="EKM54" s="173"/>
      <c r="EKN54" s="173"/>
      <c r="EKO54" s="172"/>
      <c r="EKP54" s="173"/>
      <c r="EKQ54" s="173"/>
      <c r="EKR54" s="172"/>
      <c r="EKS54" s="173"/>
      <c r="EKT54" s="173"/>
      <c r="EKU54" s="172"/>
      <c r="EKV54" s="173"/>
      <c r="EKW54" s="173"/>
      <c r="EKX54" s="172"/>
      <c r="EKY54" s="173"/>
      <c r="EKZ54" s="173"/>
      <c r="ELA54" s="172"/>
      <c r="ELB54" s="173"/>
      <c r="ELC54" s="173"/>
      <c r="ELD54" s="172"/>
      <c r="ELE54" s="173"/>
      <c r="ELF54" s="173"/>
      <c r="ELG54" s="172"/>
      <c r="ELH54" s="173"/>
      <c r="ELI54" s="173"/>
      <c r="ELJ54" s="172"/>
      <c r="ELK54" s="173"/>
      <c r="ELL54" s="173"/>
      <c r="ELM54" s="172"/>
      <c r="ELN54" s="173"/>
      <c r="ELO54" s="173"/>
      <c r="ELP54" s="172"/>
      <c r="ELQ54" s="173"/>
      <c r="ELR54" s="173"/>
      <c r="ELS54" s="172"/>
      <c r="ELT54" s="173"/>
      <c r="ELU54" s="173"/>
      <c r="ELV54" s="172"/>
      <c r="ELW54" s="173"/>
      <c r="ELX54" s="173"/>
      <c r="ELY54" s="172"/>
      <c r="ELZ54" s="173"/>
      <c r="EMA54" s="173"/>
      <c r="EMB54" s="172"/>
      <c r="EMC54" s="173"/>
      <c r="EMD54" s="173"/>
      <c r="EME54" s="172"/>
      <c r="EMF54" s="173"/>
      <c r="EMG54" s="173"/>
      <c r="EMH54" s="172"/>
      <c r="EMI54" s="173"/>
      <c r="EMJ54" s="173"/>
      <c r="EMK54" s="172"/>
      <c r="EML54" s="173"/>
      <c r="EMM54" s="173"/>
      <c r="EMN54" s="172"/>
      <c r="EMO54" s="173"/>
      <c r="EMP54" s="173"/>
      <c r="EMQ54" s="172"/>
      <c r="EMR54" s="173"/>
      <c r="EMS54" s="173"/>
      <c r="EMT54" s="172"/>
      <c r="EMU54" s="173"/>
      <c r="EMV54" s="173"/>
      <c r="EMW54" s="172"/>
      <c r="EMX54" s="173"/>
      <c r="EMY54" s="173"/>
      <c r="EMZ54" s="172"/>
      <c r="ENA54" s="173"/>
      <c r="ENB54" s="173"/>
      <c r="ENC54" s="172"/>
      <c r="END54" s="173"/>
      <c r="ENE54" s="173"/>
      <c r="ENF54" s="172"/>
      <c r="ENG54" s="173"/>
      <c r="ENH54" s="173"/>
      <c r="ENI54" s="172"/>
      <c r="ENJ54" s="173"/>
      <c r="ENK54" s="173"/>
      <c r="ENL54" s="172"/>
      <c r="ENM54" s="173"/>
      <c r="ENN54" s="173"/>
      <c r="ENO54" s="172"/>
      <c r="ENP54" s="173"/>
      <c r="ENQ54" s="173"/>
      <c r="ENR54" s="172"/>
      <c r="ENS54" s="173"/>
      <c r="ENT54" s="173"/>
      <c r="ENU54" s="172"/>
      <c r="ENV54" s="173"/>
      <c r="ENW54" s="173"/>
      <c r="ENX54" s="172"/>
      <c r="ENY54" s="173"/>
      <c r="ENZ54" s="173"/>
      <c r="EOA54" s="172"/>
      <c r="EOB54" s="173"/>
      <c r="EOC54" s="173"/>
      <c r="EOD54" s="172"/>
      <c r="EOE54" s="173"/>
      <c r="EOF54" s="173"/>
      <c r="EOG54" s="172"/>
      <c r="EOH54" s="173"/>
      <c r="EOI54" s="173"/>
      <c r="EOJ54" s="172"/>
      <c r="EOK54" s="173"/>
      <c r="EOL54" s="173"/>
      <c r="EOM54" s="172"/>
      <c r="EON54" s="173"/>
      <c r="EOO54" s="173"/>
      <c r="EOP54" s="172"/>
      <c r="EOQ54" s="173"/>
      <c r="EOR54" s="173"/>
      <c r="EOS54" s="172"/>
      <c r="EOT54" s="173"/>
      <c r="EOU54" s="173"/>
      <c r="EOV54" s="172"/>
      <c r="EOW54" s="173"/>
      <c r="EOX54" s="173"/>
      <c r="EOY54" s="172"/>
      <c r="EOZ54" s="173"/>
      <c r="EPA54" s="173"/>
      <c r="EPB54" s="172"/>
      <c r="EPC54" s="173"/>
      <c r="EPD54" s="173"/>
      <c r="EPE54" s="172"/>
      <c r="EPF54" s="173"/>
      <c r="EPG54" s="173"/>
      <c r="EPH54" s="172"/>
      <c r="EPI54" s="173"/>
      <c r="EPJ54" s="173"/>
      <c r="EPK54" s="172"/>
      <c r="EPL54" s="173"/>
      <c r="EPM54" s="173"/>
      <c r="EPN54" s="172"/>
      <c r="EPO54" s="173"/>
      <c r="EPP54" s="173"/>
      <c r="EPQ54" s="172"/>
      <c r="EPR54" s="173"/>
      <c r="EPS54" s="173"/>
      <c r="EPT54" s="172"/>
      <c r="EPU54" s="173"/>
      <c r="EPV54" s="173"/>
      <c r="EPW54" s="172"/>
      <c r="EPX54" s="173"/>
      <c r="EPY54" s="173"/>
      <c r="EPZ54" s="172"/>
      <c r="EQA54" s="173"/>
      <c r="EQB54" s="173"/>
      <c r="EQC54" s="172"/>
      <c r="EQD54" s="173"/>
      <c r="EQE54" s="173"/>
      <c r="EQF54" s="172"/>
      <c r="EQG54" s="173"/>
      <c r="EQH54" s="173"/>
      <c r="EQI54" s="172"/>
      <c r="EQJ54" s="173"/>
      <c r="EQK54" s="173"/>
      <c r="EQL54" s="172"/>
      <c r="EQM54" s="173"/>
      <c r="EQN54" s="173"/>
      <c r="EQO54" s="172"/>
      <c r="EQP54" s="173"/>
      <c r="EQQ54" s="173"/>
      <c r="EQR54" s="172"/>
      <c r="EQS54" s="173"/>
      <c r="EQT54" s="173"/>
      <c r="EQU54" s="172"/>
      <c r="EQV54" s="173"/>
      <c r="EQW54" s="173"/>
      <c r="EQX54" s="172"/>
      <c r="EQY54" s="173"/>
      <c r="EQZ54" s="173"/>
      <c r="ERA54" s="172"/>
      <c r="ERB54" s="173"/>
      <c r="ERC54" s="173"/>
      <c r="ERD54" s="172"/>
      <c r="ERE54" s="173"/>
      <c r="ERF54" s="173"/>
      <c r="ERG54" s="172"/>
      <c r="ERH54" s="173"/>
      <c r="ERI54" s="173"/>
      <c r="ERJ54" s="172"/>
      <c r="ERK54" s="173"/>
      <c r="ERL54" s="173"/>
      <c r="ERM54" s="172"/>
      <c r="ERN54" s="173"/>
      <c r="ERO54" s="173"/>
      <c r="ERP54" s="172"/>
      <c r="ERQ54" s="173"/>
      <c r="ERR54" s="173"/>
      <c r="ERS54" s="172"/>
      <c r="ERT54" s="173"/>
      <c r="ERU54" s="173"/>
      <c r="ERV54" s="172"/>
      <c r="ERW54" s="173"/>
      <c r="ERX54" s="173"/>
      <c r="ERY54" s="172"/>
      <c r="ERZ54" s="173"/>
      <c r="ESA54" s="173"/>
      <c r="ESB54" s="172"/>
      <c r="ESC54" s="173"/>
      <c r="ESD54" s="173"/>
      <c r="ESE54" s="172"/>
      <c r="ESF54" s="173"/>
      <c r="ESG54" s="173"/>
      <c r="ESH54" s="172"/>
      <c r="ESI54" s="173"/>
      <c r="ESJ54" s="173"/>
      <c r="ESK54" s="172"/>
      <c r="ESL54" s="173"/>
      <c r="ESM54" s="173"/>
      <c r="ESN54" s="172"/>
      <c r="ESO54" s="173"/>
      <c r="ESP54" s="173"/>
      <c r="ESQ54" s="172"/>
      <c r="ESR54" s="173"/>
      <c r="ESS54" s="173"/>
      <c r="EST54" s="172"/>
      <c r="ESU54" s="173"/>
      <c r="ESV54" s="173"/>
      <c r="ESW54" s="172"/>
      <c r="ESX54" s="173"/>
      <c r="ESY54" s="173"/>
      <c r="ESZ54" s="172"/>
      <c r="ETA54" s="173"/>
      <c r="ETB54" s="173"/>
      <c r="ETC54" s="172"/>
      <c r="ETD54" s="173"/>
      <c r="ETE54" s="173"/>
      <c r="ETF54" s="172"/>
      <c r="ETG54" s="173"/>
      <c r="ETH54" s="173"/>
      <c r="ETI54" s="172"/>
      <c r="ETJ54" s="173"/>
      <c r="ETK54" s="173"/>
      <c r="ETL54" s="172"/>
      <c r="ETM54" s="173"/>
      <c r="ETN54" s="173"/>
      <c r="ETO54" s="172"/>
      <c r="ETP54" s="173"/>
      <c r="ETQ54" s="173"/>
      <c r="ETR54" s="172"/>
      <c r="ETS54" s="173"/>
      <c r="ETT54" s="173"/>
      <c r="ETU54" s="172"/>
      <c r="ETV54" s="173"/>
      <c r="ETW54" s="173"/>
      <c r="ETX54" s="172"/>
      <c r="ETY54" s="173"/>
      <c r="ETZ54" s="173"/>
      <c r="EUA54" s="172"/>
      <c r="EUB54" s="173"/>
      <c r="EUC54" s="173"/>
      <c r="EUD54" s="172"/>
      <c r="EUE54" s="173"/>
      <c r="EUF54" s="173"/>
      <c r="EUG54" s="172"/>
      <c r="EUH54" s="173"/>
      <c r="EUI54" s="173"/>
      <c r="EUJ54" s="172"/>
      <c r="EUK54" s="173"/>
      <c r="EUL54" s="173"/>
      <c r="EUM54" s="172"/>
      <c r="EUN54" s="173"/>
      <c r="EUO54" s="173"/>
      <c r="EUP54" s="172"/>
      <c r="EUQ54" s="173"/>
      <c r="EUR54" s="173"/>
      <c r="EUS54" s="172"/>
      <c r="EUT54" s="173"/>
      <c r="EUU54" s="173"/>
      <c r="EUV54" s="172"/>
      <c r="EUW54" s="173"/>
      <c r="EUX54" s="173"/>
      <c r="EUY54" s="172"/>
      <c r="EUZ54" s="173"/>
      <c r="EVA54" s="173"/>
      <c r="EVB54" s="172"/>
      <c r="EVC54" s="173"/>
      <c r="EVD54" s="173"/>
      <c r="EVE54" s="172"/>
      <c r="EVF54" s="173"/>
      <c r="EVG54" s="173"/>
      <c r="EVH54" s="172"/>
      <c r="EVI54" s="173"/>
      <c r="EVJ54" s="173"/>
      <c r="EVK54" s="172"/>
      <c r="EVL54" s="173"/>
      <c r="EVM54" s="173"/>
      <c r="EVN54" s="172"/>
      <c r="EVO54" s="173"/>
      <c r="EVP54" s="173"/>
      <c r="EVQ54" s="172"/>
      <c r="EVR54" s="173"/>
      <c r="EVS54" s="173"/>
      <c r="EVT54" s="172"/>
      <c r="EVU54" s="173"/>
      <c r="EVV54" s="173"/>
      <c r="EVW54" s="172"/>
      <c r="EVX54" s="173"/>
      <c r="EVY54" s="173"/>
      <c r="EVZ54" s="172"/>
      <c r="EWA54" s="173"/>
      <c r="EWB54" s="173"/>
      <c r="EWC54" s="172"/>
      <c r="EWD54" s="173"/>
      <c r="EWE54" s="173"/>
      <c r="EWF54" s="172"/>
      <c r="EWG54" s="173"/>
      <c r="EWH54" s="173"/>
      <c r="EWI54" s="172"/>
      <c r="EWJ54" s="173"/>
      <c r="EWK54" s="173"/>
      <c r="EWL54" s="172"/>
      <c r="EWM54" s="173"/>
      <c r="EWN54" s="173"/>
      <c r="EWO54" s="172"/>
      <c r="EWP54" s="173"/>
      <c r="EWQ54" s="173"/>
      <c r="EWR54" s="172"/>
      <c r="EWS54" s="173"/>
      <c r="EWT54" s="173"/>
      <c r="EWU54" s="172"/>
      <c r="EWV54" s="173"/>
      <c r="EWW54" s="173"/>
      <c r="EWX54" s="172"/>
      <c r="EWY54" s="173"/>
      <c r="EWZ54" s="173"/>
      <c r="EXA54" s="172"/>
      <c r="EXB54" s="173"/>
      <c r="EXC54" s="173"/>
      <c r="EXD54" s="172"/>
      <c r="EXE54" s="173"/>
      <c r="EXF54" s="173"/>
      <c r="EXG54" s="172"/>
      <c r="EXH54" s="173"/>
      <c r="EXI54" s="173"/>
      <c r="EXJ54" s="172"/>
      <c r="EXK54" s="173"/>
      <c r="EXL54" s="173"/>
      <c r="EXM54" s="172"/>
      <c r="EXN54" s="173"/>
      <c r="EXO54" s="173"/>
      <c r="EXP54" s="172"/>
      <c r="EXQ54" s="173"/>
      <c r="EXR54" s="173"/>
      <c r="EXS54" s="172"/>
      <c r="EXT54" s="173"/>
      <c r="EXU54" s="173"/>
      <c r="EXV54" s="172"/>
      <c r="EXW54" s="173"/>
      <c r="EXX54" s="173"/>
      <c r="EXY54" s="172"/>
      <c r="EXZ54" s="173"/>
      <c r="EYA54" s="173"/>
      <c r="EYB54" s="172"/>
      <c r="EYC54" s="173"/>
      <c r="EYD54" s="173"/>
      <c r="EYE54" s="172"/>
      <c r="EYF54" s="173"/>
      <c r="EYG54" s="173"/>
      <c r="EYH54" s="172"/>
      <c r="EYI54" s="173"/>
      <c r="EYJ54" s="173"/>
      <c r="EYK54" s="172"/>
      <c r="EYL54" s="173"/>
      <c r="EYM54" s="173"/>
      <c r="EYN54" s="172"/>
      <c r="EYO54" s="173"/>
      <c r="EYP54" s="173"/>
      <c r="EYQ54" s="172"/>
      <c r="EYR54" s="173"/>
      <c r="EYS54" s="173"/>
      <c r="EYT54" s="172"/>
      <c r="EYU54" s="173"/>
      <c r="EYV54" s="173"/>
      <c r="EYW54" s="172"/>
      <c r="EYX54" s="173"/>
      <c r="EYY54" s="173"/>
      <c r="EYZ54" s="172"/>
      <c r="EZA54" s="173"/>
      <c r="EZB54" s="173"/>
      <c r="EZC54" s="172"/>
      <c r="EZD54" s="173"/>
      <c r="EZE54" s="173"/>
      <c r="EZF54" s="172"/>
      <c r="EZG54" s="173"/>
      <c r="EZH54" s="173"/>
      <c r="EZI54" s="172"/>
      <c r="EZJ54" s="173"/>
      <c r="EZK54" s="173"/>
      <c r="EZL54" s="172"/>
      <c r="EZM54" s="173"/>
      <c r="EZN54" s="173"/>
      <c r="EZO54" s="172"/>
      <c r="EZP54" s="173"/>
      <c r="EZQ54" s="173"/>
      <c r="EZR54" s="172"/>
      <c r="EZS54" s="173"/>
      <c r="EZT54" s="173"/>
      <c r="EZU54" s="172"/>
      <c r="EZV54" s="173"/>
      <c r="EZW54" s="173"/>
      <c r="EZX54" s="172"/>
      <c r="EZY54" s="173"/>
      <c r="EZZ54" s="173"/>
      <c r="FAA54" s="172"/>
      <c r="FAB54" s="173"/>
      <c r="FAC54" s="173"/>
      <c r="FAD54" s="172"/>
      <c r="FAE54" s="173"/>
      <c r="FAF54" s="173"/>
      <c r="FAG54" s="172"/>
      <c r="FAH54" s="173"/>
      <c r="FAI54" s="173"/>
      <c r="FAJ54" s="172"/>
      <c r="FAK54" s="173"/>
      <c r="FAL54" s="173"/>
      <c r="FAM54" s="172"/>
      <c r="FAN54" s="173"/>
      <c r="FAO54" s="173"/>
      <c r="FAP54" s="172"/>
      <c r="FAQ54" s="173"/>
      <c r="FAR54" s="173"/>
      <c r="FAS54" s="172"/>
      <c r="FAT54" s="173"/>
      <c r="FAU54" s="173"/>
      <c r="FAV54" s="172"/>
      <c r="FAW54" s="173"/>
      <c r="FAX54" s="173"/>
      <c r="FAY54" s="172"/>
      <c r="FAZ54" s="173"/>
      <c r="FBA54" s="173"/>
      <c r="FBB54" s="172"/>
      <c r="FBC54" s="173"/>
      <c r="FBD54" s="173"/>
      <c r="FBE54" s="172"/>
      <c r="FBF54" s="173"/>
      <c r="FBG54" s="173"/>
      <c r="FBH54" s="172"/>
      <c r="FBI54" s="173"/>
      <c r="FBJ54" s="173"/>
      <c r="FBK54" s="172"/>
      <c r="FBL54" s="173"/>
      <c r="FBM54" s="173"/>
      <c r="FBN54" s="172"/>
      <c r="FBO54" s="173"/>
      <c r="FBP54" s="173"/>
      <c r="FBQ54" s="172"/>
      <c r="FBR54" s="173"/>
      <c r="FBS54" s="173"/>
      <c r="FBT54" s="172"/>
      <c r="FBU54" s="173"/>
      <c r="FBV54" s="173"/>
      <c r="FBW54" s="172"/>
      <c r="FBX54" s="173"/>
      <c r="FBY54" s="173"/>
      <c r="FBZ54" s="172"/>
      <c r="FCA54" s="173"/>
      <c r="FCB54" s="173"/>
      <c r="FCC54" s="172"/>
      <c r="FCD54" s="173"/>
      <c r="FCE54" s="173"/>
      <c r="FCF54" s="172"/>
      <c r="FCG54" s="173"/>
      <c r="FCH54" s="173"/>
      <c r="FCI54" s="172"/>
      <c r="FCJ54" s="173"/>
      <c r="FCK54" s="173"/>
      <c r="FCL54" s="172"/>
      <c r="FCM54" s="173"/>
      <c r="FCN54" s="173"/>
      <c r="FCO54" s="172"/>
      <c r="FCP54" s="173"/>
      <c r="FCQ54" s="173"/>
      <c r="FCR54" s="172"/>
      <c r="FCS54" s="173"/>
      <c r="FCT54" s="173"/>
      <c r="FCU54" s="172"/>
      <c r="FCV54" s="173"/>
      <c r="FCW54" s="173"/>
      <c r="FCX54" s="172"/>
      <c r="FCY54" s="173"/>
      <c r="FCZ54" s="173"/>
      <c r="FDA54" s="172"/>
      <c r="FDB54" s="173"/>
      <c r="FDC54" s="173"/>
      <c r="FDD54" s="172"/>
      <c r="FDE54" s="173"/>
      <c r="FDF54" s="173"/>
      <c r="FDG54" s="172"/>
      <c r="FDH54" s="173"/>
      <c r="FDI54" s="173"/>
      <c r="FDJ54" s="172"/>
      <c r="FDK54" s="173"/>
      <c r="FDL54" s="173"/>
      <c r="FDM54" s="172"/>
      <c r="FDN54" s="173"/>
      <c r="FDO54" s="173"/>
      <c r="FDP54" s="172"/>
      <c r="FDQ54" s="173"/>
      <c r="FDR54" s="173"/>
      <c r="FDS54" s="172"/>
      <c r="FDT54" s="173"/>
      <c r="FDU54" s="173"/>
      <c r="FDV54" s="172"/>
      <c r="FDW54" s="173"/>
      <c r="FDX54" s="173"/>
      <c r="FDY54" s="172"/>
      <c r="FDZ54" s="173"/>
      <c r="FEA54" s="173"/>
      <c r="FEB54" s="172"/>
      <c r="FEC54" s="173"/>
      <c r="FED54" s="173"/>
      <c r="FEE54" s="172"/>
      <c r="FEF54" s="173"/>
      <c r="FEG54" s="173"/>
      <c r="FEH54" s="172"/>
      <c r="FEI54" s="173"/>
      <c r="FEJ54" s="173"/>
      <c r="FEK54" s="172"/>
      <c r="FEL54" s="173"/>
      <c r="FEM54" s="173"/>
      <c r="FEN54" s="172"/>
      <c r="FEO54" s="173"/>
      <c r="FEP54" s="173"/>
      <c r="FEQ54" s="172"/>
      <c r="FER54" s="173"/>
      <c r="FES54" s="173"/>
      <c r="FET54" s="172"/>
      <c r="FEU54" s="173"/>
      <c r="FEV54" s="173"/>
      <c r="FEW54" s="172"/>
      <c r="FEX54" s="173"/>
      <c r="FEY54" s="173"/>
      <c r="FEZ54" s="172"/>
      <c r="FFA54" s="173"/>
      <c r="FFB54" s="173"/>
      <c r="FFC54" s="172"/>
      <c r="FFD54" s="173"/>
      <c r="FFE54" s="173"/>
      <c r="FFF54" s="172"/>
      <c r="FFG54" s="173"/>
      <c r="FFH54" s="173"/>
      <c r="FFI54" s="172"/>
      <c r="FFJ54" s="173"/>
      <c r="FFK54" s="173"/>
      <c r="FFL54" s="172"/>
      <c r="FFM54" s="173"/>
      <c r="FFN54" s="173"/>
      <c r="FFO54" s="172"/>
      <c r="FFP54" s="173"/>
      <c r="FFQ54" s="173"/>
      <c r="FFR54" s="172"/>
      <c r="FFS54" s="173"/>
      <c r="FFT54" s="173"/>
      <c r="FFU54" s="172"/>
      <c r="FFV54" s="173"/>
      <c r="FFW54" s="173"/>
      <c r="FFX54" s="172"/>
      <c r="FFY54" s="173"/>
      <c r="FFZ54" s="173"/>
      <c r="FGA54" s="172"/>
      <c r="FGB54" s="173"/>
      <c r="FGC54" s="173"/>
      <c r="FGD54" s="172"/>
      <c r="FGE54" s="173"/>
      <c r="FGF54" s="173"/>
      <c r="FGG54" s="172"/>
      <c r="FGH54" s="173"/>
      <c r="FGI54" s="173"/>
      <c r="FGJ54" s="172"/>
      <c r="FGK54" s="173"/>
      <c r="FGL54" s="173"/>
      <c r="FGM54" s="172"/>
      <c r="FGN54" s="173"/>
      <c r="FGO54" s="173"/>
      <c r="FGP54" s="172"/>
      <c r="FGQ54" s="173"/>
      <c r="FGR54" s="173"/>
      <c r="FGS54" s="172"/>
      <c r="FGT54" s="173"/>
      <c r="FGU54" s="173"/>
      <c r="FGV54" s="172"/>
      <c r="FGW54" s="173"/>
      <c r="FGX54" s="173"/>
      <c r="FGY54" s="172"/>
      <c r="FGZ54" s="173"/>
      <c r="FHA54" s="173"/>
      <c r="FHB54" s="172"/>
      <c r="FHC54" s="173"/>
      <c r="FHD54" s="173"/>
      <c r="FHE54" s="172"/>
      <c r="FHF54" s="173"/>
      <c r="FHG54" s="173"/>
      <c r="FHH54" s="172"/>
      <c r="FHI54" s="173"/>
      <c r="FHJ54" s="173"/>
      <c r="FHK54" s="172"/>
      <c r="FHL54" s="173"/>
      <c r="FHM54" s="173"/>
      <c r="FHN54" s="172"/>
      <c r="FHO54" s="173"/>
      <c r="FHP54" s="173"/>
      <c r="FHQ54" s="172"/>
      <c r="FHR54" s="173"/>
      <c r="FHS54" s="173"/>
      <c r="FHT54" s="172"/>
      <c r="FHU54" s="173"/>
      <c r="FHV54" s="173"/>
      <c r="FHW54" s="172"/>
      <c r="FHX54" s="173"/>
      <c r="FHY54" s="173"/>
      <c r="FHZ54" s="172"/>
      <c r="FIA54" s="173"/>
      <c r="FIB54" s="173"/>
      <c r="FIC54" s="172"/>
      <c r="FID54" s="173"/>
      <c r="FIE54" s="173"/>
      <c r="FIF54" s="172"/>
      <c r="FIG54" s="173"/>
      <c r="FIH54" s="173"/>
      <c r="FII54" s="172"/>
      <c r="FIJ54" s="173"/>
      <c r="FIK54" s="173"/>
      <c r="FIL54" s="172"/>
      <c r="FIM54" s="173"/>
      <c r="FIN54" s="173"/>
      <c r="FIO54" s="172"/>
      <c r="FIP54" s="173"/>
      <c r="FIQ54" s="173"/>
      <c r="FIR54" s="172"/>
      <c r="FIS54" s="173"/>
      <c r="FIT54" s="173"/>
      <c r="FIU54" s="172"/>
      <c r="FIV54" s="173"/>
      <c r="FIW54" s="173"/>
      <c r="FIX54" s="172"/>
      <c r="FIY54" s="173"/>
      <c r="FIZ54" s="173"/>
      <c r="FJA54" s="172"/>
      <c r="FJB54" s="173"/>
      <c r="FJC54" s="173"/>
      <c r="FJD54" s="172"/>
      <c r="FJE54" s="173"/>
      <c r="FJF54" s="173"/>
      <c r="FJG54" s="172"/>
      <c r="FJH54" s="173"/>
      <c r="FJI54" s="173"/>
      <c r="FJJ54" s="172"/>
      <c r="FJK54" s="173"/>
      <c r="FJL54" s="173"/>
      <c r="FJM54" s="172"/>
      <c r="FJN54" s="173"/>
      <c r="FJO54" s="173"/>
      <c r="FJP54" s="172"/>
      <c r="FJQ54" s="173"/>
      <c r="FJR54" s="173"/>
      <c r="FJS54" s="172"/>
      <c r="FJT54" s="173"/>
      <c r="FJU54" s="173"/>
      <c r="FJV54" s="172"/>
      <c r="FJW54" s="173"/>
      <c r="FJX54" s="173"/>
      <c r="FJY54" s="172"/>
      <c r="FJZ54" s="173"/>
      <c r="FKA54" s="173"/>
      <c r="FKB54" s="172"/>
      <c r="FKC54" s="173"/>
      <c r="FKD54" s="173"/>
      <c r="FKE54" s="172"/>
      <c r="FKF54" s="173"/>
      <c r="FKG54" s="173"/>
      <c r="FKH54" s="172"/>
      <c r="FKI54" s="173"/>
      <c r="FKJ54" s="173"/>
      <c r="FKK54" s="172"/>
      <c r="FKL54" s="173"/>
      <c r="FKM54" s="173"/>
      <c r="FKN54" s="172"/>
      <c r="FKO54" s="173"/>
      <c r="FKP54" s="173"/>
      <c r="FKQ54" s="172"/>
      <c r="FKR54" s="173"/>
      <c r="FKS54" s="173"/>
      <c r="FKT54" s="172"/>
      <c r="FKU54" s="173"/>
      <c r="FKV54" s="173"/>
      <c r="FKW54" s="172"/>
      <c r="FKX54" s="173"/>
      <c r="FKY54" s="173"/>
      <c r="FKZ54" s="172"/>
      <c r="FLA54" s="173"/>
      <c r="FLB54" s="173"/>
      <c r="FLC54" s="172"/>
      <c r="FLD54" s="173"/>
      <c r="FLE54" s="173"/>
      <c r="FLF54" s="172"/>
      <c r="FLG54" s="173"/>
      <c r="FLH54" s="173"/>
      <c r="FLI54" s="172"/>
      <c r="FLJ54" s="173"/>
      <c r="FLK54" s="173"/>
      <c r="FLL54" s="172"/>
      <c r="FLM54" s="173"/>
      <c r="FLN54" s="173"/>
      <c r="FLO54" s="172"/>
      <c r="FLP54" s="173"/>
      <c r="FLQ54" s="173"/>
      <c r="FLR54" s="172"/>
      <c r="FLS54" s="173"/>
      <c r="FLT54" s="173"/>
      <c r="FLU54" s="172"/>
      <c r="FLV54" s="173"/>
      <c r="FLW54" s="173"/>
      <c r="FLX54" s="172"/>
      <c r="FLY54" s="173"/>
      <c r="FLZ54" s="173"/>
      <c r="FMA54" s="172"/>
      <c r="FMB54" s="173"/>
      <c r="FMC54" s="173"/>
      <c r="FMD54" s="172"/>
      <c r="FME54" s="173"/>
      <c r="FMF54" s="173"/>
      <c r="FMG54" s="172"/>
      <c r="FMH54" s="173"/>
      <c r="FMI54" s="173"/>
      <c r="FMJ54" s="172"/>
      <c r="FMK54" s="173"/>
      <c r="FML54" s="173"/>
      <c r="FMM54" s="172"/>
      <c r="FMN54" s="173"/>
      <c r="FMO54" s="173"/>
      <c r="FMP54" s="172"/>
      <c r="FMQ54" s="173"/>
      <c r="FMR54" s="173"/>
      <c r="FMS54" s="172"/>
      <c r="FMT54" s="173"/>
      <c r="FMU54" s="173"/>
      <c r="FMV54" s="172"/>
      <c r="FMW54" s="173"/>
      <c r="FMX54" s="173"/>
      <c r="FMY54" s="172"/>
      <c r="FMZ54" s="173"/>
      <c r="FNA54" s="173"/>
      <c r="FNB54" s="172"/>
      <c r="FNC54" s="173"/>
      <c r="FND54" s="173"/>
      <c r="FNE54" s="172"/>
      <c r="FNF54" s="173"/>
      <c r="FNG54" s="173"/>
      <c r="FNH54" s="172"/>
      <c r="FNI54" s="173"/>
      <c r="FNJ54" s="173"/>
      <c r="FNK54" s="172"/>
      <c r="FNL54" s="173"/>
      <c r="FNM54" s="173"/>
      <c r="FNN54" s="172"/>
      <c r="FNO54" s="173"/>
      <c r="FNP54" s="173"/>
      <c r="FNQ54" s="172"/>
      <c r="FNR54" s="173"/>
      <c r="FNS54" s="173"/>
      <c r="FNT54" s="172"/>
      <c r="FNU54" s="173"/>
      <c r="FNV54" s="173"/>
      <c r="FNW54" s="172"/>
      <c r="FNX54" s="173"/>
      <c r="FNY54" s="173"/>
      <c r="FNZ54" s="172"/>
      <c r="FOA54" s="173"/>
      <c r="FOB54" s="173"/>
      <c r="FOC54" s="172"/>
      <c r="FOD54" s="173"/>
      <c r="FOE54" s="173"/>
      <c r="FOF54" s="172"/>
      <c r="FOG54" s="173"/>
      <c r="FOH54" s="173"/>
      <c r="FOI54" s="172"/>
      <c r="FOJ54" s="173"/>
      <c r="FOK54" s="173"/>
      <c r="FOL54" s="172"/>
      <c r="FOM54" s="173"/>
      <c r="FON54" s="173"/>
      <c r="FOO54" s="172"/>
      <c r="FOP54" s="173"/>
      <c r="FOQ54" s="173"/>
      <c r="FOR54" s="172"/>
      <c r="FOS54" s="173"/>
      <c r="FOT54" s="173"/>
      <c r="FOU54" s="172"/>
      <c r="FOV54" s="173"/>
      <c r="FOW54" s="173"/>
      <c r="FOX54" s="172"/>
      <c r="FOY54" s="173"/>
      <c r="FOZ54" s="173"/>
      <c r="FPA54" s="172"/>
      <c r="FPB54" s="173"/>
      <c r="FPC54" s="173"/>
      <c r="FPD54" s="172"/>
      <c r="FPE54" s="173"/>
      <c r="FPF54" s="173"/>
      <c r="FPG54" s="172"/>
      <c r="FPH54" s="173"/>
      <c r="FPI54" s="173"/>
      <c r="FPJ54" s="172"/>
      <c r="FPK54" s="173"/>
      <c r="FPL54" s="173"/>
      <c r="FPM54" s="172"/>
      <c r="FPN54" s="173"/>
      <c r="FPO54" s="173"/>
      <c r="FPP54" s="172"/>
      <c r="FPQ54" s="173"/>
      <c r="FPR54" s="173"/>
      <c r="FPS54" s="172"/>
      <c r="FPT54" s="173"/>
      <c r="FPU54" s="173"/>
      <c r="FPV54" s="172"/>
      <c r="FPW54" s="173"/>
      <c r="FPX54" s="173"/>
      <c r="FPY54" s="172"/>
      <c r="FPZ54" s="173"/>
      <c r="FQA54" s="173"/>
      <c r="FQB54" s="172"/>
      <c r="FQC54" s="173"/>
      <c r="FQD54" s="173"/>
      <c r="FQE54" s="172"/>
      <c r="FQF54" s="173"/>
      <c r="FQG54" s="173"/>
      <c r="FQH54" s="172"/>
      <c r="FQI54" s="173"/>
      <c r="FQJ54" s="173"/>
      <c r="FQK54" s="172"/>
      <c r="FQL54" s="173"/>
      <c r="FQM54" s="173"/>
      <c r="FQN54" s="172"/>
      <c r="FQO54" s="173"/>
      <c r="FQP54" s="173"/>
      <c r="FQQ54" s="172"/>
      <c r="FQR54" s="173"/>
      <c r="FQS54" s="173"/>
      <c r="FQT54" s="172"/>
      <c r="FQU54" s="173"/>
      <c r="FQV54" s="173"/>
      <c r="FQW54" s="172"/>
      <c r="FQX54" s="173"/>
      <c r="FQY54" s="173"/>
      <c r="FQZ54" s="172"/>
      <c r="FRA54" s="173"/>
      <c r="FRB54" s="173"/>
      <c r="FRC54" s="172"/>
      <c r="FRD54" s="173"/>
      <c r="FRE54" s="173"/>
      <c r="FRF54" s="172"/>
      <c r="FRG54" s="173"/>
      <c r="FRH54" s="173"/>
      <c r="FRI54" s="172"/>
      <c r="FRJ54" s="173"/>
      <c r="FRK54" s="173"/>
      <c r="FRL54" s="172"/>
      <c r="FRM54" s="173"/>
      <c r="FRN54" s="173"/>
      <c r="FRO54" s="172"/>
      <c r="FRP54" s="173"/>
      <c r="FRQ54" s="173"/>
      <c r="FRR54" s="172"/>
      <c r="FRS54" s="173"/>
      <c r="FRT54" s="173"/>
      <c r="FRU54" s="172"/>
      <c r="FRV54" s="173"/>
      <c r="FRW54" s="173"/>
      <c r="FRX54" s="172"/>
      <c r="FRY54" s="173"/>
      <c r="FRZ54" s="173"/>
      <c r="FSA54" s="172"/>
      <c r="FSB54" s="173"/>
      <c r="FSC54" s="173"/>
      <c r="FSD54" s="172"/>
      <c r="FSE54" s="173"/>
      <c r="FSF54" s="173"/>
      <c r="FSG54" s="172"/>
      <c r="FSH54" s="173"/>
      <c r="FSI54" s="173"/>
      <c r="FSJ54" s="172"/>
      <c r="FSK54" s="173"/>
      <c r="FSL54" s="173"/>
      <c r="FSM54" s="172"/>
      <c r="FSN54" s="173"/>
      <c r="FSO54" s="173"/>
      <c r="FSP54" s="172"/>
      <c r="FSQ54" s="173"/>
      <c r="FSR54" s="173"/>
      <c r="FSS54" s="172"/>
      <c r="FST54" s="173"/>
      <c r="FSU54" s="173"/>
      <c r="FSV54" s="172"/>
      <c r="FSW54" s="173"/>
      <c r="FSX54" s="173"/>
      <c r="FSY54" s="172"/>
      <c r="FSZ54" s="173"/>
      <c r="FTA54" s="173"/>
      <c r="FTB54" s="172"/>
      <c r="FTC54" s="173"/>
      <c r="FTD54" s="173"/>
      <c r="FTE54" s="172"/>
      <c r="FTF54" s="173"/>
      <c r="FTG54" s="173"/>
      <c r="FTH54" s="172"/>
      <c r="FTI54" s="173"/>
      <c r="FTJ54" s="173"/>
      <c r="FTK54" s="172"/>
      <c r="FTL54" s="173"/>
      <c r="FTM54" s="173"/>
      <c r="FTN54" s="172"/>
      <c r="FTO54" s="173"/>
      <c r="FTP54" s="173"/>
      <c r="FTQ54" s="172"/>
      <c r="FTR54" s="173"/>
      <c r="FTS54" s="173"/>
      <c r="FTT54" s="172"/>
      <c r="FTU54" s="173"/>
      <c r="FTV54" s="173"/>
      <c r="FTW54" s="172"/>
      <c r="FTX54" s="173"/>
      <c r="FTY54" s="173"/>
      <c r="FTZ54" s="172"/>
      <c r="FUA54" s="173"/>
      <c r="FUB54" s="173"/>
      <c r="FUC54" s="172"/>
      <c r="FUD54" s="173"/>
      <c r="FUE54" s="173"/>
      <c r="FUF54" s="172"/>
      <c r="FUG54" s="173"/>
      <c r="FUH54" s="173"/>
      <c r="FUI54" s="172"/>
      <c r="FUJ54" s="173"/>
      <c r="FUK54" s="173"/>
      <c r="FUL54" s="172"/>
      <c r="FUM54" s="173"/>
      <c r="FUN54" s="173"/>
      <c r="FUO54" s="172"/>
      <c r="FUP54" s="173"/>
      <c r="FUQ54" s="173"/>
      <c r="FUR54" s="172"/>
      <c r="FUS54" s="173"/>
      <c r="FUT54" s="173"/>
      <c r="FUU54" s="172"/>
      <c r="FUV54" s="173"/>
      <c r="FUW54" s="173"/>
      <c r="FUX54" s="172"/>
      <c r="FUY54" s="173"/>
      <c r="FUZ54" s="173"/>
      <c r="FVA54" s="172"/>
      <c r="FVB54" s="173"/>
      <c r="FVC54" s="173"/>
      <c r="FVD54" s="172"/>
      <c r="FVE54" s="173"/>
      <c r="FVF54" s="173"/>
      <c r="FVG54" s="172"/>
      <c r="FVH54" s="173"/>
      <c r="FVI54" s="173"/>
      <c r="FVJ54" s="172"/>
      <c r="FVK54" s="173"/>
      <c r="FVL54" s="173"/>
      <c r="FVM54" s="172"/>
      <c r="FVN54" s="173"/>
      <c r="FVO54" s="173"/>
      <c r="FVP54" s="172"/>
      <c r="FVQ54" s="173"/>
      <c r="FVR54" s="173"/>
      <c r="FVS54" s="172"/>
      <c r="FVT54" s="173"/>
      <c r="FVU54" s="173"/>
      <c r="FVV54" s="172"/>
      <c r="FVW54" s="173"/>
      <c r="FVX54" s="173"/>
      <c r="FVY54" s="172"/>
      <c r="FVZ54" s="173"/>
      <c r="FWA54" s="173"/>
      <c r="FWB54" s="172"/>
      <c r="FWC54" s="173"/>
      <c r="FWD54" s="173"/>
      <c r="FWE54" s="172"/>
      <c r="FWF54" s="173"/>
      <c r="FWG54" s="173"/>
      <c r="FWH54" s="172"/>
      <c r="FWI54" s="173"/>
      <c r="FWJ54" s="173"/>
      <c r="FWK54" s="172"/>
      <c r="FWL54" s="173"/>
      <c r="FWM54" s="173"/>
      <c r="FWN54" s="172"/>
      <c r="FWO54" s="173"/>
      <c r="FWP54" s="173"/>
      <c r="FWQ54" s="172"/>
      <c r="FWR54" s="173"/>
      <c r="FWS54" s="173"/>
      <c r="FWT54" s="172"/>
      <c r="FWU54" s="173"/>
      <c r="FWV54" s="173"/>
      <c r="FWW54" s="172"/>
      <c r="FWX54" s="173"/>
      <c r="FWY54" s="173"/>
      <c r="FWZ54" s="172"/>
      <c r="FXA54" s="173"/>
      <c r="FXB54" s="173"/>
      <c r="FXC54" s="172"/>
      <c r="FXD54" s="173"/>
      <c r="FXE54" s="173"/>
      <c r="FXF54" s="172"/>
      <c r="FXG54" s="173"/>
      <c r="FXH54" s="173"/>
      <c r="FXI54" s="172"/>
      <c r="FXJ54" s="173"/>
      <c r="FXK54" s="173"/>
      <c r="FXL54" s="172"/>
      <c r="FXM54" s="173"/>
      <c r="FXN54" s="173"/>
      <c r="FXO54" s="172"/>
      <c r="FXP54" s="173"/>
      <c r="FXQ54" s="173"/>
      <c r="FXR54" s="172"/>
      <c r="FXS54" s="173"/>
      <c r="FXT54" s="173"/>
      <c r="FXU54" s="172"/>
      <c r="FXV54" s="173"/>
      <c r="FXW54" s="173"/>
      <c r="FXX54" s="172"/>
      <c r="FXY54" s="173"/>
      <c r="FXZ54" s="173"/>
      <c r="FYA54" s="172"/>
      <c r="FYB54" s="173"/>
      <c r="FYC54" s="173"/>
      <c r="FYD54" s="172"/>
      <c r="FYE54" s="173"/>
      <c r="FYF54" s="173"/>
      <c r="FYG54" s="172"/>
      <c r="FYH54" s="173"/>
      <c r="FYI54" s="173"/>
      <c r="FYJ54" s="172"/>
      <c r="FYK54" s="173"/>
      <c r="FYL54" s="173"/>
      <c r="FYM54" s="172"/>
      <c r="FYN54" s="173"/>
      <c r="FYO54" s="173"/>
      <c r="FYP54" s="172"/>
      <c r="FYQ54" s="173"/>
      <c r="FYR54" s="173"/>
      <c r="FYS54" s="172"/>
      <c r="FYT54" s="173"/>
      <c r="FYU54" s="173"/>
      <c r="FYV54" s="172"/>
      <c r="FYW54" s="173"/>
      <c r="FYX54" s="173"/>
      <c r="FYY54" s="172"/>
      <c r="FYZ54" s="173"/>
      <c r="FZA54" s="173"/>
      <c r="FZB54" s="172"/>
      <c r="FZC54" s="173"/>
      <c r="FZD54" s="173"/>
      <c r="FZE54" s="172"/>
      <c r="FZF54" s="173"/>
      <c r="FZG54" s="173"/>
      <c r="FZH54" s="172"/>
      <c r="FZI54" s="173"/>
      <c r="FZJ54" s="173"/>
      <c r="FZK54" s="172"/>
      <c r="FZL54" s="173"/>
      <c r="FZM54" s="173"/>
      <c r="FZN54" s="172"/>
      <c r="FZO54" s="173"/>
      <c r="FZP54" s="173"/>
      <c r="FZQ54" s="172"/>
      <c r="FZR54" s="173"/>
      <c r="FZS54" s="173"/>
      <c r="FZT54" s="172"/>
      <c r="FZU54" s="173"/>
      <c r="FZV54" s="173"/>
      <c r="FZW54" s="172"/>
      <c r="FZX54" s="173"/>
      <c r="FZY54" s="173"/>
      <c r="FZZ54" s="172"/>
      <c r="GAA54" s="173"/>
      <c r="GAB54" s="173"/>
      <c r="GAC54" s="172"/>
      <c r="GAD54" s="173"/>
      <c r="GAE54" s="173"/>
      <c r="GAF54" s="172"/>
      <c r="GAG54" s="173"/>
      <c r="GAH54" s="173"/>
      <c r="GAI54" s="172"/>
      <c r="GAJ54" s="173"/>
      <c r="GAK54" s="173"/>
      <c r="GAL54" s="172"/>
      <c r="GAM54" s="173"/>
      <c r="GAN54" s="173"/>
      <c r="GAO54" s="172"/>
      <c r="GAP54" s="173"/>
      <c r="GAQ54" s="173"/>
      <c r="GAR54" s="172"/>
      <c r="GAS54" s="173"/>
      <c r="GAT54" s="173"/>
      <c r="GAU54" s="172"/>
      <c r="GAV54" s="173"/>
      <c r="GAW54" s="173"/>
      <c r="GAX54" s="172"/>
      <c r="GAY54" s="173"/>
      <c r="GAZ54" s="173"/>
      <c r="GBA54" s="172"/>
      <c r="GBB54" s="173"/>
      <c r="GBC54" s="173"/>
      <c r="GBD54" s="172"/>
      <c r="GBE54" s="173"/>
      <c r="GBF54" s="173"/>
      <c r="GBG54" s="172"/>
      <c r="GBH54" s="173"/>
      <c r="GBI54" s="173"/>
      <c r="GBJ54" s="172"/>
      <c r="GBK54" s="173"/>
      <c r="GBL54" s="173"/>
      <c r="GBM54" s="172"/>
      <c r="GBN54" s="173"/>
      <c r="GBO54" s="173"/>
      <c r="GBP54" s="172"/>
      <c r="GBQ54" s="173"/>
      <c r="GBR54" s="173"/>
      <c r="GBS54" s="172"/>
      <c r="GBT54" s="173"/>
      <c r="GBU54" s="173"/>
      <c r="GBV54" s="172"/>
      <c r="GBW54" s="173"/>
      <c r="GBX54" s="173"/>
      <c r="GBY54" s="172"/>
      <c r="GBZ54" s="173"/>
      <c r="GCA54" s="173"/>
      <c r="GCB54" s="172"/>
      <c r="GCC54" s="173"/>
      <c r="GCD54" s="173"/>
      <c r="GCE54" s="172"/>
      <c r="GCF54" s="173"/>
      <c r="GCG54" s="173"/>
      <c r="GCH54" s="172"/>
      <c r="GCI54" s="173"/>
      <c r="GCJ54" s="173"/>
      <c r="GCK54" s="172"/>
      <c r="GCL54" s="173"/>
      <c r="GCM54" s="173"/>
      <c r="GCN54" s="172"/>
      <c r="GCO54" s="173"/>
      <c r="GCP54" s="173"/>
      <c r="GCQ54" s="172"/>
      <c r="GCR54" s="173"/>
      <c r="GCS54" s="173"/>
      <c r="GCT54" s="172"/>
      <c r="GCU54" s="173"/>
      <c r="GCV54" s="173"/>
      <c r="GCW54" s="172"/>
      <c r="GCX54" s="173"/>
      <c r="GCY54" s="173"/>
      <c r="GCZ54" s="172"/>
      <c r="GDA54" s="173"/>
      <c r="GDB54" s="173"/>
      <c r="GDC54" s="172"/>
      <c r="GDD54" s="173"/>
      <c r="GDE54" s="173"/>
      <c r="GDF54" s="172"/>
      <c r="GDG54" s="173"/>
      <c r="GDH54" s="173"/>
      <c r="GDI54" s="172"/>
      <c r="GDJ54" s="173"/>
      <c r="GDK54" s="173"/>
      <c r="GDL54" s="172"/>
      <c r="GDM54" s="173"/>
      <c r="GDN54" s="173"/>
      <c r="GDO54" s="172"/>
      <c r="GDP54" s="173"/>
      <c r="GDQ54" s="173"/>
      <c r="GDR54" s="172"/>
      <c r="GDS54" s="173"/>
      <c r="GDT54" s="173"/>
      <c r="GDU54" s="172"/>
      <c r="GDV54" s="173"/>
      <c r="GDW54" s="173"/>
      <c r="GDX54" s="172"/>
      <c r="GDY54" s="173"/>
      <c r="GDZ54" s="173"/>
      <c r="GEA54" s="172"/>
      <c r="GEB54" s="173"/>
      <c r="GEC54" s="173"/>
      <c r="GED54" s="172"/>
      <c r="GEE54" s="173"/>
      <c r="GEF54" s="173"/>
      <c r="GEG54" s="172"/>
      <c r="GEH54" s="173"/>
      <c r="GEI54" s="173"/>
      <c r="GEJ54" s="172"/>
      <c r="GEK54" s="173"/>
      <c r="GEL54" s="173"/>
      <c r="GEM54" s="172"/>
      <c r="GEN54" s="173"/>
      <c r="GEO54" s="173"/>
      <c r="GEP54" s="172"/>
      <c r="GEQ54" s="173"/>
      <c r="GER54" s="173"/>
      <c r="GES54" s="172"/>
      <c r="GET54" s="173"/>
      <c r="GEU54" s="173"/>
      <c r="GEV54" s="172"/>
      <c r="GEW54" s="173"/>
      <c r="GEX54" s="173"/>
      <c r="GEY54" s="172"/>
      <c r="GEZ54" s="173"/>
      <c r="GFA54" s="173"/>
      <c r="GFB54" s="172"/>
      <c r="GFC54" s="173"/>
      <c r="GFD54" s="173"/>
      <c r="GFE54" s="172"/>
      <c r="GFF54" s="173"/>
      <c r="GFG54" s="173"/>
      <c r="GFH54" s="172"/>
      <c r="GFI54" s="173"/>
      <c r="GFJ54" s="173"/>
      <c r="GFK54" s="172"/>
      <c r="GFL54" s="173"/>
      <c r="GFM54" s="173"/>
      <c r="GFN54" s="172"/>
      <c r="GFO54" s="173"/>
      <c r="GFP54" s="173"/>
      <c r="GFQ54" s="172"/>
      <c r="GFR54" s="173"/>
      <c r="GFS54" s="173"/>
      <c r="GFT54" s="172"/>
      <c r="GFU54" s="173"/>
      <c r="GFV54" s="173"/>
      <c r="GFW54" s="172"/>
      <c r="GFX54" s="173"/>
      <c r="GFY54" s="173"/>
      <c r="GFZ54" s="172"/>
      <c r="GGA54" s="173"/>
      <c r="GGB54" s="173"/>
      <c r="GGC54" s="172"/>
      <c r="GGD54" s="173"/>
      <c r="GGE54" s="173"/>
      <c r="GGF54" s="172"/>
      <c r="GGG54" s="173"/>
      <c r="GGH54" s="173"/>
      <c r="GGI54" s="172"/>
      <c r="GGJ54" s="173"/>
      <c r="GGK54" s="173"/>
      <c r="GGL54" s="172"/>
      <c r="GGM54" s="173"/>
      <c r="GGN54" s="173"/>
      <c r="GGO54" s="172"/>
      <c r="GGP54" s="173"/>
      <c r="GGQ54" s="173"/>
      <c r="GGR54" s="172"/>
      <c r="GGS54" s="173"/>
      <c r="GGT54" s="173"/>
      <c r="GGU54" s="172"/>
      <c r="GGV54" s="173"/>
      <c r="GGW54" s="173"/>
      <c r="GGX54" s="172"/>
      <c r="GGY54" s="173"/>
      <c r="GGZ54" s="173"/>
      <c r="GHA54" s="172"/>
      <c r="GHB54" s="173"/>
      <c r="GHC54" s="173"/>
      <c r="GHD54" s="172"/>
      <c r="GHE54" s="173"/>
      <c r="GHF54" s="173"/>
      <c r="GHG54" s="172"/>
      <c r="GHH54" s="173"/>
      <c r="GHI54" s="173"/>
      <c r="GHJ54" s="172"/>
      <c r="GHK54" s="173"/>
      <c r="GHL54" s="173"/>
      <c r="GHM54" s="172"/>
      <c r="GHN54" s="173"/>
      <c r="GHO54" s="173"/>
      <c r="GHP54" s="172"/>
      <c r="GHQ54" s="173"/>
      <c r="GHR54" s="173"/>
      <c r="GHS54" s="172"/>
      <c r="GHT54" s="173"/>
      <c r="GHU54" s="173"/>
      <c r="GHV54" s="172"/>
      <c r="GHW54" s="173"/>
      <c r="GHX54" s="173"/>
      <c r="GHY54" s="172"/>
      <c r="GHZ54" s="173"/>
      <c r="GIA54" s="173"/>
      <c r="GIB54" s="172"/>
      <c r="GIC54" s="173"/>
      <c r="GID54" s="173"/>
      <c r="GIE54" s="172"/>
      <c r="GIF54" s="173"/>
      <c r="GIG54" s="173"/>
      <c r="GIH54" s="172"/>
      <c r="GII54" s="173"/>
      <c r="GIJ54" s="173"/>
      <c r="GIK54" s="172"/>
      <c r="GIL54" s="173"/>
      <c r="GIM54" s="173"/>
      <c r="GIN54" s="172"/>
      <c r="GIO54" s="173"/>
      <c r="GIP54" s="173"/>
      <c r="GIQ54" s="172"/>
      <c r="GIR54" s="173"/>
      <c r="GIS54" s="173"/>
      <c r="GIT54" s="172"/>
      <c r="GIU54" s="173"/>
      <c r="GIV54" s="173"/>
      <c r="GIW54" s="172"/>
      <c r="GIX54" s="173"/>
      <c r="GIY54" s="173"/>
      <c r="GIZ54" s="172"/>
      <c r="GJA54" s="173"/>
      <c r="GJB54" s="173"/>
      <c r="GJC54" s="172"/>
      <c r="GJD54" s="173"/>
      <c r="GJE54" s="173"/>
      <c r="GJF54" s="172"/>
      <c r="GJG54" s="173"/>
      <c r="GJH54" s="173"/>
      <c r="GJI54" s="172"/>
      <c r="GJJ54" s="173"/>
      <c r="GJK54" s="173"/>
      <c r="GJL54" s="172"/>
      <c r="GJM54" s="173"/>
      <c r="GJN54" s="173"/>
      <c r="GJO54" s="172"/>
      <c r="GJP54" s="173"/>
      <c r="GJQ54" s="173"/>
      <c r="GJR54" s="172"/>
      <c r="GJS54" s="173"/>
      <c r="GJT54" s="173"/>
      <c r="GJU54" s="172"/>
      <c r="GJV54" s="173"/>
      <c r="GJW54" s="173"/>
      <c r="GJX54" s="172"/>
      <c r="GJY54" s="173"/>
      <c r="GJZ54" s="173"/>
      <c r="GKA54" s="172"/>
      <c r="GKB54" s="173"/>
      <c r="GKC54" s="173"/>
      <c r="GKD54" s="172"/>
      <c r="GKE54" s="173"/>
      <c r="GKF54" s="173"/>
      <c r="GKG54" s="172"/>
      <c r="GKH54" s="173"/>
      <c r="GKI54" s="173"/>
      <c r="GKJ54" s="172"/>
      <c r="GKK54" s="173"/>
      <c r="GKL54" s="173"/>
      <c r="GKM54" s="172"/>
      <c r="GKN54" s="173"/>
      <c r="GKO54" s="173"/>
      <c r="GKP54" s="172"/>
      <c r="GKQ54" s="173"/>
      <c r="GKR54" s="173"/>
      <c r="GKS54" s="172"/>
      <c r="GKT54" s="173"/>
      <c r="GKU54" s="173"/>
      <c r="GKV54" s="172"/>
      <c r="GKW54" s="173"/>
      <c r="GKX54" s="173"/>
      <c r="GKY54" s="172"/>
      <c r="GKZ54" s="173"/>
      <c r="GLA54" s="173"/>
      <c r="GLB54" s="172"/>
      <c r="GLC54" s="173"/>
      <c r="GLD54" s="173"/>
      <c r="GLE54" s="172"/>
      <c r="GLF54" s="173"/>
      <c r="GLG54" s="173"/>
      <c r="GLH54" s="172"/>
      <c r="GLI54" s="173"/>
      <c r="GLJ54" s="173"/>
      <c r="GLK54" s="172"/>
      <c r="GLL54" s="173"/>
      <c r="GLM54" s="173"/>
      <c r="GLN54" s="172"/>
      <c r="GLO54" s="173"/>
      <c r="GLP54" s="173"/>
      <c r="GLQ54" s="172"/>
      <c r="GLR54" s="173"/>
      <c r="GLS54" s="173"/>
      <c r="GLT54" s="172"/>
      <c r="GLU54" s="173"/>
      <c r="GLV54" s="173"/>
      <c r="GLW54" s="172"/>
      <c r="GLX54" s="173"/>
      <c r="GLY54" s="173"/>
      <c r="GLZ54" s="172"/>
      <c r="GMA54" s="173"/>
      <c r="GMB54" s="173"/>
      <c r="GMC54" s="172"/>
      <c r="GMD54" s="173"/>
      <c r="GME54" s="173"/>
      <c r="GMF54" s="172"/>
      <c r="GMG54" s="173"/>
      <c r="GMH54" s="173"/>
      <c r="GMI54" s="172"/>
      <c r="GMJ54" s="173"/>
      <c r="GMK54" s="173"/>
      <c r="GML54" s="172"/>
      <c r="GMM54" s="173"/>
      <c r="GMN54" s="173"/>
      <c r="GMO54" s="172"/>
      <c r="GMP54" s="173"/>
      <c r="GMQ54" s="173"/>
      <c r="GMR54" s="172"/>
      <c r="GMS54" s="173"/>
      <c r="GMT54" s="173"/>
      <c r="GMU54" s="172"/>
      <c r="GMV54" s="173"/>
      <c r="GMW54" s="173"/>
      <c r="GMX54" s="172"/>
      <c r="GMY54" s="173"/>
      <c r="GMZ54" s="173"/>
      <c r="GNA54" s="172"/>
      <c r="GNB54" s="173"/>
      <c r="GNC54" s="173"/>
      <c r="GND54" s="172"/>
      <c r="GNE54" s="173"/>
      <c r="GNF54" s="173"/>
      <c r="GNG54" s="172"/>
      <c r="GNH54" s="173"/>
      <c r="GNI54" s="173"/>
      <c r="GNJ54" s="172"/>
      <c r="GNK54" s="173"/>
      <c r="GNL54" s="173"/>
      <c r="GNM54" s="172"/>
      <c r="GNN54" s="173"/>
      <c r="GNO54" s="173"/>
      <c r="GNP54" s="172"/>
      <c r="GNQ54" s="173"/>
      <c r="GNR54" s="173"/>
      <c r="GNS54" s="172"/>
      <c r="GNT54" s="173"/>
      <c r="GNU54" s="173"/>
      <c r="GNV54" s="172"/>
      <c r="GNW54" s="173"/>
      <c r="GNX54" s="173"/>
      <c r="GNY54" s="172"/>
      <c r="GNZ54" s="173"/>
      <c r="GOA54" s="173"/>
      <c r="GOB54" s="172"/>
      <c r="GOC54" s="173"/>
      <c r="GOD54" s="173"/>
      <c r="GOE54" s="172"/>
      <c r="GOF54" s="173"/>
      <c r="GOG54" s="173"/>
      <c r="GOH54" s="172"/>
      <c r="GOI54" s="173"/>
      <c r="GOJ54" s="173"/>
      <c r="GOK54" s="172"/>
      <c r="GOL54" s="173"/>
      <c r="GOM54" s="173"/>
      <c r="GON54" s="172"/>
      <c r="GOO54" s="173"/>
      <c r="GOP54" s="173"/>
      <c r="GOQ54" s="172"/>
      <c r="GOR54" s="173"/>
      <c r="GOS54" s="173"/>
      <c r="GOT54" s="172"/>
      <c r="GOU54" s="173"/>
      <c r="GOV54" s="173"/>
      <c r="GOW54" s="172"/>
      <c r="GOX54" s="173"/>
      <c r="GOY54" s="173"/>
      <c r="GOZ54" s="172"/>
      <c r="GPA54" s="173"/>
      <c r="GPB54" s="173"/>
      <c r="GPC54" s="172"/>
      <c r="GPD54" s="173"/>
      <c r="GPE54" s="173"/>
      <c r="GPF54" s="172"/>
      <c r="GPG54" s="173"/>
      <c r="GPH54" s="173"/>
      <c r="GPI54" s="172"/>
      <c r="GPJ54" s="173"/>
      <c r="GPK54" s="173"/>
      <c r="GPL54" s="172"/>
      <c r="GPM54" s="173"/>
      <c r="GPN54" s="173"/>
      <c r="GPO54" s="172"/>
      <c r="GPP54" s="173"/>
      <c r="GPQ54" s="173"/>
      <c r="GPR54" s="172"/>
      <c r="GPS54" s="173"/>
      <c r="GPT54" s="173"/>
      <c r="GPU54" s="172"/>
      <c r="GPV54" s="173"/>
      <c r="GPW54" s="173"/>
      <c r="GPX54" s="172"/>
      <c r="GPY54" s="173"/>
      <c r="GPZ54" s="173"/>
      <c r="GQA54" s="172"/>
      <c r="GQB54" s="173"/>
      <c r="GQC54" s="173"/>
      <c r="GQD54" s="172"/>
      <c r="GQE54" s="173"/>
      <c r="GQF54" s="173"/>
      <c r="GQG54" s="172"/>
      <c r="GQH54" s="173"/>
      <c r="GQI54" s="173"/>
      <c r="GQJ54" s="172"/>
      <c r="GQK54" s="173"/>
      <c r="GQL54" s="173"/>
      <c r="GQM54" s="172"/>
      <c r="GQN54" s="173"/>
      <c r="GQO54" s="173"/>
      <c r="GQP54" s="172"/>
      <c r="GQQ54" s="173"/>
      <c r="GQR54" s="173"/>
      <c r="GQS54" s="172"/>
      <c r="GQT54" s="173"/>
      <c r="GQU54" s="173"/>
      <c r="GQV54" s="172"/>
      <c r="GQW54" s="173"/>
      <c r="GQX54" s="173"/>
      <c r="GQY54" s="172"/>
      <c r="GQZ54" s="173"/>
      <c r="GRA54" s="173"/>
      <c r="GRB54" s="172"/>
      <c r="GRC54" s="173"/>
      <c r="GRD54" s="173"/>
      <c r="GRE54" s="172"/>
      <c r="GRF54" s="173"/>
      <c r="GRG54" s="173"/>
      <c r="GRH54" s="172"/>
      <c r="GRI54" s="173"/>
      <c r="GRJ54" s="173"/>
      <c r="GRK54" s="172"/>
      <c r="GRL54" s="173"/>
      <c r="GRM54" s="173"/>
      <c r="GRN54" s="172"/>
      <c r="GRO54" s="173"/>
      <c r="GRP54" s="173"/>
      <c r="GRQ54" s="172"/>
      <c r="GRR54" s="173"/>
      <c r="GRS54" s="173"/>
      <c r="GRT54" s="172"/>
      <c r="GRU54" s="173"/>
      <c r="GRV54" s="173"/>
      <c r="GRW54" s="172"/>
      <c r="GRX54" s="173"/>
      <c r="GRY54" s="173"/>
      <c r="GRZ54" s="172"/>
      <c r="GSA54" s="173"/>
      <c r="GSB54" s="173"/>
      <c r="GSC54" s="172"/>
      <c r="GSD54" s="173"/>
      <c r="GSE54" s="173"/>
      <c r="GSF54" s="172"/>
      <c r="GSG54" s="173"/>
      <c r="GSH54" s="173"/>
      <c r="GSI54" s="172"/>
      <c r="GSJ54" s="173"/>
      <c r="GSK54" s="173"/>
      <c r="GSL54" s="172"/>
      <c r="GSM54" s="173"/>
      <c r="GSN54" s="173"/>
      <c r="GSO54" s="172"/>
      <c r="GSP54" s="173"/>
      <c r="GSQ54" s="173"/>
      <c r="GSR54" s="172"/>
      <c r="GSS54" s="173"/>
      <c r="GST54" s="173"/>
      <c r="GSU54" s="172"/>
      <c r="GSV54" s="173"/>
      <c r="GSW54" s="173"/>
      <c r="GSX54" s="172"/>
      <c r="GSY54" s="173"/>
      <c r="GSZ54" s="173"/>
      <c r="GTA54" s="172"/>
      <c r="GTB54" s="173"/>
      <c r="GTC54" s="173"/>
      <c r="GTD54" s="172"/>
      <c r="GTE54" s="173"/>
      <c r="GTF54" s="173"/>
      <c r="GTG54" s="172"/>
      <c r="GTH54" s="173"/>
      <c r="GTI54" s="173"/>
      <c r="GTJ54" s="172"/>
      <c r="GTK54" s="173"/>
      <c r="GTL54" s="173"/>
      <c r="GTM54" s="172"/>
      <c r="GTN54" s="173"/>
      <c r="GTO54" s="173"/>
      <c r="GTP54" s="172"/>
      <c r="GTQ54" s="173"/>
      <c r="GTR54" s="173"/>
      <c r="GTS54" s="172"/>
      <c r="GTT54" s="173"/>
      <c r="GTU54" s="173"/>
      <c r="GTV54" s="172"/>
      <c r="GTW54" s="173"/>
      <c r="GTX54" s="173"/>
      <c r="GTY54" s="172"/>
      <c r="GTZ54" s="173"/>
      <c r="GUA54" s="173"/>
      <c r="GUB54" s="172"/>
      <c r="GUC54" s="173"/>
      <c r="GUD54" s="173"/>
      <c r="GUE54" s="172"/>
      <c r="GUF54" s="173"/>
      <c r="GUG54" s="173"/>
      <c r="GUH54" s="172"/>
      <c r="GUI54" s="173"/>
      <c r="GUJ54" s="173"/>
      <c r="GUK54" s="172"/>
      <c r="GUL54" s="173"/>
      <c r="GUM54" s="173"/>
      <c r="GUN54" s="172"/>
      <c r="GUO54" s="173"/>
      <c r="GUP54" s="173"/>
      <c r="GUQ54" s="172"/>
      <c r="GUR54" s="173"/>
      <c r="GUS54" s="173"/>
      <c r="GUT54" s="172"/>
      <c r="GUU54" s="173"/>
      <c r="GUV54" s="173"/>
      <c r="GUW54" s="172"/>
      <c r="GUX54" s="173"/>
      <c r="GUY54" s="173"/>
      <c r="GUZ54" s="172"/>
      <c r="GVA54" s="173"/>
      <c r="GVB54" s="173"/>
      <c r="GVC54" s="172"/>
      <c r="GVD54" s="173"/>
      <c r="GVE54" s="173"/>
      <c r="GVF54" s="172"/>
      <c r="GVG54" s="173"/>
      <c r="GVH54" s="173"/>
      <c r="GVI54" s="172"/>
      <c r="GVJ54" s="173"/>
      <c r="GVK54" s="173"/>
      <c r="GVL54" s="172"/>
      <c r="GVM54" s="173"/>
      <c r="GVN54" s="173"/>
      <c r="GVO54" s="172"/>
      <c r="GVP54" s="173"/>
      <c r="GVQ54" s="173"/>
      <c r="GVR54" s="172"/>
      <c r="GVS54" s="173"/>
      <c r="GVT54" s="173"/>
      <c r="GVU54" s="172"/>
      <c r="GVV54" s="173"/>
      <c r="GVW54" s="173"/>
      <c r="GVX54" s="172"/>
      <c r="GVY54" s="173"/>
      <c r="GVZ54" s="173"/>
      <c r="GWA54" s="172"/>
      <c r="GWB54" s="173"/>
      <c r="GWC54" s="173"/>
      <c r="GWD54" s="172"/>
      <c r="GWE54" s="173"/>
      <c r="GWF54" s="173"/>
      <c r="GWG54" s="172"/>
      <c r="GWH54" s="173"/>
      <c r="GWI54" s="173"/>
      <c r="GWJ54" s="172"/>
      <c r="GWK54" s="173"/>
      <c r="GWL54" s="173"/>
      <c r="GWM54" s="172"/>
      <c r="GWN54" s="173"/>
      <c r="GWO54" s="173"/>
      <c r="GWP54" s="172"/>
      <c r="GWQ54" s="173"/>
      <c r="GWR54" s="173"/>
      <c r="GWS54" s="172"/>
      <c r="GWT54" s="173"/>
      <c r="GWU54" s="173"/>
      <c r="GWV54" s="172"/>
      <c r="GWW54" s="173"/>
      <c r="GWX54" s="173"/>
      <c r="GWY54" s="172"/>
      <c r="GWZ54" s="173"/>
      <c r="GXA54" s="173"/>
      <c r="GXB54" s="172"/>
      <c r="GXC54" s="173"/>
      <c r="GXD54" s="173"/>
      <c r="GXE54" s="172"/>
      <c r="GXF54" s="173"/>
      <c r="GXG54" s="173"/>
      <c r="GXH54" s="172"/>
      <c r="GXI54" s="173"/>
      <c r="GXJ54" s="173"/>
      <c r="GXK54" s="172"/>
      <c r="GXL54" s="173"/>
      <c r="GXM54" s="173"/>
      <c r="GXN54" s="172"/>
      <c r="GXO54" s="173"/>
      <c r="GXP54" s="173"/>
      <c r="GXQ54" s="172"/>
      <c r="GXR54" s="173"/>
      <c r="GXS54" s="173"/>
      <c r="GXT54" s="172"/>
      <c r="GXU54" s="173"/>
      <c r="GXV54" s="173"/>
      <c r="GXW54" s="172"/>
      <c r="GXX54" s="173"/>
      <c r="GXY54" s="173"/>
      <c r="GXZ54" s="172"/>
      <c r="GYA54" s="173"/>
      <c r="GYB54" s="173"/>
      <c r="GYC54" s="172"/>
      <c r="GYD54" s="173"/>
      <c r="GYE54" s="173"/>
      <c r="GYF54" s="172"/>
      <c r="GYG54" s="173"/>
      <c r="GYH54" s="173"/>
      <c r="GYI54" s="172"/>
      <c r="GYJ54" s="173"/>
      <c r="GYK54" s="173"/>
      <c r="GYL54" s="172"/>
      <c r="GYM54" s="173"/>
      <c r="GYN54" s="173"/>
      <c r="GYO54" s="172"/>
      <c r="GYP54" s="173"/>
      <c r="GYQ54" s="173"/>
      <c r="GYR54" s="172"/>
      <c r="GYS54" s="173"/>
      <c r="GYT54" s="173"/>
      <c r="GYU54" s="172"/>
      <c r="GYV54" s="173"/>
      <c r="GYW54" s="173"/>
      <c r="GYX54" s="172"/>
      <c r="GYY54" s="173"/>
      <c r="GYZ54" s="173"/>
      <c r="GZA54" s="172"/>
      <c r="GZB54" s="173"/>
      <c r="GZC54" s="173"/>
      <c r="GZD54" s="172"/>
      <c r="GZE54" s="173"/>
      <c r="GZF54" s="173"/>
      <c r="GZG54" s="172"/>
      <c r="GZH54" s="173"/>
      <c r="GZI54" s="173"/>
      <c r="GZJ54" s="172"/>
      <c r="GZK54" s="173"/>
      <c r="GZL54" s="173"/>
      <c r="GZM54" s="172"/>
      <c r="GZN54" s="173"/>
      <c r="GZO54" s="173"/>
      <c r="GZP54" s="172"/>
      <c r="GZQ54" s="173"/>
      <c r="GZR54" s="173"/>
      <c r="GZS54" s="172"/>
      <c r="GZT54" s="173"/>
      <c r="GZU54" s="173"/>
      <c r="GZV54" s="172"/>
      <c r="GZW54" s="173"/>
      <c r="GZX54" s="173"/>
      <c r="GZY54" s="172"/>
      <c r="GZZ54" s="173"/>
      <c r="HAA54" s="173"/>
      <c r="HAB54" s="172"/>
      <c r="HAC54" s="173"/>
      <c r="HAD54" s="173"/>
      <c r="HAE54" s="172"/>
      <c r="HAF54" s="173"/>
      <c r="HAG54" s="173"/>
      <c r="HAH54" s="172"/>
      <c r="HAI54" s="173"/>
      <c r="HAJ54" s="173"/>
      <c r="HAK54" s="172"/>
      <c r="HAL54" s="173"/>
      <c r="HAM54" s="173"/>
      <c r="HAN54" s="172"/>
      <c r="HAO54" s="173"/>
      <c r="HAP54" s="173"/>
      <c r="HAQ54" s="172"/>
      <c r="HAR54" s="173"/>
      <c r="HAS54" s="173"/>
      <c r="HAT54" s="172"/>
      <c r="HAU54" s="173"/>
      <c r="HAV54" s="173"/>
      <c r="HAW54" s="172"/>
      <c r="HAX54" s="173"/>
      <c r="HAY54" s="173"/>
      <c r="HAZ54" s="172"/>
      <c r="HBA54" s="173"/>
      <c r="HBB54" s="173"/>
      <c r="HBC54" s="172"/>
      <c r="HBD54" s="173"/>
      <c r="HBE54" s="173"/>
      <c r="HBF54" s="172"/>
      <c r="HBG54" s="173"/>
      <c r="HBH54" s="173"/>
      <c r="HBI54" s="172"/>
      <c r="HBJ54" s="173"/>
      <c r="HBK54" s="173"/>
      <c r="HBL54" s="172"/>
      <c r="HBM54" s="173"/>
      <c r="HBN54" s="173"/>
      <c r="HBO54" s="172"/>
      <c r="HBP54" s="173"/>
      <c r="HBQ54" s="173"/>
      <c r="HBR54" s="172"/>
      <c r="HBS54" s="173"/>
      <c r="HBT54" s="173"/>
      <c r="HBU54" s="172"/>
      <c r="HBV54" s="173"/>
      <c r="HBW54" s="173"/>
      <c r="HBX54" s="172"/>
      <c r="HBY54" s="173"/>
      <c r="HBZ54" s="173"/>
      <c r="HCA54" s="172"/>
      <c r="HCB54" s="173"/>
      <c r="HCC54" s="173"/>
      <c r="HCD54" s="172"/>
      <c r="HCE54" s="173"/>
      <c r="HCF54" s="173"/>
      <c r="HCG54" s="172"/>
      <c r="HCH54" s="173"/>
      <c r="HCI54" s="173"/>
      <c r="HCJ54" s="172"/>
      <c r="HCK54" s="173"/>
      <c r="HCL54" s="173"/>
      <c r="HCM54" s="172"/>
      <c r="HCN54" s="173"/>
      <c r="HCO54" s="173"/>
      <c r="HCP54" s="172"/>
      <c r="HCQ54" s="173"/>
      <c r="HCR54" s="173"/>
      <c r="HCS54" s="172"/>
      <c r="HCT54" s="173"/>
      <c r="HCU54" s="173"/>
      <c r="HCV54" s="172"/>
      <c r="HCW54" s="173"/>
      <c r="HCX54" s="173"/>
      <c r="HCY54" s="172"/>
      <c r="HCZ54" s="173"/>
      <c r="HDA54" s="173"/>
      <c r="HDB54" s="172"/>
      <c r="HDC54" s="173"/>
      <c r="HDD54" s="173"/>
      <c r="HDE54" s="172"/>
      <c r="HDF54" s="173"/>
      <c r="HDG54" s="173"/>
      <c r="HDH54" s="172"/>
      <c r="HDI54" s="173"/>
      <c r="HDJ54" s="173"/>
      <c r="HDK54" s="172"/>
      <c r="HDL54" s="173"/>
      <c r="HDM54" s="173"/>
      <c r="HDN54" s="172"/>
      <c r="HDO54" s="173"/>
      <c r="HDP54" s="173"/>
      <c r="HDQ54" s="172"/>
      <c r="HDR54" s="173"/>
      <c r="HDS54" s="173"/>
      <c r="HDT54" s="172"/>
      <c r="HDU54" s="173"/>
      <c r="HDV54" s="173"/>
      <c r="HDW54" s="172"/>
      <c r="HDX54" s="173"/>
      <c r="HDY54" s="173"/>
      <c r="HDZ54" s="172"/>
      <c r="HEA54" s="173"/>
      <c r="HEB54" s="173"/>
      <c r="HEC54" s="172"/>
      <c r="HED54" s="173"/>
      <c r="HEE54" s="173"/>
      <c r="HEF54" s="172"/>
      <c r="HEG54" s="173"/>
      <c r="HEH54" s="173"/>
      <c r="HEI54" s="172"/>
      <c r="HEJ54" s="173"/>
      <c r="HEK54" s="173"/>
      <c r="HEL54" s="172"/>
      <c r="HEM54" s="173"/>
      <c r="HEN54" s="173"/>
      <c r="HEO54" s="172"/>
      <c r="HEP54" s="173"/>
      <c r="HEQ54" s="173"/>
      <c r="HER54" s="172"/>
      <c r="HES54" s="173"/>
      <c r="HET54" s="173"/>
      <c r="HEU54" s="172"/>
      <c r="HEV54" s="173"/>
      <c r="HEW54" s="173"/>
      <c r="HEX54" s="172"/>
      <c r="HEY54" s="173"/>
      <c r="HEZ54" s="173"/>
      <c r="HFA54" s="172"/>
      <c r="HFB54" s="173"/>
      <c r="HFC54" s="173"/>
      <c r="HFD54" s="172"/>
      <c r="HFE54" s="173"/>
      <c r="HFF54" s="173"/>
      <c r="HFG54" s="172"/>
      <c r="HFH54" s="173"/>
      <c r="HFI54" s="173"/>
      <c r="HFJ54" s="172"/>
      <c r="HFK54" s="173"/>
      <c r="HFL54" s="173"/>
      <c r="HFM54" s="172"/>
      <c r="HFN54" s="173"/>
      <c r="HFO54" s="173"/>
      <c r="HFP54" s="172"/>
      <c r="HFQ54" s="173"/>
      <c r="HFR54" s="173"/>
      <c r="HFS54" s="172"/>
      <c r="HFT54" s="173"/>
      <c r="HFU54" s="173"/>
      <c r="HFV54" s="172"/>
      <c r="HFW54" s="173"/>
      <c r="HFX54" s="173"/>
      <c r="HFY54" s="172"/>
      <c r="HFZ54" s="173"/>
      <c r="HGA54" s="173"/>
      <c r="HGB54" s="172"/>
      <c r="HGC54" s="173"/>
      <c r="HGD54" s="173"/>
      <c r="HGE54" s="172"/>
      <c r="HGF54" s="173"/>
      <c r="HGG54" s="173"/>
      <c r="HGH54" s="172"/>
      <c r="HGI54" s="173"/>
      <c r="HGJ54" s="173"/>
      <c r="HGK54" s="172"/>
      <c r="HGL54" s="173"/>
      <c r="HGM54" s="173"/>
      <c r="HGN54" s="172"/>
      <c r="HGO54" s="173"/>
      <c r="HGP54" s="173"/>
      <c r="HGQ54" s="172"/>
      <c r="HGR54" s="173"/>
      <c r="HGS54" s="173"/>
      <c r="HGT54" s="172"/>
      <c r="HGU54" s="173"/>
      <c r="HGV54" s="173"/>
      <c r="HGW54" s="172"/>
      <c r="HGX54" s="173"/>
      <c r="HGY54" s="173"/>
      <c r="HGZ54" s="172"/>
      <c r="HHA54" s="173"/>
      <c r="HHB54" s="173"/>
      <c r="HHC54" s="172"/>
      <c r="HHD54" s="173"/>
      <c r="HHE54" s="173"/>
      <c r="HHF54" s="172"/>
      <c r="HHG54" s="173"/>
      <c r="HHH54" s="173"/>
      <c r="HHI54" s="172"/>
      <c r="HHJ54" s="173"/>
      <c r="HHK54" s="173"/>
      <c r="HHL54" s="172"/>
      <c r="HHM54" s="173"/>
      <c r="HHN54" s="173"/>
      <c r="HHO54" s="172"/>
      <c r="HHP54" s="173"/>
      <c r="HHQ54" s="173"/>
      <c r="HHR54" s="172"/>
      <c r="HHS54" s="173"/>
      <c r="HHT54" s="173"/>
      <c r="HHU54" s="172"/>
      <c r="HHV54" s="173"/>
      <c r="HHW54" s="173"/>
      <c r="HHX54" s="172"/>
      <c r="HHY54" s="173"/>
      <c r="HHZ54" s="173"/>
      <c r="HIA54" s="172"/>
      <c r="HIB54" s="173"/>
      <c r="HIC54" s="173"/>
      <c r="HID54" s="172"/>
      <c r="HIE54" s="173"/>
      <c r="HIF54" s="173"/>
      <c r="HIG54" s="172"/>
      <c r="HIH54" s="173"/>
      <c r="HII54" s="173"/>
      <c r="HIJ54" s="172"/>
      <c r="HIK54" s="173"/>
      <c r="HIL54" s="173"/>
      <c r="HIM54" s="172"/>
      <c r="HIN54" s="173"/>
      <c r="HIO54" s="173"/>
      <c r="HIP54" s="172"/>
      <c r="HIQ54" s="173"/>
      <c r="HIR54" s="173"/>
      <c r="HIS54" s="172"/>
      <c r="HIT54" s="173"/>
      <c r="HIU54" s="173"/>
      <c r="HIV54" s="172"/>
      <c r="HIW54" s="173"/>
      <c r="HIX54" s="173"/>
      <c r="HIY54" s="172"/>
      <c r="HIZ54" s="173"/>
      <c r="HJA54" s="173"/>
      <c r="HJB54" s="172"/>
      <c r="HJC54" s="173"/>
      <c r="HJD54" s="173"/>
      <c r="HJE54" s="172"/>
      <c r="HJF54" s="173"/>
      <c r="HJG54" s="173"/>
      <c r="HJH54" s="172"/>
      <c r="HJI54" s="173"/>
      <c r="HJJ54" s="173"/>
      <c r="HJK54" s="172"/>
      <c r="HJL54" s="173"/>
      <c r="HJM54" s="173"/>
      <c r="HJN54" s="172"/>
      <c r="HJO54" s="173"/>
      <c r="HJP54" s="173"/>
      <c r="HJQ54" s="172"/>
      <c r="HJR54" s="173"/>
      <c r="HJS54" s="173"/>
      <c r="HJT54" s="172"/>
      <c r="HJU54" s="173"/>
      <c r="HJV54" s="173"/>
      <c r="HJW54" s="172"/>
      <c r="HJX54" s="173"/>
      <c r="HJY54" s="173"/>
      <c r="HJZ54" s="172"/>
      <c r="HKA54" s="173"/>
      <c r="HKB54" s="173"/>
      <c r="HKC54" s="172"/>
      <c r="HKD54" s="173"/>
      <c r="HKE54" s="173"/>
      <c r="HKF54" s="172"/>
      <c r="HKG54" s="173"/>
      <c r="HKH54" s="173"/>
      <c r="HKI54" s="172"/>
      <c r="HKJ54" s="173"/>
      <c r="HKK54" s="173"/>
      <c r="HKL54" s="172"/>
      <c r="HKM54" s="173"/>
      <c r="HKN54" s="173"/>
      <c r="HKO54" s="172"/>
      <c r="HKP54" s="173"/>
      <c r="HKQ54" s="173"/>
      <c r="HKR54" s="172"/>
      <c r="HKS54" s="173"/>
      <c r="HKT54" s="173"/>
      <c r="HKU54" s="172"/>
      <c r="HKV54" s="173"/>
      <c r="HKW54" s="173"/>
      <c r="HKX54" s="172"/>
      <c r="HKY54" s="173"/>
      <c r="HKZ54" s="173"/>
      <c r="HLA54" s="172"/>
      <c r="HLB54" s="173"/>
      <c r="HLC54" s="173"/>
      <c r="HLD54" s="172"/>
      <c r="HLE54" s="173"/>
      <c r="HLF54" s="173"/>
      <c r="HLG54" s="172"/>
      <c r="HLH54" s="173"/>
      <c r="HLI54" s="173"/>
      <c r="HLJ54" s="172"/>
      <c r="HLK54" s="173"/>
      <c r="HLL54" s="173"/>
      <c r="HLM54" s="172"/>
      <c r="HLN54" s="173"/>
      <c r="HLO54" s="173"/>
      <c r="HLP54" s="172"/>
      <c r="HLQ54" s="173"/>
      <c r="HLR54" s="173"/>
      <c r="HLS54" s="172"/>
      <c r="HLT54" s="173"/>
      <c r="HLU54" s="173"/>
      <c r="HLV54" s="172"/>
      <c r="HLW54" s="173"/>
      <c r="HLX54" s="173"/>
      <c r="HLY54" s="172"/>
      <c r="HLZ54" s="173"/>
      <c r="HMA54" s="173"/>
      <c r="HMB54" s="172"/>
      <c r="HMC54" s="173"/>
      <c r="HMD54" s="173"/>
      <c r="HME54" s="172"/>
      <c r="HMF54" s="173"/>
      <c r="HMG54" s="173"/>
      <c r="HMH54" s="172"/>
      <c r="HMI54" s="173"/>
      <c r="HMJ54" s="173"/>
      <c r="HMK54" s="172"/>
      <c r="HML54" s="173"/>
      <c r="HMM54" s="173"/>
      <c r="HMN54" s="172"/>
      <c r="HMO54" s="173"/>
      <c r="HMP54" s="173"/>
      <c r="HMQ54" s="172"/>
      <c r="HMR54" s="173"/>
      <c r="HMS54" s="173"/>
      <c r="HMT54" s="172"/>
      <c r="HMU54" s="173"/>
      <c r="HMV54" s="173"/>
      <c r="HMW54" s="172"/>
      <c r="HMX54" s="173"/>
      <c r="HMY54" s="173"/>
      <c r="HMZ54" s="172"/>
      <c r="HNA54" s="173"/>
      <c r="HNB54" s="173"/>
      <c r="HNC54" s="172"/>
      <c r="HND54" s="173"/>
      <c r="HNE54" s="173"/>
      <c r="HNF54" s="172"/>
      <c r="HNG54" s="173"/>
      <c r="HNH54" s="173"/>
      <c r="HNI54" s="172"/>
      <c r="HNJ54" s="173"/>
      <c r="HNK54" s="173"/>
      <c r="HNL54" s="172"/>
      <c r="HNM54" s="173"/>
      <c r="HNN54" s="173"/>
      <c r="HNO54" s="172"/>
      <c r="HNP54" s="173"/>
      <c r="HNQ54" s="173"/>
      <c r="HNR54" s="172"/>
      <c r="HNS54" s="173"/>
      <c r="HNT54" s="173"/>
      <c r="HNU54" s="172"/>
      <c r="HNV54" s="173"/>
      <c r="HNW54" s="173"/>
      <c r="HNX54" s="172"/>
      <c r="HNY54" s="173"/>
      <c r="HNZ54" s="173"/>
      <c r="HOA54" s="172"/>
      <c r="HOB54" s="173"/>
      <c r="HOC54" s="173"/>
      <c r="HOD54" s="172"/>
      <c r="HOE54" s="173"/>
      <c r="HOF54" s="173"/>
      <c r="HOG54" s="172"/>
      <c r="HOH54" s="173"/>
      <c r="HOI54" s="173"/>
      <c r="HOJ54" s="172"/>
      <c r="HOK54" s="173"/>
      <c r="HOL54" s="173"/>
      <c r="HOM54" s="172"/>
      <c r="HON54" s="173"/>
      <c r="HOO54" s="173"/>
      <c r="HOP54" s="172"/>
      <c r="HOQ54" s="173"/>
      <c r="HOR54" s="173"/>
      <c r="HOS54" s="172"/>
      <c r="HOT54" s="173"/>
      <c r="HOU54" s="173"/>
      <c r="HOV54" s="172"/>
      <c r="HOW54" s="173"/>
      <c r="HOX54" s="173"/>
      <c r="HOY54" s="172"/>
      <c r="HOZ54" s="173"/>
      <c r="HPA54" s="173"/>
      <c r="HPB54" s="172"/>
      <c r="HPC54" s="173"/>
      <c r="HPD54" s="173"/>
      <c r="HPE54" s="172"/>
      <c r="HPF54" s="173"/>
      <c r="HPG54" s="173"/>
      <c r="HPH54" s="172"/>
      <c r="HPI54" s="173"/>
      <c r="HPJ54" s="173"/>
      <c r="HPK54" s="172"/>
      <c r="HPL54" s="173"/>
      <c r="HPM54" s="173"/>
      <c r="HPN54" s="172"/>
      <c r="HPO54" s="173"/>
      <c r="HPP54" s="173"/>
      <c r="HPQ54" s="172"/>
      <c r="HPR54" s="173"/>
      <c r="HPS54" s="173"/>
      <c r="HPT54" s="172"/>
      <c r="HPU54" s="173"/>
      <c r="HPV54" s="173"/>
      <c r="HPW54" s="172"/>
      <c r="HPX54" s="173"/>
      <c r="HPY54" s="173"/>
      <c r="HPZ54" s="172"/>
      <c r="HQA54" s="173"/>
      <c r="HQB54" s="173"/>
      <c r="HQC54" s="172"/>
      <c r="HQD54" s="173"/>
      <c r="HQE54" s="173"/>
      <c r="HQF54" s="172"/>
      <c r="HQG54" s="173"/>
      <c r="HQH54" s="173"/>
      <c r="HQI54" s="172"/>
      <c r="HQJ54" s="173"/>
      <c r="HQK54" s="173"/>
      <c r="HQL54" s="172"/>
      <c r="HQM54" s="173"/>
      <c r="HQN54" s="173"/>
      <c r="HQO54" s="172"/>
      <c r="HQP54" s="173"/>
      <c r="HQQ54" s="173"/>
      <c r="HQR54" s="172"/>
      <c r="HQS54" s="173"/>
      <c r="HQT54" s="173"/>
      <c r="HQU54" s="172"/>
      <c r="HQV54" s="173"/>
      <c r="HQW54" s="173"/>
      <c r="HQX54" s="172"/>
      <c r="HQY54" s="173"/>
      <c r="HQZ54" s="173"/>
      <c r="HRA54" s="172"/>
      <c r="HRB54" s="173"/>
      <c r="HRC54" s="173"/>
      <c r="HRD54" s="172"/>
      <c r="HRE54" s="173"/>
      <c r="HRF54" s="173"/>
      <c r="HRG54" s="172"/>
      <c r="HRH54" s="173"/>
      <c r="HRI54" s="173"/>
      <c r="HRJ54" s="172"/>
      <c r="HRK54" s="173"/>
      <c r="HRL54" s="173"/>
      <c r="HRM54" s="172"/>
      <c r="HRN54" s="173"/>
      <c r="HRO54" s="173"/>
      <c r="HRP54" s="172"/>
      <c r="HRQ54" s="173"/>
      <c r="HRR54" s="173"/>
      <c r="HRS54" s="172"/>
      <c r="HRT54" s="173"/>
      <c r="HRU54" s="173"/>
      <c r="HRV54" s="172"/>
      <c r="HRW54" s="173"/>
      <c r="HRX54" s="173"/>
      <c r="HRY54" s="172"/>
      <c r="HRZ54" s="173"/>
      <c r="HSA54" s="173"/>
      <c r="HSB54" s="172"/>
      <c r="HSC54" s="173"/>
      <c r="HSD54" s="173"/>
      <c r="HSE54" s="172"/>
      <c r="HSF54" s="173"/>
      <c r="HSG54" s="173"/>
      <c r="HSH54" s="172"/>
      <c r="HSI54" s="173"/>
      <c r="HSJ54" s="173"/>
      <c r="HSK54" s="172"/>
      <c r="HSL54" s="173"/>
      <c r="HSM54" s="173"/>
      <c r="HSN54" s="172"/>
      <c r="HSO54" s="173"/>
      <c r="HSP54" s="173"/>
      <c r="HSQ54" s="172"/>
      <c r="HSR54" s="173"/>
      <c r="HSS54" s="173"/>
      <c r="HST54" s="172"/>
      <c r="HSU54" s="173"/>
      <c r="HSV54" s="173"/>
      <c r="HSW54" s="172"/>
      <c r="HSX54" s="173"/>
      <c r="HSY54" s="173"/>
      <c r="HSZ54" s="172"/>
      <c r="HTA54" s="173"/>
      <c r="HTB54" s="173"/>
      <c r="HTC54" s="172"/>
      <c r="HTD54" s="173"/>
      <c r="HTE54" s="173"/>
      <c r="HTF54" s="172"/>
      <c r="HTG54" s="173"/>
      <c r="HTH54" s="173"/>
      <c r="HTI54" s="172"/>
      <c r="HTJ54" s="173"/>
      <c r="HTK54" s="173"/>
      <c r="HTL54" s="172"/>
      <c r="HTM54" s="173"/>
      <c r="HTN54" s="173"/>
      <c r="HTO54" s="172"/>
      <c r="HTP54" s="173"/>
      <c r="HTQ54" s="173"/>
      <c r="HTR54" s="172"/>
      <c r="HTS54" s="173"/>
      <c r="HTT54" s="173"/>
      <c r="HTU54" s="172"/>
      <c r="HTV54" s="173"/>
      <c r="HTW54" s="173"/>
      <c r="HTX54" s="172"/>
      <c r="HTY54" s="173"/>
      <c r="HTZ54" s="173"/>
      <c r="HUA54" s="172"/>
      <c r="HUB54" s="173"/>
      <c r="HUC54" s="173"/>
      <c r="HUD54" s="172"/>
      <c r="HUE54" s="173"/>
      <c r="HUF54" s="173"/>
      <c r="HUG54" s="172"/>
      <c r="HUH54" s="173"/>
      <c r="HUI54" s="173"/>
      <c r="HUJ54" s="172"/>
      <c r="HUK54" s="173"/>
      <c r="HUL54" s="173"/>
      <c r="HUM54" s="172"/>
      <c r="HUN54" s="173"/>
      <c r="HUO54" s="173"/>
      <c r="HUP54" s="172"/>
      <c r="HUQ54" s="173"/>
      <c r="HUR54" s="173"/>
      <c r="HUS54" s="172"/>
      <c r="HUT54" s="173"/>
      <c r="HUU54" s="173"/>
      <c r="HUV54" s="172"/>
      <c r="HUW54" s="173"/>
      <c r="HUX54" s="173"/>
      <c r="HUY54" s="172"/>
      <c r="HUZ54" s="173"/>
      <c r="HVA54" s="173"/>
      <c r="HVB54" s="172"/>
      <c r="HVC54" s="173"/>
      <c r="HVD54" s="173"/>
      <c r="HVE54" s="172"/>
      <c r="HVF54" s="173"/>
      <c r="HVG54" s="173"/>
      <c r="HVH54" s="172"/>
      <c r="HVI54" s="173"/>
      <c r="HVJ54" s="173"/>
      <c r="HVK54" s="172"/>
      <c r="HVL54" s="173"/>
      <c r="HVM54" s="173"/>
      <c r="HVN54" s="172"/>
      <c r="HVO54" s="173"/>
      <c r="HVP54" s="173"/>
      <c r="HVQ54" s="172"/>
      <c r="HVR54" s="173"/>
      <c r="HVS54" s="173"/>
      <c r="HVT54" s="172"/>
      <c r="HVU54" s="173"/>
      <c r="HVV54" s="173"/>
      <c r="HVW54" s="172"/>
      <c r="HVX54" s="173"/>
      <c r="HVY54" s="173"/>
      <c r="HVZ54" s="172"/>
      <c r="HWA54" s="173"/>
      <c r="HWB54" s="173"/>
      <c r="HWC54" s="172"/>
      <c r="HWD54" s="173"/>
      <c r="HWE54" s="173"/>
      <c r="HWF54" s="172"/>
      <c r="HWG54" s="173"/>
      <c r="HWH54" s="173"/>
      <c r="HWI54" s="172"/>
      <c r="HWJ54" s="173"/>
      <c r="HWK54" s="173"/>
      <c r="HWL54" s="172"/>
      <c r="HWM54" s="173"/>
      <c r="HWN54" s="173"/>
      <c r="HWO54" s="172"/>
      <c r="HWP54" s="173"/>
      <c r="HWQ54" s="173"/>
      <c r="HWR54" s="172"/>
      <c r="HWS54" s="173"/>
      <c r="HWT54" s="173"/>
      <c r="HWU54" s="172"/>
      <c r="HWV54" s="173"/>
      <c r="HWW54" s="173"/>
      <c r="HWX54" s="172"/>
      <c r="HWY54" s="173"/>
      <c r="HWZ54" s="173"/>
      <c r="HXA54" s="172"/>
      <c r="HXB54" s="173"/>
      <c r="HXC54" s="173"/>
      <c r="HXD54" s="172"/>
      <c r="HXE54" s="173"/>
      <c r="HXF54" s="173"/>
      <c r="HXG54" s="172"/>
      <c r="HXH54" s="173"/>
      <c r="HXI54" s="173"/>
      <c r="HXJ54" s="172"/>
      <c r="HXK54" s="173"/>
      <c r="HXL54" s="173"/>
      <c r="HXM54" s="172"/>
      <c r="HXN54" s="173"/>
      <c r="HXO54" s="173"/>
      <c r="HXP54" s="172"/>
      <c r="HXQ54" s="173"/>
      <c r="HXR54" s="173"/>
      <c r="HXS54" s="172"/>
      <c r="HXT54" s="173"/>
      <c r="HXU54" s="173"/>
      <c r="HXV54" s="172"/>
      <c r="HXW54" s="173"/>
      <c r="HXX54" s="173"/>
      <c r="HXY54" s="172"/>
      <c r="HXZ54" s="173"/>
      <c r="HYA54" s="173"/>
      <c r="HYB54" s="172"/>
      <c r="HYC54" s="173"/>
      <c r="HYD54" s="173"/>
      <c r="HYE54" s="172"/>
      <c r="HYF54" s="173"/>
      <c r="HYG54" s="173"/>
      <c r="HYH54" s="172"/>
      <c r="HYI54" s="173"/>
      <c r="HYJ54" s="173"/>
      <c r="HYK54" s="172"/>
      <c r="HYL54" s="173"/>
      <c r="HYM54" s="173"/>
      <c r="HYN54" s="172"/>
      <c r="HYO54" s="173"/>
      <c r="HYP54" s="173"/>
      <c r="HYQ54" s="172"/>
      <c r="HYR54" s="173"/>
      <c r="HYS54" s="173"/>
      <c r="HYT54" s="172"/>
      <c r="HYU54" s="173"/>
      <c r="HYV54" s="173"/>
      <c r="HYW54" s="172"/>
      <c r="HYX54" s="173"/>
      <c r="HYY54" s="173"/>
      <c r="HYZ54" s="172"/>
      <c r="HZA54" s="173"/>
      <c r="HZB54" s="173"/>
      <c r="HZC54" s="172"/>
      <c r="HZD54" s="173"/>
      <c r="HZE54" s="173"/>
      <c r="HZF54" s="172"/>
      <c r="HZG54" s="173"/>
      <c r="HZH54" s="173"/>
      <c r="HZI54" s="172"/>
      <c r="HZJ54" s="173"/>
      <c r="HZK54" s="173"/>
      <c r="HZL54" s="172"/>
      <c r="HZM54" s="173"/>
      <c r="HZN54" s="173"/>
      <c r="HZO54" s="172"/>
      <c r="HZP54" s="173"/>
      <c r="HZQ54" s="173"/>
      <c r="HZR54" s="172"/>
      <c r="HZS54" s="173"/>
      <c r="HZT54" s="173"/>
      <c r="HZU54" s="172"/>
      <c r="HZV54" s="173"/>
      <c r="HZW54" s="173"/>
      <c r="HZX54" s="172"/>
      <c r="HZY54" s="173"/>
      <c r="HZZ54" s="173"/>
      <c r="IAA54" s="172"/>
      <c r="IAB54" s="173"/>
      <c r="IAC54" s="173"/>
      <c r="IAD54" s="172"/>
      <c r="IAE54" s="173"/>
      <c r="IAF54" s="173"/>
      <c r="IAG54" s="172"/>
      <c r="IAH54" s="173"/>
      <c r="IAI54" s="173"/>
      <c r="IAJ54" s="172"/>
      <c r="IAK54" s="173"/>
      <c r="IAL54" s="173"/>
      <c r="IAM54" s="172"/>
      <c r="IAN54" s="173"/>
      <c r="IAO54" s="173"/>
      <c r="IAP54" s="172"/>
      <c r="IAQ54" s="173"/>
      <c r="IAR54" s="173"/>
      <c r="IAS54" s="172"/>
      <c r="IAT54" s="173"/>
      <c r="IAU54" s="173"/>
      <c r="IAV54" s="172"/>
      <c r="IAW54" s="173"/>
      <c r="IAX54" s="173"/>
      <c r="IAY54" s="172"/>
      <c r="IAZ54" s="173"/>
      <c r="IBA54" s="173"/>
      <c r="IBB54" s="172"/>
      <c r="IBC54" s="173"/>
      <c r="IBD54" s="173"/>
      <c r="IBE54" s="172"/>
      <c r="IBF54" s="173"/>
      <c r="IBG54" s="173"/>
      <c r="IBH54" s="172"/>
      <c r="IBI54" s="173"/>
      <c r="IBJ54" s="173"/>
      <c r="IBK54" s="172"/>
      <c r="IBL54" s="173"/>
      <c r="IBM54" s="173"/>
      <c r="IBN54" s="172"/>
      <c r="IBO54" s="173"/>
      <c r="IBP54" s="173"/>
      <c r="IBQ54" s="172"/>
      <c r="IBR54" s="173"/>
      <c r="IBS54" s="173"/>
      <c r="IBT54" s="172"/>
      <c r="IBU54" s="173"/>
      <c r="IBV54" s="173"/>
      <c r="IBW54" s="172"/>
      <c r="IBX54" s="173"/>
      <c r="IBY54" s="173"/>
      <c r="IBZ54" s="172"/>
      <c r="ICA54" s="173"/>
      <c r="ICB54" s="173"/>
      <c r="ICC54" s="172"/>
      <c r="ICD54" s="173"/>
      <c r="ICE54" s="173"/>
      <c r="ICF54" s="172"/>
      <c r="ICG54" s="173"/>
      <c r="ICH54" s="173"/>
      <c r="ICI54" s="172"/>
      <c r="ICJ54" s="173"/>
      <c r="ICK54" s="173"/>
      <c r="ICL54" s="172"/>
      <c r="ICM54" s="173"/>
      <c r="ICN54" s="173"/>
      <c r="ICO54" s="172"/>
      <c r="ICP54" s="173"/>
      <c r="ICQ54" s="173"/>
      <c r="ICR54" s="172"/>
      <c r="ICS54" s="173"/>
      <c r="ICT54" s="173"/>
      <c r="ICU54" s="172"/>
      <c r="ICV54" s="173"/>
      <c r="ICW54" s="173"/>
      <c r="ICX54" s="172"/>
      <c r="ICY54" s="173"/>
      <c r="ICZ54" s="173"/>
      <c r="IDA54" s="172"/>
      <c r="IDB54" s="173"/>
      <c r="IDC54" s="173"/>
      <c r="IDD54" s="172"/>
      <c r="IDE54" s="173"/>
      <c r="IDF54" s="173"/>
      <c r="IDG54" s="172"/>
      <c r="IDH54" s="173"/>
      <c r="IDI54" s="173"/>
      <c r="IDJ54" s="172"/>
      <c r="IDK54" s="173"/>
      <c r="IDL54" s="173"/>
      <c r="IDM54" s="172"/>
      <c r="IDN54" s="173"/>
      <c r="IDO54" s="173"/>
      <c r="IDP54" s="172"/>
      <c r="IDQ54" s="173"/>
      <c r="IDR54" s="173"/>
      <c r="IDS54" s="172"/>
      <c r="IDT54" s="173"/>
      <c r="IDU54" s="173"/>
      <c r="IDV54" s="172"/>
      <c r="IDW54" s="173"/>
      <c r="IDX54" s="173"/>
      <c r="IDY54" s="172"/>
      <c r="IDZ54" s="173"/>
      <c r="IEA54" s="173"/>
      <c r="IEB54" s="172"/>
      <c r="IEC54" s="173"/>
      <c r="IED54" s="173"/>
      <c r="IEE54" s="172"/>
      <c r="IEF54" s="173"/>
      <c r="IEG54" s="173"/>
      <c r="IEH54" s="172"/>
      <c r="IEI54" s="173"/>
      <c r="IEJ54" s="173"/>
      <c r="IEK54" s="172"/>
      <c r="IEL54" s="173"/>
      <c r="IEM54" s="173"/>
      <c r="IEN54" s="172"/>
      <c r="IEO54" s="173"/>
      <c r="IEP54" s="173"/>
      <c r="IEQ54" s="172"/>
      <c r="IER54" s="173"/>
      <c r="IES54" s="173"/>
      <c r="IET54" s="172"/>
      <c r="IEU54" s="173"/>
      <c r="IEV54" s="173"/>
      <c r="IEW54" s="172"/>
      <c r="IEX54" s="173"/>
      <c r="IEY54" s="173"/>
      <c r="IEZ54" s="172"/>
      <c r="IFA54" s="173"/>
      <c r="IFB54" s="173"/>
      <c r="IFC54" s="172"/>
      <c r="IFD54" s="173"/>
      <c r="IFE54" s="173"/>
      <c r="IFF54" s="172"/>
      <c r="IFG54" s="173"/>
      <c r="IFH54" s="173"/>
      <c r="IFI54" s="172"/>
      <c r="IFJ54" s="173"/>
      <c r="IFK54" s="173"/>
      <c r="IFL54" s="172"/>
      <c r="IFM54" s="173"/>
      <c r="IFN54" s="173"/>
      <c r="IFO54" s="172"/>
      <c r="IFP54" s="173"/>
      <c r="IFQ54" s="173"/>
      <c r="IFR54" s="172"/>
      <c r="IFS54" s="173"/>
      <c r="IFT54" s="173"/>
      <c r="IFU54" s="172"/>
      <c r="IFV54" s="173"/>
      <c r="IFW54" s="173"/>
      <c r="IFX54" s="172"/>
      <c r="IFY54" s="173"/>
      <c r="IFZ54" s="173"/>
      <c r="IGA54" s="172"/>
      <c r="IGB54" s="173"/>
      <c r="IGC54" s="173"/>
      <c r="IGD54" s="172"/>
      <c r="IGE54" s="173"/>
      <c r="IGF54" s="173"/>
      <c r="IGG54" s="172"/>
      <c r="IGH54" s="173"/>
      <c r="IGI54" s="173"/>
      <c r="IGJ54" s="172"/>
      <c r="IGK54" s="173"/>
      <c r="IGL54" s="173"/>
      <c r="IGM54" s="172"/>
      <c r="IGN54" s="173"/>
      <c r="IGO54" s="173"/>
      <c r="IGP54" s="172"/>
      <c r="IGQ54" s="173"/>
      <c r="IGR54" s="173"/>
      <c r="IGS54" s="172"/>
      <c r="IGT54" s="173"/>
      <c r="IGU54" s="173"/>
      <c r="IGV54" s="172"/>
      <c r="IGW54" s="173"/>
      <c r="IGX54" s="173"/>
      <c r="IGY54" s="172"/>
      <c r="IGZ54" s="173"/>
      <c r="IHA54" s="173"/>
      <c r="IHB54" s="172"/>
      <c r="IHC54" s="173"/>
      <c r="IHD54" s="173"/>
      <c r="IHE54" s="172"/>
      <c r="IHF54" s="173"/>
      <c r="IHG54" s="173"/>
      <c r="IHH54" s="172"/>
      <c r="IHI54" s="173"/>
      <c r="IHJ54" s="173"/>
      <c r="IHK54" s="172"/>
      <c r="IHL54" s="173"/>
      <c r="IHM54" s="173"/>
      <c r="IHN54" s="172"/>
      <c r="IHO54" s="173"/>
      <c r="IHP54" s="173"/>
      <c r="IHQ54" s="172"/>
      <c r="IHR54" s="173"/>
      <c r="IHS54" s="173"/>
      <c r="IHT54" s="172"/>
      <c r="IHU54" s="173"/>
      <c r="IHV54" s="173"/>
      <c r="IHW54" s="172"/>
      <c r="IHX54" s="173"/>
      <c r="IHY54" s="173"/>
      <c r="IHZ54" s="172"/>
      <c r="IIA54" s="173"/>
      <c r="IIB54" s="173"/>
      <c r="IIC54" s="172"/>
      <c r="IID54" s="173"/>
      <c r="IIE54" s="173"/>
      <c r="IIF54" s="172"/>
      <c r="IIG54" s="173"/>
      <c r="IIH54" s="173"/>
      <c r="III54" s="172"/>
      <c r="IIJ54" s="173"/>
      <c r="IIK54" s="173"/>
      <c r="IIL54" s="172"/>
      <c r="IIM54" s="173"/>
      <c r="IIN54" s="173"/>
      <c r="IIO54" s="172"/>
      <c r="IIP54" s="173"/>
      <c r="IIQ54" s="173"/>
      <c r="IIR54" s="172"/>
      <c r="IIS54" s="173"/>
      <c r="IIT54" s="173"/>
      <c r="IIU54" s="172"/>
      <c r="IIV54" s="173"/>
      <c r="IIW54" s="173"/>
      <c r="IIX54" s="172"/>
      <c r="IIY54" s="173"/>
      <c r="IIZ54" s="173"/>
      <c r="IJA54" s="172"/>
      <c r="IJB54" s="173"/>
      <c r="IJC54" s="173"/>
      <c r="IJD54" s="172"/>
      <c r="IJE54" s="173"/>
      <c r="IJF54" s="173"/>
      <c r="IJG54" s="172"/>
      <c r="IJH54" s="173"/>
      <c r="IJI54" s="173"/>
      <c r="IJJ54" s="172"/>
      <c r="IJK54" s="173"/>
      <c r="IJL54" s="173"/>
      <c r="IJM54" s="172"/>
      <c r="IJN54" s="173"/>
      <c r="IJO54" s="173"/>
      <c r="IJP54" s="172"/>
      <c r="IJQ54" s="173"/>
      <c r="IJR54" s="173"/>
      <c r="IJS54" s="172"/>
      <c r="IJT54" s="173"/>
      <c r="IJU54" s="173"/>
      <c r="IJV54" s="172"/>
      <c r="IJW54" s="173"/>
      <c r="IJX54" s="173"/>
      <c r="IJY54" s="172"/>
      <c r="IJZ54" s="173"/>
      <c r="IKA54" s="173"/>
      <c r="IKB54" s="172"/>
      <c r="IKC54" s="173"/>
      <c r="IKD54" s="173"/>
      <c r="IKE54" s="172"/>
      <c r="IKF54" s="173"/>
      <c r="IKG54" s="173"/>
      <c r="IKH54" s="172"/>
      <c r="IKI54" s="173"/>
      <c r="IKJ54" s="173"/>
      <c r="IKK54" s="172"/>
      <c r="IKL54" s="173"/>
      <c r="IKM54" s="173"/>
      <c r="IKN54" s="172"/>
      <c r="IKO54" s="173"/>
      <c r="IKP54" s="173"/>
      <c r="IKQ54" s="172"/>
      <c r="IKR54" s="173"/>
      <c r="IKS54" s="173"/>
      <c r="IKT54" s="172"/>
      <c r="IKU54" s="173"/>
      <c r="IKV54" s="173"/>
      <c r="IKW54" s="172"/>
      <c r="IKX54" s="173"/>
      <c r="IKY54" s="173"/>
      <c r="IKZ54" s="172"/>
      <c r="ILA54" s="173"/>
      <c r="ILB54" s="173"/>
      <c r="ILC54" s="172"/>
      <c r="ILD54" s="173"/>
      <c r="ILE54" s="173"/>
      <c r="ILF54" s="172"/>
      <c r="ILG54" s="173"/>
      <c r="ILH54" s="173"/>
      <c r="ILI54" s="172"/>
      <c r="ILJ54" s="173"/>
      <c r="ILK54" s="173"/>
      <c r="ILL54" s="172"/>
      <c r="ILM54" s="173"/>
      <c r="ILN54" s="173"/>
      <c r="ILO54" s="172"/>
      <c r="ILP54" s="173"/>
      <c r="ILQ54" s="173"/>
      <c r="ILR54" s="172"/>
      <c r="ILS54" s="173"/>
      <c r="ILT54" s="173"/>
      <c r="ILU54" s="172"/>
      <c r="ILV54" s="173"/>
      <c r="ILW54" s="173"/>
      <c r="ILX54" s="172"/>
      <c r="ILY54" s="173"/>
      <c r="ILZ54" s="173"/>
      <c r="IMA54" s="172"/>
      <c r="IMB54" s="173"/>
      <c r="IMC54" s="173"/>
      <c r="IMD54" s="172"/>
      <c r="IME54" s="173"/>
      <c r="IMF54" s="173"/>
      <c r="IMG54" s="172"/>
      <c r="IMH54" s="173"/>
      <c r="IMI54" s="173"/>
      <c r="IMJ54" s="172"/>
      <c r="IMK54" s="173"/>
      <c r="IML54" s="173"/>
      <c r="IMM54" s="172"/>
      <c r="IMN54" s="173"/>
      <c r="IMO54" s="173"/>
      <c r="IMP54" s="172"/>
      <c r="IMQ54" s="173"/>
      <c r="IMR54" s="173"/>
      <c r="IMS54" s="172"/>
      <c r="IMT54" s="173"/>
      <c r="IMU54" s="173"/>
      <c r="IMV54" s="172"/>
      <c r="IMW54" s="173"/>
      <c r="IMX54" s="173"/>
      <c r="IMY54" s="172"/>
      <c r="IMZ54" s="173"/>
      <c r="INA54" s="173"/>
      <c r="INB54" s="172"/>
      <c r="INC54" s="173"/>
      <c r="IND54" s="173"/>
      <c r="INE54" s="172"/>
      <c r="INF54" s="173"/>
      <c r="ING54" s="173"/>
      <c r="INH54" s="172"/>
      <c r="INI54" s="173"/>
      <c r="INJ54" s="173"/>
      <c r="INK54" s="172"/>
      <c r="INL54" s="173"/>
      <c r="INM54" s="173"/>
      <c r="INN54" s="172"/>
      <c r="INO54" s="173"/>
      <c r="INP54" s="173"/>
      <c r="INQ54" s="172"/>
      <c r="INR54" s="173"/>
      <c r="INS54" s="173"/>
      <c r="INT54" s="172"/>
      <c r="INU54" s="173"/>
      <c r="INV54" s="173"/>
      <c r="INW54" s="172"/>
      <c r="INX54" s="173"/>
      <c r="INY54" s="173"/>
      <c r="INZ54" s="172"/>
      <c r="IOA54" s="173"/>
      <c r="IOB54" s="173"/>
      <c r="IOC54" s="172"/>
      <c r="IOD54" s="173"/>
      <c r="IOE54" s="173"/>
      <c r="IOF54" s="172"/>
      <c r="IOG54" s="173"/>
      <c r="IOH54" s="173"/>
      <c r="IOI54" s="172"/>
      <c r="IOJ54" s="173"/>
      <c r="IOK54" s="173"/>
      <c r="IOL54" s="172"/>
      <c r="IOM54" s="173"/>
      <c r="ION54" s="173"/>
      <c r="IOO54" s="172"/>
      <c r="IOP54" s="173"/>
      <c r="IOQ54" s="173"/>
      <c r="IOR54" s="172"/>
      <c r="IOS54" s="173"/>
      <c r="IOT54" s="173"/>
      <c r="IOU54" s="172"/>
      <c r="IOV54" s="173"/>
      <c r="IOW54" s="173"/>
      <c r="IOX54" s="172"/>
      <c r="IOY54" s="173"/>
      <c r="IOZ54" s="173"/>
      <c r="IPA54" s="172"/>
      <c r="IPB54" s="173"/>
      <c r="IPC54" s="173"/>
      <c r="IPD54" s="172"/>
      <c r="IPE54" s="173"/>
      <c r="IPF54" s="173"/>
      <c r="IPG54" s="172"/>
      <c r="IPH54" s="173"/>
      <c r="IPI54" s="173"/>
      <c r="IPJ54" s="172"/>
      <c r="IPK54" s="173"/>
      <c r="IPL54" s="173"/>
      <c r="IPM54" s="172"/>
      <c r="IPN54" s="173"/>
      <c r="IPO54" s="173"/>
      <c r="IPP54" s="172"/>
      <c r="IPQ54" s="173"/>
      <c r="IPR54" s="173"/>
      <c r="IPS54" s="172"/>
      <c r="IPT54" s="173"/>
      <c r="IPU54" s="173"/>
      <c r="IPV54" s="172"/>
      <c r="IPW54" s="173"/>
      <c r="IPX54" s="173"/>
      <c r="IPY54" s="172"/>
      <c r="IPZ54" s="173"/>
      <c r="IQA54" s="173"/>
      <c r="IQB54" s="172"/>
      <c r="IQC54" s="173"/>
      <c r="IQD54" s="173"/>
      <c r="IQE54" s="172"/>
      <c r="IQF54" s="173"/>
      <c r="IQG54" s="173"/>
      <c r="IQH54" s="172"/>
      <c r="IQI54" s="173"/>
      <c r="IQJ54" s="173"/>
      <c r="IQK54" s="172"/>
      <c r="IQL54" s="173"/>
      <c r="IQM54" s="173"/>
      <c r="IQN54" s="172"/>
      <c r="IQO54" s="173"/>
      <c r="IQP54" s="173"/>
      <c r="IQQ54" s="172"/>
      <c r="IQR54" s="173"/>
      <c r="IQS54" s="173"/>
      <c r="IQT54" s="172"/>
      <c r="IQU54" s="173"/>
      <c r="IQV54" s="173"/>
      <c r="IQW54" s="172"/>
      <c r="IQX54" s="173"/>
      <c r="IQY54" s="173"/>
      <c r="IQZ54" s="172"/>
      <c r="IRA54" s="173"/>
      <c r="IRB54" s="173"/>
      <c r="IRC54" s="172"/>
      <c r="IRD54" s="173"/>
      <c r="IRE54" s="173"/>
      <c r="IRF54" s="172"/>
      <c r="IRG54" s="173"/>
      <c r="IRH54" s="173"/>
      <c r="IRI54" s="172"/>
      <c r="IRJ54" s="173"/>
      <c r="IRK54" s="173"/>
      <c r="IRL54" s="172"/>
      <c r="IRM54" s="173"/>
      <c r="IRN54" s="173"/>
      <c r="IRO54" s="172"/>
      <c r="IRP54" s="173"/>
      <c r="IRQ54" s="173"/>
      <c r="IRR54" s="172"/>
      <c r="IRS54" s="173"/>
      <c r="IRT54" s="173"/>
      <c r="IRU54" s="172"/>
      <c r="IRV54" s="173"/>
      <c r="IRW54" s="173"/>
      <c r="IRX54" s="172"/>
      <c r="IRY54" s="173"/>
      <c r="IRZ54" s="173"/>
      <c r="ISA54" s="172"/>
      <c r="ISB54" s="173"/>
      <c r="ISC54" s="173"/>
      <c r="ISD54" s="172"/>
      <c r="ISE54" s="173"/>
      <c r="ISF54" s="173"/>
      <c r="ISG54" s="172"/>
      <c r="ISH54" s="173"/>
      <c r="ISI54" s="173"/>
      <c r="ISJ54" s="172"/>
      <c r="ISK54" s="173"/>
      <c r="ISL54" s="173"/>
      <c r="ISM54" s="172"/>
      <c r="ISN54" s="173"/>
      <c r="ISO54" s="173"/>
      <c r="ISP54" s="172"/>
      <c r="ISQ54" s="173"/>
      <c r="ISR54" s="173"/>
      <c r="ISS54" s="172"/>
      <c r="IST54" s="173"/>
      <c r="ISU54" s="173"/>
      <c r="ISV54" s="172"/>
      <c r="ISW54" s="173"/>
      <c r="ISX54" s="173"/>
      <c r="ISY54" s="172"/>
      <c r="ISZ54" s="173"/>
      <c r="ITA54" s="173"/>
      <c r="ITB54" s="172"/>
      <c r="ITC54" s="173"/>
      <c r="ITD54" s="173"/>
      <c r="ITE54" s="172"/>
      <c r="ITF54" s="173"/>
      <c r="ITG54" s="173"/>
      <c r="ITH54" s="172"/>
      <c r="ITI54" s="173"/>
      <c r="ITJ54" s="173"/>
      <c r="ITK54" s="172"/>
      <c r="ITL54" s="173"/>
      <c r="ITM54" s="173"/>
      <c r="ITN54" s="172"/>
      <c r="ITO54" s="173"/>
      <c r="ITP54" s="173"/>
      <c r="ITQ54" s="172"/>
      <c r="ITR54" s="173"/>
      <c r="ITS54" s="173"/>
      <c r="ITT54" s="172"/>
      <c r="ITU54" s="173"/>
      <c r="ITV54" s="173"/>
      <c r="ITW54" s="172"/>
      <c r="ITX54" s="173"/>
      <c r="ITY54" s="173"/>
      <c r="ITZ54" s="172"/>
      <c r="IUA54" s="173"/>
      <c r="IUB54" s="173"/>
      <c r="IUC54" s="172"/>
      <c r="IUD54" s="173"/>
      <c r="IUE54" s="173"/>
      <c r="IUF54" s="172"/>
      <c r="IUG54" s="173"/>
      <c r="IUH54" s="173"/>
      <c r="IUI54" s="172"/>
      <c r="IUJ54" s="173"/>
      <c r="IUK54" s="173"/>
      <c r="IUL54" s="172"/>
      <c r="IUM54" s="173"/>
      <c r="IUN54" s="173"/>
      <c r="IUO54" s="172"/>
      <c r="IUP54" s="173"/>
      <c r="IUQ54" s="173"/>
      <c r="IUR54" s="172"/>
      <c r="IUS54" s="173"/>
      <c r="IUT54" s="173"/>
      <c r="IUU54" s="172"/>
      <c r="IUV54" s="173"/>
      <c r="IUW54" s="173"/>
      <c r="IUX54" s="172"/>
      <c r="IUY54" s="173"/>
      <c r="IUZ54" s="173"/>
      <c r="IVA54" s="172"/>
      <c r="IVB54" s="173"/>
      <c r="IVC54" s="173"/>
      <c r="IVD54" s="172"/>
      <c r="IVE54" s="173"/>
      <c r="IVF54" s="173"/>
      <c r="IVG54" s="172"/>
      <c r="IVH54" s="173"/>
      <c r="IVI54" s="173"/>
      <c r="IVJ54" s="172"/>
      <c r="IVK54" s="173"/>
      <c r="IVL54" s="173"/>
      <c r="IVM54" s="172"/>
      <c r="IVN54" s="173"/>
      <c r="IVO54" s="173"/>
      <c r="IVP54" s="172"/>
      <c r="IVQ54" s="173"/>
      <c r="IVR54" s="173"/>
      <c r="IVS54" s="172"/>
      <c r="IVT54" s="173"/>
      <c r="IVU54" s="173"/>
      <c r="IVV54" s="172"/>
      <c r="IVW54" s="173"/>
      <c r="IVX54" s="173"/>
      <c r="IVY54" s="172"/>
      <c r="IVZ54" s="173"/>
      <c r="IWA54" s="173"/>
      <c r="IWB54" s="172"/>
      <c r="IWC54" s="173"/>
      <c r="IWD54" s="173"/>
      <c r="IWE54" s="172"/>
      <c r="IWF54" s="173"/>
      <c r="IWG54" s="173"/>
      <c r="IWH54" s="172"/>
      <c r="IWI54" s="173"/>
      <c r="IWJ54" s="173"/>
      <c r="IWK54" s="172"/>
      <c r="IWL54" s="173"/>
      <c r="IWM54" s="173"/>
      <c r="IWN54" s="172"/>
      <c r="IWO54" s="173"/>
      <c r="IWP54" s="173"/>
      <c r="IWQ54" s="172"/>
      <c r="IWR54" s="173"/>
      <c r="IWS54" s="173"/>
      <c r="IWT54" s="172"/>
      <c r="IWU54" s="173"/>
      <c r="IWV54" s="173"/>
      <c r="IWW54" s="172"/>
      <c r="IWX54" s="173"/>
      <c r="IWY54" s="173"/>
      <c r="IWZ54" s="172"/>
      <c r="IXA54" s="173"/>
      <c r="IXB54" s="173"/>
      <c r="IXC54" s="172"/>
      <c r="IXD54" s="173"/>
      <c r="IXE54" s="173"/>
      <c r="IXF54" s="172"/>
      <c r="IXG54" s="173"/>
      <c r="IXH54" s="173"/>
      <c r="IXI54" s="172"/>
      <c r="IXJ54" s="173"/>
      <c r="IXK54" s="173"/>
      <c r="IXL54" s="172"/>
      <c r="IXM54" s="173"/>
      <c r="IXN54" s="173"/>
      <c r="IXO54" s="172"/>
      <c r="IXP54" s="173"/>
      <c r="IXQ54" s="173"/>
      <c r="IXR54" s="172"/>
      <c r="IXS54" s="173"/>
      <c r="IXT54" s="173"/>
      <c r="IXU54" s="172"/>
      <c r="IXV54" s="173"/>
      <c r="IXW54" s="173"/>
      <c r="IXX54" s="172"/>
      <c r="IXY54" s="173"/>
      <c r="IXZ54" s="173"/>
      <c r="IYA54" s="172"/>
      <c r="IYB54" s="173"/>
      <c r="IYC54" s="173"/>
      <c r="IYD54" s="172"/>
      <c r="IYE54" s="173"/>
      <c r="IYF54" s="173"/>
      <c r="IYG54" s="172"/>
      <c r="IYH54" s="173"/>
      <c r="IYI54" s="173"/>
      <c r="IYJ54" s="172"/>
      <c r="IYK54" s="173"/>
      <c r="IYL54" s="173"/>
      <c r="IYM54" s="172"/>
      <c r="IYN54" s="173"/>
      <c r="IYO54" s="173"/>
      <c r="IYP54" s="172"/>
      <c r="IYQ54" s="173"/>
      <c r="IYR54" s="173"/>
      <c r="IYS54" s="172"/>
      <c r="IYT54" s="173"/>
      <c r="IYU54" s="173"/>
      <c r="IYV54" s="172"/>
      <c r="IYW54" s="173"/>
      <c r="IYX54" s="173"/>
      <c r="IYY54" s="172"/>
      <c r="IYZ54" s="173"/>
      <c r="IZA54" s="173"/>
      <c r="IZB54" s="172"/>
      <c r="IZC54" s="173"/>
      <c r="IZD54" s="173"/>
      <c r="IZE54" s="172"/>
      <c r="IZF54" s="173"/>
      <c r="IZG54" s="173"/>
      <c r="IZH54" s="172"/>
      <c r="IZI54" s="173"/>
      <c r="IZJ54" s="173"/>
      <c r="IZK54" s="172"/>
      <c r="IZL54" s="173"/>
      <c r="IZM54" s="173"/>
      <c r="IZN54" s="172"/>
      <c r="IZO54" s="173"/>
      <c r="IZP54" s="173"/>
      <c r="IZQ54" s="172"/>
      <c r="IZR54" s="173"/>
      <c r="IZS54" s="173"/>
      <c r="IZT54" s="172"/>
      <c r="IZU54" s="173"/>
      <c r="IZV54" s="173"/>
      <c r="IZW54" s="172"/>
      <c r="IZX54" s="173"/>
      <c r="IZY54" s="173"/>
      <c r="IZZ54" s="172"/>
      <c r="JAA54" s="173"/>
      <c r="JAB54" s="173"/>
      <c r="JAC54" s="172"/>
      <c r="JAD54" s="173"/>
      <c r="JAE54" s="173"/>
      <c r="JAF54" s="172"/>
      <c r="JAG54" s="173"/>
      <c r="JAH54" s="173"/>
      <c r="JAI54" s="172"/>
      <c r="JAJ54" s="173"/>
      <c r="JAK54" s="173"/>
      <c r="JAL54" s="172"/>
      <c r="JAM54" s="173"/>
      <c r="JAN54" s="173"/>
      <c r="JAO54" s="172"/>
      <c r="JAP54" s="173"/>
      <c r="JAQ54" s="173"/>
      <c r="JAR54" s="172"/>
      <c r="JAS54" s="173"/>
      <c r="JAT54" s="173"/>
      <c r="JAU54" s="172"/>
      <c r="JAV54" s="173"/>
      <c r="JAW54" s="173"/>
      <c r="JAX54" s="172"/>
      <c r="JAY54" s="173"/>
      <c r="JAZ54" s="173"/>
      <c r="JBA54" s="172"/>
      <c r="JBB54" s="173"/>
      <c r="JBC54" s="173"/>
      <c r="JBD54" s="172"/>
      <c r="JBE54" s="173"/>
      <c r="JBF54" s="173"/>
      <c r="JBG54" s="172"/>
      <c r="JBH54" s="173"/>
      <c r="JBI54" s="173"/>
      <c r="JBJ54" s="172"/>
      <c r="JBK54" s="173"/>
      <c r="JBL54" s="173"/>
      <c r="JBM54" s="172"/>
      <c r="JBN54" s="173"/>
      <c r="JBO54" s="173"/>
      <c r="JBP54" s="172"/>
      <c r="JBQ54" s="173"/>
      <c r="JBR54" s="173"/>
      <c r="JBS54" s="172"/>
      <c r="JBT54" s="173"/>
      <c r="JBU54" s="173"/>
      <c r="JBV54" s="172"/>
      <c r="JBW54" s="173"/>
      <c r="JBX54" s="173"/>
      <c r="JBY54" s="172"/>
      <c r="JBZ54" s="173"/>
      <c r="JCA54" s="173"/>
      <c r="JCB54" s="172"/>
      <c r="JCC54" s="173"/>
      <c r="JCD54" s="173"/>
      <c r="JCE54" s="172"/>
      <c r="JCF54" s="173"/>
      <c r="JCG54" s="173"/>
      <c r="JCH54" s="172"/>
      <c r="JCI54" s="173"/>
      <c r="JCJ54" s="173"/>
      <c r="JCK54" s="172"/>
      <c r="JCL54" s="173"/>
      <c r="JCM54" s="173"/>
      <c r="JCN54" s="172"/>
      <c r="JCO54" s="173"/>
      <c r="JCP54" s="173"/>
      <c r="JCQ54" s="172"/>
      <c r="JCR54" s="173"/>
      <c r="JCS54" s="173"/>
      <c r="JCT54" s="172"/>
      <c r="JCU54" s="173"/>
      <c r="JCV54" s="173"/>
      <c r="JCW54" s="172"/>
      <c r="JCX54" s="173"/>
      <c r="JCY54" s="173"/>
      <c r="JCZ54" s="172"/>
      <c r="JDA54" s="173"/>
      <c r="JDB54" s="173"/>
      <c r="JDC54" s="172"/>
      <c r="JDD54" s="173"/>
      <c r="JDE54" s="173"/>
      <c r="JDF54" s="172"/>
      <c r="JDG54" s="173"/>
      <c r="JDH54" s="173"/>
      <c r="JDI54" s="172"/>
      <c r="JDJ54" s="173"/>
      <c r="JDK54" s="173"/>
      <c r="JDL54" s="172"/>
      <c r="JDM54" s="173"/>
      <c r="JDN54" s="173"/>
      <c r="JDO54" s="172"/>
      <c r="JDP54" s="173"/>
      <c r="JDQ54" s="173"/>
      <c r="JDR54" s="172"/>
      <c r="JDS54" s="173"/>
      <c r="JDT54" s="173"/>
      <c r="JDU54" s="172"/>
      <c r="JDV54" s="173"/>
      <c r="JDW54" s="173"/>
      <c r="JDX54" s="172"/>
      <c r="JDY54" s="173"/>
      <c r="JDZ54" s="173"/>
      <c r="JEA54" s="172"/>
      <c r="JEB54" s="173"/>
      <c r="JEC54" s="173"/>
      <c r="JED54" s="172"/>
      <c r="JEE54" s="173"/>
      <c r="JEF54" s="173"/>
      <c r="JEG54" s="172"/>
      <c r="JEH54" s="173"/>
      <c r="JEI54" s="173"/>
      <c r="JEJ54" s="172"/>
      <c r="JEK54" s="173"/>
      <c r="JEL54" s="173"/>
      <c r="JEM54" s="172"/>
      <c r="JEN54" s="173"/>
      <c r="JEO54" s="173"/>
      <c r="JEP54" s="172"/>
      <c r="JEQ54" s="173"/>
      <c r="JER54" s="173"/>
      <c r="JES54" s="172"/>
      <c r="JET54" s="173"/>
      <c r="JEU54" s="173"/>
      <c r="JEV54" s="172"/>
      <c r="JEW54" s="173"/>
      <c r="JEX54" s="173"/>
      <c r="JEY54" s="172"/>
      <c r="JEZ54" s="173"/>
      <c r="JFA54" s="173"/>
      <c r="JFB54" s="172"/>
      <c r="JFC54" s="173"/>
      <c r="JFD54" s="173"/>
      <c r="JFE54" s="172"/>
      <c r="JFF54" s="173"/>
      <c r="JFG54" s="173"/>
      <c r="JFH54" s="172"/>
      <c r="JFI54" s="173"/>
      <c r="JFJ54" s="173"/>
      <c r="JFK54" s="172"/>
      <c r="JFL54" s="173"/>
      <c r="JFM54" s="173"/>
      <c r="JFN54" s="172"/>
      <c r="JFO54" s="173"/>
      <c r="JFP54" s="173"/>
      <c r="JFQ54" s="172"/>
      <c r="JFR54" s="173"/>
      <c r="JFS54" s="173"/>
      <c r="JFT54" s="172"/>
      <c r="JFU54" s="173"/>
      <c r="JFV54" s="173"/>
      <c r="JFW54" s="172"/>
      <c r="JFX54" s="173"/>
      <c r="JFY54" s="173"/>
      <c r="JFZ54" s="172"/>
      <c r="JGA54" s="173"/>
      <c r="JGB54" s="173"/>
      <c r="JGC54" s="172"/>
      <c r="JGD54" s="173"/>
      <c r="JGE54" s="173"/>
      <c r="JGF54" s="172"/>
      <c r="JGG54" s="173"/>
      <c r="JGH54" s="173"/>
      <c r="JGI54" s="172"/>
      <c r="JGJ54" s="173"/>
      <c r="JGK54" s="173"/>
      <c r="JGL54" s="172"/>
      <c r="JGM54" s="173"/>
      <c r="JGN54" s="173"/>
      <c r="JGO54" s="172"/>
      <c r="JGP54" s="173"/>
      <c r="JGQ54" s="173"/>
      <c r="JGR54" s="172"/>
      <c r="JGS54" s="173"/>
      <c r="JGT54" s="173"/>
      <c r="JGU54" s="172"/>
      <c r="JGV54" s="173"/>
      <c r="JGW54" s="173"/>
      <c r="JGX54" s="172"/>
      <c r="JGY54" s="173"/>
      <c r="JGZ54" s="173"/>
      <c r="JHA54" s="172"/>
      <c r="JHB54" s="173"/>
      <c r="JHC54" s="173"/>
      <c r="JHD54" s="172"/>
      <c r="JHE54" s="173"/>
      <c r="JHF54" s="173"/>
      <c r="JHG54" s="172"/>
      <c r="JHH54" s="173"/>
      <c r="JHI54" s="173"/>
      <c r="JHJ54" s="172"/>
      <c r="JHK54" s="173"/>
      <c r="JHL54" s="173"/>
      <c r="JHM54" s="172"/>
      <c r="JHN54" s="173"/>
      <c r="JHO54" s="173"/>
      <c r="JHP54" s="172"/>
      <c r="JHQ54" s="173"/>
      <c r="JHR54" s="173"/>
      <c r="JHS54" s="172"/>
      <c r="JHT54" s="173"/>
      <c r="JHU54" s="173"/>
      <c r="JHV54" s="172"/>
      <c r="JHW54" s="173"/>
      <c r="JHX54" s="173"/>
      <c r="JHY54" s="172"/>
      <c r="JHZ54" s="173"/>
      <c r="JIA54" s="173"/>
      <c r="JIB54" s="172"/>
      <c r="JIC54" s="173"/>
      <c r="JID54" s="173"/>
      <c r="JIE54" s="172"/>
      <c r="JIF54" s="173"/>
      <c r="JIG54" s="173"/>
      <c r="JIH54" s="172"/>
      <c r="JII54" s="173"/>
      <c r="JIJ54" s="173"/>
      <c r="JIK54" s="172"/>
      <c r="JIL54" s="173"/>
      <c r="JIM54" s="173"/>
      <c r="JIN54" s="172"/>
      <c r="JIO54" s="173"/>
      <c r="JIP54" s="173"/>
      <c r="JIQ54" s="172"/>
      <c r="JIR54" s="173"/>
      <c r="JIS54" s="173"/>
      <c r="JIT54" s="172"/>
      <c r="JIU54" s="173"/>
      <c r="JIV54" s="173"/>
      <c r="JIW54" s="172"/>
      <c r="JIX54" s="173"/>
      <c r="JIY54" s="173"/>
      <c r="JIZ54" s="172"/>
      <c r="JJA54" s="173"/>
      <c r="JJB54" s="173"/>
      <c r="JJC54" s="172"/>
      <c r="JJD54" s="173"/>
      <c r="JJE54" s="173"/>
      <c r="JJF54" s="172"/>
      <c r="JJG54" s="173"/>
      <c r="JJH54" s="173"/>
      <c r="JJI54" s="172"/>
      <c r="JJJ54" s="173"/>
      <c r="JJK54" s="173"/>
      <c r="JJL54" s="172"/>
      <c r="JJM54" s="173"/>
      <c r="JJN54" s="173"/>
      <c r="JJO54" s="172"/>
      <c r="JJP54" s="173"/>
      <c r="JJQ54" s="173"/>
      <c r="JJR54" s="172"/>
      <c r="JJS54" s="173"/>
      <c r="JJT54" s="173"/>
      <c r="JJU54" s="172"/>
      <c r="JJV54" s="173"/>
      <c r="JJW54" s="173"/>
      <c r="JJX54" s="172"/>
      <c r="JJY54" s="173"/>
      <c r="JJZ54" s="173"/>
      <c r="JKA54" s="172"/>
      <c r="JKB54" s="173"/>
      <c r="JKC54" s="173"/>
      <c r="JKD54" s="172"/>
      <c r="JKE54" s="173"/>
      <c r="JKF54" s="173"/>
      <c r="JKG54" s="172"/>
      <c r="JKH54" s="173"/>
      <c r="JKI54" s="173"/>
      <c r="JKJ54" s="172"/>
      <c r="JKK54" s="173"/>
      <c r="JKL54" s="173"/>
      <c r="JKM54" s="172"/>
      <c r="JKN54" s="173"/>
      <c r="JKO54" s="173"/>
      <c r="JKP54" s="172"/>
      <c r="JKQ54" s="173"/>
      <c r="JKR54" s="173"/>
      <c r="JKS54" s="172"/>
      <c r="JKT54" s="173"/>
      <c r="JKU54" s="173"/>
      <c r="JKV54" s="172"/>
      <c r="JKW54" s="173"/>
      <c r="JKX54" s="173"/>
      <c r="JKY54" s="172"/>
      <c r="JKZ54" s="173"/>
      <c r="JLA54" s="173"/>
      <c r="JLB54" s="172"/>
      <c r="JLC54" s="173"/>
      <c r="JLD54" s="173"/>
      <c r="JLE54" s="172"/>
      <c r="JLF54" s="173"/>
      <c r="JLG54" s="173"/>
      <c r="JLH54" s="172"/>
      <c r="JLI54" s="173"/>
      <c r="JLJ54" s="173"/>
      <c r="JLK54" s="172"/>
      <c r="JLL54" s="173"/>
      <c r="JLM54" s="173"/>
      <c r="JLN54" s="172"/>
      <c r="JLO54" s="173"/>
      <c r="JLP54" s="173"/>
      <c r="JLQ54" s="172"/>
      <c r="JLR54" s="173"/>
      <c r="JLS54" s="173"/>
      <c r="JLT54" s="172"/>
      <c r="JLU54" s="173"/>
      <c r="JLV54" s="173"/>
      <c r="JLW54" s="172"/>
      <c r="JLX54" s="173"/>
      <c r="JLY54" s="173"/>
      <c r="JLZ54" s="172"/>
      <c r="JMA54" s="173"/>
      <c r="JMB54" s="173"/>
      <c r="JMC54" s="172"/>
      <c r="JMD54" s="173"/>
      <c r="JME54" s="173"/>
      <c r="JMF54" s="172"/>
      <c r="JMG54" s="173"/>
      <c r="JMH54" s="173"/>
      <c r="JMI54" s="172"/>
      <c r="JMJ54" s="173"/>
      <c r="JMK54" s="173"/>
      <c r="JML54" s="172"/>
      <c r="JMM54" s="173"/>
      <c r="JMN54" s="173"/>
      <c r="JMO54" s="172"/>
      <c r="JMP54" s="173"/>
      <c r="JMQ54" s="173"/>
      <c r="JMR54" s="172"/>
      <c r="JMS54" s="173"/>
      <c r="JMT54" s="173"/>
      <c r="JMU54" s="172"/>
      <c r="JMV54" s="173"/>
      <c r="JMW54" s="173"/>
      <c r="JMX54" s="172"/>
      <c r="JMY54" s="173"/>
      <c r="JMZ54" s="173"/>
      <c r="JNA54" s="172"/>
      <c r="JNB54" s="173"/>
      <c r="JNC54" s="173"/>
      <c r="JND54" s="172"/>
      <c r="JNE54" s="173"/>
      <c r="JNF54" s="173"/>
      <c r="JNG54" s="172"/>
      <c r="JNH54" s="173"/>
      <c r="JNI54" s="173"/>
      <c r="JNJ54" s="172"/>
      <c r="JNK54" s="173"/>
      <c r="JNL54" s="173"/>
      <c r="JNM54" s="172"/>
      <c r="JNN54" s="173"/>
      <c r="JNO54" s="173"/>
      <c r="JNP54" s="172"/>
      <c r="JNQ54" s="173"/>
      <c r="JNR54" s="173"/>
      <c r="JNS54" s="172"/>
      <c r="JNT54" s="173"/>
      <c r="JNU54" s="173"/>
      <c r="JNV54" s="172"/>
      <c r="JNW54" s="173"/>
      <c r="JNX54" s="173"/>
      <c r="JNY54" s="172"/>
      <c r="JNZ54" s="173"/>
      <c r="JOA54" s="173"/>
      <c r="JOB54" s="172"/>
      <c r="JOC54" s="173"/>
      <c r="JOD54" s="173"/>
      <c r="JOE54" s="172"/>
      <c r="JOF54" s="173"/>
      <c r="JOG54" s="173"/>
      <c r="JOH54" s="172"/>
      <c r="JOI54" s="173"/>
      <c r="JOJ54" s="173"/>
      <c r="JOK54" s="172"/>
      <c r="JOL54" s="173"/>
      <c r="JOM54" s="173"/>
      <c r="JON54" s="172"/>
      <c r="JOO54" s="173"/>
      <c r="JOP54" s="173"/>
      <c r="JOQ54" s="172"/>
      <c r="JOR54" s="173"/>
      <c r="JOS54" s="173"/>
      <c r="JOT54" s="172"/>
      <c r="JOU54" s="173"/>
      <c r="JOV54" s="173"/>
      <c r="JOW54" s="172"/>
      <c r="JOX54" s="173"/>
      <c r="JOY54" s="173"/>
      <c r="JOZ54" s="172"/>
      <c r="JPA54" s="173"/>
      <c r="JPB54" s="173"/>
      <c r="JPC54" s="172"/>
      <c r="JPD54" s="173"/>
      <c r="JPE54" s="173"/>
      <c r="JPF54" s="172"/>
      <c r="JPG54" s="173"/>
      <c r="JPH54" s="173"/>
      <c r="JPI54" s="172"/>
      <c r="JPJ54" s="173"/>
      <c r="JPK54" s="173"/>
      <c r="JPL54" s="172"/>
      <c r="JPM54" s="173"/>
      <c r="JPN54" s="173"/>
      <c r="JPO54" s="172"/>
      <c r="JPP54" s="173"/>
      <c r="JPQ54" s="173"/>
      <c r="JPR54" s="172"/>
      <c r="JPS54" s="173"/>
      <c r="JPT54" s="173"/>
      <c r="JPU54" s="172"/>
      <c r="JPV54" s="173"/>
      <c r="JPW54" s="173"/>
      <c r="JPX54" s="172"/>
      <c r="JPY54" s="173"/>
      <c r="JPZ54" s="173"/>
      <c r="JQA54" s="172"/>
      <c r="JQB54" s="173"/>
      <c r="JQC54" s="173"/>
      <c r="JQD54" s="172"/>
      <c r="JQE54" s="173"/>
      <c r="JQF54" s="173"/>
      <c r="JQG54" s="172"/>
      <c r="JQH54" s="173"/>
      <c r="JQI54" s="173"/>
      <c r="JQJ54" s="172"/>
      <c r="JQK54" s="173"/>
      <c r="JQL54" s="173"/>
      <c r="JQM54" s="172"/>
      <c r="JQN54" s="173"/>
      <c r="JQO54" s="173"/>
      <c r="JQP54" s="172"/>
      <c r="JQQ54" s="173"/>
      <c r="JQR54" s="173"/>
      <c r="JQS54" s="172"/>
      <c r="JQT54" s="173"/>
      <c r="JQU54" s="173"/>
      <c r="JQV54" s="172"/>
      <c r="JQW54" s="173"/>
      <c r="JQX54" s="173"/>
      <c r="JQY54" s="172"/>
      <c r="JQZ54" s="173"/>
      <c r="JRA54" s="173"/>
      <c r="JRB54" s="172"/>
      <c r="JRC54" s="173"/>
      <c r="JRD54" s="173"/>
      <c r="JRE54" s="172"/>
      <c r="JRF54" s="173"/>
      <c r="JRG54" s="173"/>
      <c r="JRH54" s="172"/>
      <c r="JRI54" s="173"/>
      <c r="JRJ54" s="173"/>
      <c r="JRK54" s="172"/>
      <c r="JRL54" s="173"/>
      <c r="JRM54" s="173"/>
      <c r="JRN54" s="172"/>
      <c r="JRO54" s="173"/>
      <c r="JRP54" s="173"/>
      <c r="JRQ54" s="172"/>
      <c r="JRR54" s="173"/>
      <c r="JRS54" s="173"/>
      <c r="JRT54" s="172"/>
      <c r="JRU54" s="173"/>
      <c r="JRV54" s="173"/>
      <c r="JRW54" s="172"/>
      <c r="JRX54" s="173"/>
      <c r="JRY54" s="173"/>
      <c r="JRZ54" s="172"/>
      <c r="JSA54" s="173"/>
      <c r="JSB54" s="173"/>
      <c r="JSC54" s="172"/>
      <c r="JSD54" s="173"/>
      <c r="JSE54" s="173"/>
      <c r="JSF54" s="172"/>
      <c r="JSG54" s="173"/>
      <c r="JSH54" s="173"/>
      <c r="JSI54" s="172"/>
      <c r="JSJ54" s="173"/>
      <c r="JSK54" s="173"/>
      <c r="JSL54" s="172"/>
      <c r="JSM54" s="173"/>
      <c r="JSN54" s="173"/>
      <c r="JSO54" s="172"/>
      <c r="JSP54" s="173"/>
      <c r="JSQ54" s="173"/>
      <c r="JSR54" s="172"/>
      <c r="JSS54" s="173"/>
      <c r="JST54" s="173"/>
      <c r="JSU54" s="172"/>
      <c r="JSV54" s="173"/>
      <c r="JSW54" s="173"/>
      <c r="JSX54" s="172"/>
      <c r="JSY54" s="173"/>
      <c r="JSZ54" s="173"/>
      <c r="JTA54" s="172"/>
      <c r="JTB54" s="173"/>
      <c r="JTC54" s="173"/>
      <c r="JTD54" s="172"/>
      <c r="JTE54" s="173"/>
      <c r="JTF54" s="173"/>
      <c r="JTG54" s="172"/>
      <c r="JTH54" s="173"/>
      <c r="JTI54" s="173"/>
      <c r="JTJ54" s="172"/>
      <c r="JTK54" s="173"/>
      <c r="JTL54" s="173"/>
      <c r="JTM54" s="172"/>
      <c r="JTN54" s="173"/>
      <c r="JTO54" s="173"/>
      <c r="JTP54" s="172"/>
      <c r="JTQ54" s="173"/>
      <c r="JTR54" s="173"/>
      <c r="JTS54" s="172"/>
      <c r="JTT54" s="173"/>
      <c r="JTU54" s="173"/>
      <c r="JTV54" s="172"/>
      <c r="JTW54" s="173"/>
      <c r="JTX54" s="173"/>
      <c r="JTY54" s="172"/>
      <c r="JTZ54" s="173"/>
      <c r="JUA54" s="173"/>
      <c r="JUB54" s="172"/>
      <c r="JUC54" s="173"/>
      <c r="JUD54" s="173"/>
      <c r="JUE54" s="172"/>
      <c r="JUF54" s="173"/>
      <c r="JUG54" s="173"/>
      <c r="JUH54" s="172"/>
      <c r="JUI54" s="173"/>
      <c r="JUJ54" s="173"/>
      <c r="JUK54" s="172"/>
      <c r="JUL54" s="173"/>
      <c r="JUM54" s="173"/>
      <c r="JUN54" s="172"/>
      <c r="JUO54" s="173"/>
      <c r="JUP54" s="173"/>
      <c r="JUQ54" s="172"/>
      <c r="JUR54" s="173"/>
      <c r="JUS54" s="173"/>
      <c r="JUT54" s="172"/>
      <c r="JUU54" s="173"/>
      <c r="JUV54" s="173"/>
      <c r="JUW54" s="172"/>
      <c r="JUX54" s="173"/>
      <c r="JUY54" s="173"/>
      <c r="JUZ54" s="172"/>
      <c r="JVA54" s="173"/>
      <c r="JVB54" s="173"/>
      <c r="JVC54" s="172"/>
      <c r="JVD54" s="173"/>
      <c r="JVE54" s="173"/>
      <c r="JVF54" s="172"/>
      <c r="JVG54" s="173"/>
      <c r="JVH54" s="173"/>
      <c r="JVI54" s="172"/>
      <c r="JVJ54" s="173"/>
      <c r="JVK54" s="173"/>
      <c r="JVL54" s="172"/>
      <c r="JVM54" s="173"/>
      <c r="JVN54" s="173"/>
      <c r="JVO54" s="172"/>
      <c r="JVP54" s="173"/>
      <c r="JVQ54" s="173"/>
      <c r="JVR54" s="172"/>
      <c r="JVS54" s="173"/>
      <c r="JVT54" s="173"/>
      <c r="JVU54" s="172"/>
      <c r="JVV54" s="173"/>
      <c r="JVW54" s="173"/>
      <c r="JVX54" s="172"/>
      <c r="JVY54" s="173"/>
      <c r="JVZ54" s="173"/>
      <c r="JWA54" s="172"/>
      <c r="JWB54" s="173"/>
      <c r="JWC54" s="173"/>
      <c r="JWD54" s="172"/>
      <c r="JWE54" s="173"/>
      <c r="JWF54" s="173"/>
      <c r="JWG54" s="172"/>
      <c r="JWH54" s="173"/>
      <c r="JWI54" s="173"/>
      <c r="JWJ54" s="172"/>
      <c r="JWK54" s="173"/>
      <c r="JWL54" s="173"/>
      <c r="JWM54" s="172"/>
      <c r="JWN54" s="173"/>
      <c r="JWO54" s="173"/>
      <c r="JWP54" s="172"/>
      <c r="JWQ54" s="173"/>
      <c r="JWR54" s="173"/>
      <c r="JWS54" s="172"/>
      <c r="JWT54" s="173"/>
      <c r="JWU54" s="173"/>
      <c r="JWV54" s="172"/>
      <c r="JWW54" s="173"/>
      <c r="JWX54" s="173"/>
      <c r="JWY54" s="172"/>
      <c r="JWZ54" s="173"/>
      <c r="JXA54" s="173"/>
      <c r="JXB54" s="172"/>
      <c r="JXC54" s="173"/>
      <c r="JXD54" s="173"/>
      <c r="JXE54" s="172"/>
      <c r="JXF54" s="173"/>
      <c r="JXG54" s="173"/>
      <c r="JXH54" s="172"/>
      <c r="JXI54" s="173"/>
      <c r="JXJ54" s="173"/>
      <c r="JXK54" s="172"/>
      <c r="JXL54" s="173"/>
      <c r="JXM54" s="173"/>
      <c r="JXN54" s="172"/>
      <c r="JXO54" s="173"/>
      <c r="JXP54" s="173"/>
      <c r="JXQ54" s="172"/>
      <c r="JXR54" s="173"/>
      <c r="JXS54" s="173"/>
      <c r="JXT54" s="172"/>
      <c r="JXU54" s="173"/>
      <c r="JXV54" s="173"/>
      <c r="JXW54" s="172"/>
      <c r="JXX54" s="173"/>
      <c r="JXY54" s="173"/>
      <c r="JXZ54" s="172"/>
      <c r="JYA54" s="173"/>
      <c r="JYB54" s="173"/>
      <c r="JYC54" s="172"/>
      <c r="JYD54" s="173"/>
      <c r="JYE54" s="173"/>
      <c r="JYF54" s="172"/>
      <c r="JYG54" s="173"/>
      <c r="JYH54" s="173"/>
      <c r="JYI54" s="172"/>
      <c r="JYJ54" s="173"/>
      <c r="JYK54" s="173"/>
      <c r="JYL54" s="172"/>
      <c r="JYM54" s="173"/>
      <c r="JYN54" s="173"/>
      <c r="JYO54" s="172"/>
      <c r="JYP54" s="173"/>
      <c r="JYQ54" s="173"/>
      <c r="JYR54" s="172"/>
      <c r="JYS54" s="173"/>
      <c r="JYT54" s="173"/>
      <c r="JYU54" s="172"/>
      <c r="JYV54" s="173"/>
      <c r="JYW54" s="173"/>
      <c r="JYX54" s="172"/>
      <c r="JYY54" s="173"/>
      <c r="JYZ54" s="173"/>
      <c r="JZA54" s="172"/>
      <c r="JZB54" s="173"/>
      <c r="JZC54" s="173"/>
      <c r="JZD54" s="172"/>
      <c r="JZE54" s="173"/>
      <c r="JZF54" s="173"/>
      <c r="JZG54" s="172"/>
      <c r="JZH54" s="173"/>
      <c r="JZI54" s="173"/>
      <c r="JZJ54" s="172"/>
      <c r="JZK54" s="173"/>
      <c r="JZL54" s="173"/>
      <c r="JZM54" s="172"/>
      <c r="JZN54" s="173"/>
      <c r="JZO54" s="173"/>
      <c r="JZP54" s="172"/>
      <c r="JZQ54" s="173"/>
      <c r="JZR54" s="173"/>
      <c r="JZS54" s="172"/>
      <c r="JZT54" s="173"/>
      <c r="JZU54" s="173"/>
      <c r="JZV54" s="172"/>
      <c r="JZW54" s="173"/>
      <c r="JZX54" s="173"/>
      <c r="JZY54" s="172"/>
      <c r="JZZ54" s="173"/>
      <c r="KAA54" s="173"/>
      <c r="KAB54" s="172"/>
      <c r="KAC54" s="173"/>
      <c r="KAD54" s="173"/>
      <c r="KAE54" s="172"/>
      <c r="KAF54" s="173"/>
      <c r="KAG54" s="173"/>
      <c r="KAH54" s="172"/>
      <c r="KAI54" s="173"/>
      <c r="KAJ54" s="173"/>
      <c r="KAK54" s="172"/>
      <c r="KAL54" s="173"/>
      <c r="KAM54" s="173"/>
      <c r="KAN54" s="172"/>
      <c r="KAO54" s="173"/>
      <c r="KAP54" s="173"/>
      <c r="KAQ54" s="172"/>
      <c r="KAR54" s="173"/>
      <c r="KAS54" s="173"/>
      <c r="KAT54" s="172"/>
      <c r="KAU54" s="173"/>
      <c r="KAV54" s="173"/>
      <c r="KAW54" s="172"/>
      <c r="KAX54" s="173"/>
      <c r="KAY54" s="173"/>
      <c r="KAZ54" s="172"/>
      <c r="KBA54" s="173"/>
      <c r="KBB54" s="173"/>
      <c r="KBC54" s="172"/>
      <c r="KBD54" s="173"/>
      <c r="KBE54" s="173"/>
      <c r="KBF54" s="172"/>
      <c r="KBG54" s="173"/>
      <c r="KBH54" s="173"/>
      <c r="KBI54" s="172"/>
      <c r="KBJ54" s="173"/>
      <c r="KBK54" s="173"/>
      <c r="KBL54" s="172"/>
      <c r="KBM54" s="173"/>
      <c r="KBN54" s="173"/>
      <c r="KBO54" s="172"/>
      <c r="KBP54" s="173"/>
      <c r="KBQ54" s="173"/>
      <c r="KBR54" s="172"/>
      <c r="KBS54" s="173"/>
      <c r="KBT54" s="173"/>
      <c r="KBU54" s="172"/>
      <c r="KBV54" s="173"/>
      <c r="KBW54" s="173"/>
      <c r="KBX54" s="172"/>
      <c r="KBY54" s="173"/>
      <c r="KBZ54" s="173"/>
      <c r="KCA54" s="172"/>
      <c r="KCB54" s="173"/>
      <c r="KCC54" s="173"/>
      <c r="KCD54" s="172"/>
      <c r="KCE54" s="173"/>
      <c r="KCF54" s="173"/>
      <c r="KCG54" s="172"/>
      <c r="KCH54" s="173"/>
      <c r="KCI54" s="173"/>
      <c r="KCJ54" s="172"/>
      <c r="KCK54" s="173"/>
      <c r="KCL54" s="173"/>
      <c r="KCM54" s="172"/>
      <c r="KCN54" s="173"/>
      <c r="KCO54" s="173"/>
      <c r="KCP54" s="172"/>
      <c r="KCQ54" s="173"/>
      <c r="KCR54" s="173"/>
      <c r="KCS54" s="172"/>
      <c r="KCT54" s="173"/>
      <c r="KCU54" s="173"/>
      <c r="KCV54" s="172"/>
      <c r="KCW54" s="173"/>
      <c r="KCX54" s="173"/>
      <c r="KCY54" s="172"/>
      <c r="KCZ54" s="173"/>
      <c r="KDA54" s="173"/>
      <c r="KDB54" s="172"/>
      <c r="KDC54" s="173"/>
      <c r="KDD54" s="173"/>
      <c r="KDE54" s="172"/>
      <c r="KDF54" s="173"/>
      <c r="KDG54" s="173"/>
      <c r="KDH54" s="172"/>
      <c r="KDI54" s="173"/>
      <c r="KDJ54" s="173"/>
      <c r="KDK54" s="172"/>
      <c r="KDL54" s="173"/>
      <c r="KDM54" s="173"/>
      <c r="KDN54" s="172"/>
      <c r="KDO54" s="173"/>
      <c r="KDP54" s="173"/>
      <c r="KDQ54" s="172"/>
      <c r="KDR54" s="173"/>
      <c r="KDS54" s="173"/>
      <c r="KDT54" s="172"/>
      <c r="KDU54" s="173"/>
      <c r="KDV54" s="173"/>
      <c r="KDW54" s="172"/>
      <c r="KDX54" s="173"/>
      <c r="KDY54" s="173"/>
      <c r="KDZ54" s="172"/>
      <c r="KEA54" s="173"/>
      <c r="KEB54" s="173"/>
      <c r="KEC54" s="172"/>
      <c r="KED54" s="173"/>
      <c r="KEE54" s="173"/>
      <c r="KEF54" s="172"/>
      <c r="KEG54" s="173"/>
      <c r="KEH54" s="173"/>
      <c r="KEI54" s="172"/>
      <c r="KEJ54" s="173"/>
      <c r="KEK54" s="173"/>
      <c r="KEL54" s="172"/>
      <c r="KEM54" s="173"/>
      <c r="KEN54" s="173"/>
      <c r="KEO54" s="172"/>
      <c r="KEP54" s="173"/>
      <c r="KEQ54" s="173"/>
      <c r="KER54" s="172"/>
      <c r="KES54" s="173"/>
      <c r="KET54" s="173"/>
      <c r="KEU54" s="172"/>
      <c r="KEV54" s="173"/>
      <c r="KEW54" s="173"/>
      <c r="KEX54" s="172"/>
      <c r="KEY54" s="173"/>
      <c r="KEZ54" s="173"/>
      <c r="KFA54" s="172"/>
      <c r="KFB54" s="173"/>
      <c r="KFC54" s="173"/>
      <c r="KFD54" s="172"/>
      <c r="KFE54" s="173"/>
      <c r="KFF54" s="173"/>
      <c r="KFG54" s="172"/>
      <c r="KFH54" s="173"/>
      <c r="KFI54" s="173"/>
      <c r="KFJ54" s="172"/>
      <c r="KFK54" s="173"/>
      <c r="KFL54" s="173"/>
      <c r="KFM54" s="172"/>
      <c r="KFN54" s="173"/>
      <c r="KFO54" s="173"/>
      <c r="KFP54" s="172"/>
      <c r="KFQ54" s="173"/>
      <c r="KFR54" s="173"/>
      <c r="KFS54" s="172"/>
      <c r="KFT54" s="173"/>
      <c r="KFU54" s="173"/>
      <c r="KFV54" s="172"/>
      <c r="KFW54" s="173"/>
      <c r="KFX54" s="173"/>
      <c r="KFY54" s="172"/>
      <c r="KFZ54" s="173"/>
      <c r="KGA54" s="173"/>
      <c r="KGB54" s="172"/>
      <c r="KGC54" s="173"/>
      <c r="KGD54" s="173"/>
      <c r="KGE54" s="172"/>
      <c r="KGF54" s="173"/>
      <c r="KGG54" s="173"/>
      <c r="KGH54" s="172"/>
      <c r="KGI54" s="173"/>
      <c r="KGJ54" s="173"/>
      <c r="KGK54" s="172"/>
      <c r="KGL54" s="173"/>
      <c r="KGM54" s="173"/>
      <c r="KGN54" s="172"/>
      <c r="KGO54" s="173"/>
      <c r="KGP54" s="173"/>
      <c r="KGQ54" s="172"/>
      <c r="KGR54" s="173"/>
      <c r="KGS54" s="173"/>
      <c r="KGT54" s="172"/>
      <c r="KGU54" s="173"/>
      <c r="KGV54" s="173"/>
      <c r="KGW54" s="172"/>
      <c r="KGX54" s="173"/>
      <c r="KGY54" s="173"/>
      <c r="KGZ54" s="172"/>
      <c r="KHA54" s="173"/>
      <c r="KHB54" s="173"/>
      <c r="KHC54" s="172"/>
      <c r="KHD54" s="173"/>
      <c r="KHE54" s="173"/>
      <c r="KHF54" s="172"/>
      <c r="KHG54" s="173"/>
      <c r="KHH54" s="173"/>
      <c r="KHI54" s="172"/>
      <c r="KHJ54" s="173"/>
      <c r="KHK54" s="173"/>
      <c r="KHL54" s="172"/>
      <c r="KHM54" s="173"/>
      <c r="KHN54" s="173"/>
      <c r="KHO54" s="172"/>
      <c r="KHP54" s="173"/>
      <c r="KHQ54" s="173"/>
      <c r="KHR54" s="172"/>
      <c r="KHS54" s="173"/>
      <c r="KHT54" s="173"/>
      <c r="KHU54" s="172"/>
      <c r="KHV54" s="173"/>
      <c r="KHW54" s="173"/>
      <c r="KHX54" s="172"/>
      <c r="KHY54" s="173"/>
      <c r="KHZ54" s="173"/>
      <c r="KIA54" s="172"/>
      <c r="KIB54" s="173"/>
      <c r="KIC54" s="173"/>
      <c r="KID54" s="172"/>
      <c r="KIE54" s="173"/>
      <c r="KIF54" s="173"/>
      <c r="KIG54" s="172"/>
      <c r="KIH54" s="173"/>
      <c r="KII54" s="173"/>
      <c r="KIJ54" s="172"/>
      <c r="KIK54" s="173"/>
      <c r="KIL54" s="173"/>
      <c r="KIM54" s="172"/>
      <c r="KIN54" s="173"/>
      <c r="KIO54" s="173"/>
      <c r="KIP54" s="172"/>
      <c r="KIQ54" s="173"/>
      <c r="KIR54" s="173"/>
      <c r="KIS54" s="172"/>
      <c r="KIT54" s="173"/>
      <c r="KIU54" s="173"/>
      <c r="KIV54" s="172"/>
      <c r="KIW54" s="173"/>
      <c r="KIX54" s="173"/>
      <c r="KIY54" s="172"/>
      <c r="KIZ54" s="173"/>
      <c r="KJA54" s="173"/>
      <c r="KJB54" s="172"/>
      <c r="KJC54" s="173"/>
      <c r="KJD54" s="173"/>
      <c r="KJE54" s="172"/>
      <c r="KJF54" s="173"/>
      <c r="KJG54" s="173"/>
      <c r="KJH54" s="172"/>
      <c r="KJI54" s="173"/>
      <c r="KJJ54" s="173"/>
      <c r="KJK54" s="172"/>
      <c r="KJL54" s="173"/>
      <c r="KJM54" s="173"/>
      <c r="KJN54" s="172"/>
      <c r="KJO54" s="173"/>
      <c r="KJP54" s="173"/>
      <c r="KJQ54" s="172"/>
      <c r="KJR54" s="173"/>
      <c r="KJS54" s="173"/>
      <c r="KJT54" s="172"/>
      <c r="KJU54" s="173"/>
      <c r="KJV54" s="173"/>
      <c r="KJW54" s="172"/>
      <c r="KJX54" s="173"/>
      <c r="KJY54" s="173"/>
      <c r="KJZ54" s="172"/>
      <c r="KKA54" s="173"/>
      <c r="KKB54" s="173"/>
      <c r="KKC54" s="172"/>
      <c r="KKD54" s="173"/>
      <c r="KKE54" s="173"/>
      <c r="KKF54" s="172"/>
      <c r="KKG54" s="173"/>
      <c r="KKH54" s="173"/>
      <c r="KKI54" s="172"/>
      <c r="KKJ54" s="173"/>
      <c r="KKK54" s="173"/>
      <c r="KKL54" s="172"/>
      <c r="KKM54" s="173"/>
      <c r="KKN54" s="173"/>
      <c r="KKO54" s="172"/>
      <c r="KKP54" s="173"/>
      <c r="KKQ54" s="173"/>
      <c r="KKR54" s="172"/>
      <c r="KKS54" s="173"/>
      <c r="KKT54" s="173"/>
      <c r="KKU54" s="172"/>
      <c r="KKV54" s="173"/>
      <c r="KKW54" s="173"/>
      <c r="KKX54" s="172"/>
      <c r="KKY54" s="173"/>
      <c r="KKZ54" s="173"/>
      <c r="KLA54" s="172"/>
      <c r="KLB54" s="173"/>
      <c r="KLC54" s="173"/>
      <c r="KLD54" s="172"/>
      <c r="KLE54" s="173"/>
      <c r="KLF54" s="173"/>
      <c r="KLG54" s="172"/>
      <c r="KLH54" s="173"/>
      <c r="KLI54" s="173"/>
      <c r="KLJ54" s="172"/>
      <c r="KLK54" s="173"/>
      <c r="KLL54" s="173"/>
      <c r="KLM54" s="172"/>
      <c r="KLN54" s="173"/>
      <c r="KLO54" s="173"/>
      <c r="KLP54" s="172"/>
      <c r="KLQ54" s="173"/>
      <c r="KLR54" s="173"/>
      <c r="KLS54" s="172"/>
      <c r="KLT54" s="173"/>
      <c r="KLU54" s="173"/>
      <c r="KLV54" s="172"/>
      <c r="KLW54" s="173"/>
      <c r="KLX54" s="173"/>
      <c r="KLY54" s="172"/>
      <c r="KLZ54" s="173"/>
      <c r="KMA54" s="173"/>
      <c r="KMB54" s="172"/>
      <c r="KMC54" s="173"/>
      <c r="KMD54" s="173"/>
      <c r="KME54" s="172"/>
      <c r="KMF54" s="173"/>
      <c r="KMG54" s="173"/>
      <c r="KMH54" s="172"/>
      <c r="KMI54" s="173"/>
      <c r="KMJ54" s="173"/>
      <c r="KMK54" s="172"/>
      <c r="KML54" s="173"/>
      <c r="KMM54" s="173"/>
      <c r="KMN54" s="172"/>
      <c r="KMO54" s="173"/>
      <c r="KMP54" s="173"/>
      <c r="KMQ54" s="172"/>
      <c r="KMR54" s="173"/>
      <c r="KMS54" s="173"/>
      <c r="KMT54" s="172"/>
      <c r="KMU54" s="173"/>
      <c r="KMV54" s="173"/>
      <c r="KMW54" s="172"/>
      <c r="KMX54" s="173"/>
      <c r="KMY54" s="173"/>
      <c r="KMZ54" s="172"/>
      <c r="KNA54" s="173"/>
      <c r="KNB54" s="173"/>
      <c r="KNC54" s="172"/>
      <c r="KND54" s="173"/>
      <c r="KNE54" s="173"/>
      <c r="KNF54" s="172"/>
      <c r="KNG54" s="173"/>
      <c r="KNH54" s="173"/>
      <c r="KNI54" s="172"/>
      <c r="KNJ54" s="173"/>
      <c r="KNK54" s="173"/>
      <c r="KNL54" s="172"/>
      <c r="KNM54" s="173"/>
      <c r="KNN54" s="173"/>
      <c r="KNO54" s="172"/>
      <c r="KNP54" s="173"/>
      <c r="KNQ54" s="173"/>
      <c r="KNR54" s="172"/>
      <c r="KNS54" s="173"/>
      <c r="KNT54" s="173"/>
      <c r="KNU54" s="172"/>
      <c r="KNV54" s="173"/>
      <c r="KNW54" s="173"/>
      <c r="KNX54" s="172"/>
      <c r="KNY54" s="173"/>
      <c r="KNZ54" s="173"/>
      <c r="KOA54" s="172"/>
      <c r="KOB54" s="173"/>
      <c r="KOC54" s="173"/>
      <c r="KOD54" s="172"/>
      <c r="KOE54" s="173"/>
      <c r="KOF54" s="173"/>
      <c r="KOG54" s="172"/>
      <c r="KOH54" s="173"/>
      <c r="KOI54" s="173"/>
      <c r="KOJ54" s="172"/>
      <c r="KOK54" s="173"/>
      <c r="KOL54" s="173"/>
      <c r="KOM54" s="172"/>
      <c r="KON54" s="173"/>
      <c r="KOO54" s="173"/>
      <c r="KOP54" s="172"/>
      <c r="KOQ54" s="173"/>
      <c r="KOR54" s="173"/>
      <c r="KOS54" s="172"/>
      <c r="KOT54" s="173"/>
      <c r="KOU54" s="173"/>
      <c r="KOV54" s="172"/>
      <c r="KOW54" s="173"/>
      <c r="KOX54" s="173"/>
      <c r="KOY54" s="172"/>
      <c r="KOZ54" s="173"/>
      <c r="KPA54" s="173"/>
      <c r="KPB54" s="172"/>
      <c r="KPC54" s="173"/>
      <c r="KPD54" s="173"/>
      <c r="KPE54" s="172"/>
      <c r="KPF54" s="173"/>
      <c r="KPG54" s="173"/>
      <c r="KPH54" s="172"/>
      <c r="KPI54" s="173"/>
      <c r="KPJ54" s="173"/>
      <c r="KPK54" s="172"/>
      <c r="KPL54" s="173"/>
      <c r="KPM54" s="173"/>
      <c r="KPN54" s="172"/>
      <c r="KPO54" s="173"/>
      <c r="KPP54" s="173"/>
      <c r="KPQ54" s="172"/>
      <c r="KPR54" s="173"/>
      <c r="KPS54" s="173"/>
      <c r="KPT54" s="172"/>
      <c r="KPU54" s="173"/>
      <c r="KPV54" s="173"/>
      <c r="KPW54" s="172"/>
      <c r="KPX54" s="173"/>
      <c r="KPY54" s="173"/>
      <c r="KPZ54" s="172"/>
      <c r="KQA54" s="173"/>
      <c r="KQB54" s="173"/>
      <c r="KQC54" s="172"/>
      <c r="KQD54" s="173"/>
      <c r="KQE54" s="173"/>
      <c r="KQF54" s="172"/>
      <c r="KQG54" s="173"/>
      <c r="KQH54" s="173"/>
      <c r="KQI54" s="172"/>
      <c r="KQJ54" s="173"/>
      <c r="KQK54" s="173"/>
      <c r="KQL54" s="172"/>
      <c r="KQM54" s="173"/>
      <c r="KQN54" s="173"/>
      <c r="KQO54" s="172"/>
      <c r="KQP54" s="173"/>
      <c r="KQQ54" s="173"/>
      <c r="KQR54" s="172"/>
      <c r="KQS54" s="173"/>
      <c r="KQT54" s="173"/>
      <c r="KQU54" s="172"/>
      <c r="KQV54" s="173"/>
      <c r="KQW54" s="173"/>
      <c r="KQX54" s="172"/>
      <c r="KQY54" s="173"/>
      <c r="KQZ54" s="173"/>
      <c r="KRA54" s="172"/>
      <c r="KRB54" s="173"/>
      <c r="KRC54" s="173"/>
      <c r="KRD54" s="172"/>
      <c r="KRE54" s="173"/>
      <c r="KRF54" s="173"/>
      <c r="KRG54" s="172"/>
      <c r="KRH54" s="173"/>
      <c r="KRI54" s="173"/>
      <c r="KRJ54" s="172"/>
      <c r="KRK54" s="173"/>
      <c r="KRL54" s="173"/>
      <c r="KRM54" s="172"/>
      <c r="KRN54" s="173"/>
      <c r="KRO54" s="173"/>
      <c r="KRP54" s="172"/>
      <c r="KRQ54" s="173"/>
      <c r="KRR54" s="173"/>
      <c r="KRS54" s="172"/>
      <c r="KRT54" s="173"/>
      <c r="KRU54" s="173"/>
      <c r="KRV54" s="172"/>
      <c r="KRW54" s="173"/>
      <c r="KRX54" s="173"/>
      <c r="KRY54" s="172"/>
      <c r="KRZ54" s="173"/>
      <c r="KSA54" s="173"/>
      <c r="KSB54" s="172"/>
      <c r="KSC54" s="173"/>
      <c r="KSD54" s="173"/>
      <c r="KSE54" s="172"/>
      <c r="KSF54" s="173"/>
      <c r="KSG54" s="173"/>
      <c r="KSH54" s="172"/>
      <c r="KSI54" s="173"/>
      <c r="KSJ54" s="173"/>
      <c r="KSK54" s="172"/>
      <c r="KSL54" s="173"/>
      <c r="KSM54" s="173"/>
      <c r="KSN54" s="172"/>
      <c r="KSO54" s="173"/>
      <c r="KSP54" s="173"/>
      <c r="KSQ54" s="172"/>
      <c r="KSR54" s="173"/>
      <c r="KSS54" s="173"/>
      <c r="KST54" s="172"/>
      <c r="KSU54" s="173"/>
      <c r="KSV54" s="173"/>
      <c r="KSW54" s="172"/>
      <c r="KSX54" s="173"/>
      <c r="KSY54" s="173"/>
      <c r="KSZ54" s="172"/>
      <c r="KTA54" s="173"/>
      <c r="KTB54" s="173"/>
      <c r="KTC54" s="172"/>
      <c r="KTD54" s="173"/>
      <c r="KTE54" s="173"/>
      <c r="KTF54" s="172"/>
      <c r="KTG54" s="173"/>
      <c r="KTH54" s="173"/>
      <c r="KTI54" s="172"/>
      <c r="KTJ54" s="173"/>
      <c r="KTK54" s="173"/>
      <c r="KTL54" s="172"/>
      <c r="KTM54" s="173"/>
      <c r="KTN54" s="173"/>
      <c r="KTO54" s="172"/>
      <c r="KTP54" s="173"/>
      <c r="KTQ54" s="173"/>
      <c r="KTR54" s="172"/>
      <c r="KTS54" s="173"/>
      <c r="KTT54" s="173"/>
      <c r="KTU54" s="172"/>
      <c r="KTV54" s="173"/>
      <c r="KTW54" s="173"/>
      <c r="KTX54" s="172"/>
      <c r="KTY54" s="173"/>
      <c r="KTZ54" s="173"/>
      <c r="KUA54" s="172"/>
      <c r="KUB54" s="173"/>
      <c r="KUC54" s="173"/>
      <c r="KUD54" s="172"/>
      <c r="KUE54" s="173"/>
      <c r="KUF54" s="173"/>
      <c r="KUG54" s="172"/>
      <c r="KUH54" s="173"/>
      <c r="KUI54" s="173"/>
      <c r="KUJ54" s="172"/>
      <c r="KUK54" s="173"/>
      <c r="KUL54" s="173"/>
      <c r="KUM54" s="172"/>
      <c r="KUN54" s="173"/>
      <c r="KUO54" s="173"/>
      <c r="KUP54" s="172"/>
      <c r="KUQ54" s="173"/>
      <c r="KUR54" s="173"/>
      <c r="KUS54" s="172"/>
      <c r="KUT54" s="173"/>
      <c r="KUU54" s="173"/>
      <c r="KUV54" s="172"/>
      <c r="KUW54" s="173"/>
      <c r="KUX54" s="173"/>
      <c r="KUY54" s="172"/>
      <c r="KUZ54" s="173"/>
      <c r="KVA54" s="173"/>
      <c r="KVB54" s="172"/>
      <c r="KVC54" s="173"/>
      <c r="KVD54" s="173"/>
      <c r="KVE54" s="172"/>
      <c r="KVF54" s="173"/>
      <c r="KVG54" s="173"/>
      <c r="KVH54" s="172"/>
      <c r="KVI54" s="173"/>
      <c r="KVJ54" s="173"/>
      <c r="KVK54" s="172"/>
      <c r="KVL54" s="173"/>
      <c r="KVM54" s="173"/>
      <c r="KVN54" s="172"/>
      <c r="KVO54" s="173"/>
      <c r="KVP54" s="173"/>
      <c r="KVQ54" s="172"/>
      <c r="KVR54" s="173"/>
      <c r="KVS54" s="173"/>
      <c r="KVT54" s="172"/>
      <c r="KVU54" s="173"/>
      <c r="KVV54" s="173"/>
      <c r="KVW54" s="172"/>
      <c r="KVX54" s="173"/>
      <c r="KVY54" s="173"/>
      <c r="KVZ54" s="172"/>
      <c r="KWA54" s="173"/>
      <c r="KWB54" s="173"/>
      <c r="KWC54" s="172"/>
      <c r="KWD54" s="173"/>
      <c r="KWE54" s="173"/>
      <c r="KWF54" s="172"/>
      <c r="KWG54" s="173"/>
      <c r="KWH54" s="173"/>
      <c r="KWI54" s="172"/>
      <c r="KWJ54" s="173"/>
      <c r="KWK54" s="173"/>
      <c r="KWL54" s="172"/>
      <c r="KWM54" s="173"/>
      <c r="KWN54" s="173"/>
      <c r="KWO54" s="172"/>
      <c r="KWP54" s="173"/>
      <c r="KWQ54" s="173"/>
      <c r="KWR54" s="172"/>
      <c r="KWS54" s="173"/>
      <c r="KWT54" s="173"/>
      <c r="KWU54" s="172"/>
      <c r="KWV54" s="173"/>
      <c r="KWW54" s="173"/>
      <c r="KWX54" s="172"/>
      <c r="KWY54" s="173"/>
      <c r="KWZ54" s="173"/>
      <c r="KXA54" s="172"/>
      <c r="KXB54" s="173"/>
      <c r="KXC54" s="173"/>
      <c r="KXD54" s="172"/>
      <c r="KXE54" s="173"/>
      <c r="KXF54" s="173"/>
      <c r="KXG54" s="172"/>
      <c r="KXH54" s="173"/>
      <c r="KXI54" s="173"/>
      <c r="KXJ54" s="172"/>
      <c r="KXK54" s="173"/>
      <c r="KXL54" s="173"/>
      <c r="KXM54" s="172"/>
      <c r="KXN54" s="173"/>
      <c r="KXO54" s="173"/>
      <c r="KXP54" s="172"/>
      <c r="KXQ54" s="173"/>
      <c r="KXR54" s="173"/>
      <c r="KXS54" s="172"/>
      <c r="KXT54" s="173"/>
      <c r="KXU54" s="173"/>
      <c r="KXV54" s="172"/>
      <c r="KXW54" s="173"/>
      <c r="KXX54" s="173"/>
      <c r="KXY54" s="172"/>
      <c r="KXZ54" s="173"/>
      <c r="KYA54" s="173"/>
      <c r="KYB54" s="172"/>
      <c r="KYC54" s="173"/>
      <c r="KYD54" s="173"/>
      <c r="KYE54" s="172"/>
      <c r="KYF54" s="173"/>
      <c r="KYG54" s="173"/>
      <c r="KYH54" s="172"/>
      <c r="KYI54" s="173"/>
      <c r="KYJ54" s="173"/>
      <c r="KYK54" s="172"/>
      <c r="KYL54" s="173"/>
      <c r="KYM54" s="173"/>
      <c r="KYN54" s="172"/>
      <c r="KYO54" s="173"/>
      <c r="KYP54" s="173"/>
      <c r="KYQ54" s="172"/>
      <c r="KYR54" s="173"/>
      <c r="KYS54" s="173"/>
      <c r="KYT54" s="172"/>
      <c r="KYU54" s="173"/>
      <c r="KYV54" s="173"/>
      <c r="KYW54" s="172"/>
      <c r="KYX54" s="173"/>
      <c r="KYY54" s="173"/>
      <c r="KYZ54" s="172"/>
      <c r="KZA54" s="173"/>
      <c r="KZB54" s="173"/>
      <c r="KZC54" s="172"/>
      <c r="KZD54" s="173"/>
      <c r="KZE54" s="173"/>
      <c r="KZF54" s="172"/>
      <c r="KZG54" s="173"/>
      <c r="KZH54" s="173"/>
      <c r="KZI54" s="172"/>
      <c r="KZJ54" s="173"/>
      <c r="KZK54" s="173"/>
      <c r="KZL54" s="172"/>
      <c r="KZM54" s="173"/>
      <c r="KZN54" s="173"/>
      <c r="KZO54" s="172"/>
      <c r="KZP54" s="173"/>
      <c r="KZQ54" s="173"/>
      <c r="KZR54" s="172"/>
      <c r="KZS54" s="173"/>
      <c r="KZT54" s="173"/>
      <c r="KZU54" s="172"/>
      <c r="KZV54" s="173"/>
      <c r="KZW54" s="173"/>
      <c r="KZX54" s="172"/>
      <c r="KZY54" s="173"/>
      <c r="KZZ54" s="173"/>
      <c r="LAA54" s="172"/>
      <c r="LAB54" s="173"/>
      <c r="LAC54" s="173"/>
      <c r="LAD54" s="172"/>
      <c r="LAE54" s="173"/>
      <c r="LAF54" s="173"/>
      <c r="LAG54" s="172"/>
      <c r="LAH54" s="173"/>
      <c r="LAI54" s="173"/>
      <c r="LAJ54" s="172"/>
      <c r="LAK54" s="173"/>
      <c r="LAL54" s="173"/>
      <c r="LAM54" s="172"/>
      <c r="LAN54" s="173"/>
      <c r="LAO54" s="173"/>
      <c r="LAP54" s="172"/>
      <c r="LAQ54" s="173"/>
      <c r="LAR54" s="173"/>
      <c r="LAS54" s="172"/>
      <c r="LAT54" s="173"/>
      <c r="LAU54" s="173"/>
      <c r="LAV54" s="172"/>
      <c r="LAW54" s="173"/>
      <c r="LAX54" s="173"/>
      <c r="LAY54" s="172"/>
      <c r="LAZ54" s="173"/>
      <c r="LBA54" s="173"/>
      <c r="LBB54" s="172"/>
      <c r="LBC54" s="173"/>
      <c r="LBD54" s="173"/>
      <c r="LBE54" s="172"/>
      <c r="LBF54" s="173"/>
      <c r="LBG54" s="173"/>
      <c r="LBH54" s="172"/>
      <c r="LBI54" s="173"/>
      <c r="LBJ54" s="173"/>
      <c r="LBK54" s="172"/>
      <c r="LBL54" s="173"/>
      <c r="LBM54" s="173"/>
      <c r="LBN54" s="172"/>
      <c r="LBO54" s="173"/>
      <c r="LBP54" s="173"/>
      <c r="LBQ54" s="172"/>
      <c r="LBR54" s="173"/>
      <c r="LBS54" s="173"/>
      <c r="LBT54" s="172"/>
      <c r="LBU54" s="173"/>
      <c r="LBV54" s="173"/>
      <c r="LBW54" s="172"/>
      <c r="LBX54" s="173"/>
      <c r="LBY54" s="173"/>
      <c r="LBZ54" s="172"/>
      <c r="LCA54" s="173"/>
      <c r="LCB54" s="173"/>
      <c r="LCC54" s="172"/>
      <c r="LCD54" s="173"/>
      <c r="LCE54" s="173"/>
      <c r="LCF54" s="172"/>
      <c r="LCG54" s="173"/>
      <c r="LCH54" s="173"/>
      <c r="LCI54" s="172"/>
      <c r="LCJ54" s="173"/>
      <c r="LCK54" s="173"/>
      <c r="LCL54" s="172"/>
      <c r="LCM54" s="173"/>
      <c r="LCN54" s="173"/>
      <c r="LCO54" s="172"/>
      <c r="LCP54" s="173"/>
      <c r="LCQ54" s="173"/>
      <c r="LCR54" s="172"/>
      <c r="LCS54" s="173"/>
      <c r="LCT54" s="173"/>
      <c r="LCU54" s="172"/>
      <c r="LCV54" s="173"/>
      <c r="LCW54" s="173"/>
      <c r="LCX54" s="172"/>
      <c r="LCY54" s="173"/>
      <c r="LCZ54" s="173"/>
      <c r="LDA54" s="172"/>
      <c r="LDB54" s="173"/>
      <c r="LDC54" s="173"/>
      <c r="LDD54" s="172"/>
      <c r="LDE54" s="173"/>
      <c r="LDF54" s="173"/>
      <c r="LDG54" s="172"/>
      <c r="LDH54" s="173"/>
      <c r="LDI54" s="173"/>
      <c r="LDJ54" s="172"/>
      <c r="LDK54" s="173"/>
      <c r="LDL54" s="173"/>
      <c r="LDM54" s="172"/>
      <c r="LDN54" s="173"/>
      <c r="LDO54" s="173"/>
      <c r="LDP54" s="172"/>
      <c r="LDQ54" s="173"/>
      <c r="LDR54" s="173"/>
      <c r="LDS54" s="172"/>
      <c r="LDT54" s="173"/>
      <c r="LDU54" s="173"/>
      <c r="LDV54" s="172"/>
      <c r="LDW54" s="173"/>
      <c r="LDX54" s="173"/>
      <c r="LDY54" s="172"/>
      <c r="LDZ54" s="173"/>
      <c r="LEA54" s="173"/>
      <c r="LEB54" s="172"/>
      <c r="LEC54" s="173"/>
      <c r="LED54" s="173"/>
      <c r="LEE54" s="172"/>
      <c r="LEF54" s="173"/>
      <c r="LEG54" s="173"/>
      <c r="LEH54" s="172"/>
      <c r="LEI54" s="173"/>
      <c r="LEJ54" s="173"/>
      <c r="LEK54" s="172"/>
      <c r="LEL54" s="173"/>
      <c r="LEM54" s="173"/>
      <c r="LEN54" s="172"/>
      <c r="LEO54" s="173"/>
      <c r="LEP54" s="173"/>
      <c r="LEQ54" s="172"/>
      <c r="LER54" s="173"/>
      <c r="LES54" s="173"/>
      <c r="LET54" s="172"/>
      <c r="LEU54" s="173"/>
      <c r="LEV54" s="173"/>
      <c r="LEW54" s="172"/>
      <c r="LEX54" s="173"/>
      <c r="LEY54" s="173"/>
      <c r="LEZ54" s="172"/>
      <c r="LFA54" s="173"/>
      <c r="LFB54" s="173"/>
      <c r="LFC54" s="172"/>
      <c r="LFD54" s="173"/>
      <c r="LFE54" s="173"/>
      <c r="LFF54" s="172"/>
      <c r="LFG54" s="173"/>
      <c r="LFH54" s="173"/>
      <c r="LFI54" s="172"/>
      <c r="LFJ54" s="173"/>
      <c r="LFK54" s="173"/>
      <c r="LFL54" s="172"/>
      <c r="LFM54" s="173"/>
      <c r="LFN54" s="173"/>
      <c r="LFO54" s="172"/>
      <c r="LFP54" s="173"/>
      <c r="LFQ54" s="173"/>
      <c r="LFR54" s="172"/>
      <c r="LFS54" s="173"/>
      <c r="LFT54" s="173"/>
      <c r="LFU54" s="172"/>
      <c r="LFV54" s="173"/>
      <c r="LFW54" s="173"/>
      <c r="LFX54" s="172"/>
      <c r="LFY54" s="173"/>
      <c r="LFZ54" s="173"/>
      <c r="LGA54" s="172"/>
      <c r="LGB54" s="173"/>
      <c r="LGC54" s="173"/>
      <c r="LGD54" s="172"/>
      <c r="LGE54" s="173"/>
      <c r="LGF54" s="173"/>
      <c r="LGG54" s="172"/>
      <c r="LGH54" s="173"/>
      <c r="LGI54" s="173"/>
      <c r="LGJ54" s="172"/>
      <c r="LGK54" s="173"/>
      <c r="LGL54" s="173"/>
      <c r="LGM54" s="172"/>
      <c r="LGN54" s="173"/>
      <c r="LGO54" s="173"/>
      <c r="LGP54" s="172"/>
      <c r="LGQ54" s="173"/>
      <c r="LGR54" s="173"/>
      <c r="LGS54" s="172"/>
      <c r="LGT54" s="173"/>
      <c r="LGU54" s="173"/>
      <c r="LGV54" s="172"/>
      <c r="LGW54" s="173"/>
      <c r="LGX54" s="173"/>
      <c r="LGY54" s="172"/>
      <c r="LGZ54" s="173"/>
      <c r="LHA54" s="173"/>
      <c r="LHB54" s="172"/>
      <c r="LHC54" s="173"/>
      <c r="LHD54" s="173"/>
      <c r="LHE54" s="172"/>
      <c r="LHF54" s="173"/>
      <c r="LHG54" s="173"/>
      <c r="LHH54" s="172"/>
      <c r="LHI54" s="173"/>
      <c r="LHJ54" s="173"/>
      <c r="LHK54" s="172"/>
      <c r="LHL54" s="173"/>
      <c r="LHM54" s="173"/>
      <c r="LHN54" s="172"/>
      <c r="LHO54" s="173"/>
      <c r="LHP54" s="173"/>
      <c r="LHQ54" s="172"/>
      <c r="LHR54" s="173"/>
      <c r="LHS54" s="173"/>
      <c r="LHT54" s="172"/>
      <c r="LHU54" s="173"/>
      <c r="LHV54" s="173"/>
      <c r="LHW54" s="172"/>
      <c r="LHX54" s="173"/>
      <c r="LHY54" s="173"/>
      <c r="LHZ54" s="172"/>
      <c r="LIA54" s="173"/>
      <c r="LIB54" s="173"/>
      <c r="LIC54" s="172"/>
      <c r="LID54" s="173"/>
      <c r="LIE54" s="173"/>
      <c r="LIF54" s="172"/>
      <c r="LIG54" s="173"/>
      <c r="LIH54" s="173"/>
      <c r="LII54" s="172"/>
      <c r="LIJ54" s="173"/>
      <c r="LIK54" s="173"/>
      <c r="LIL54" s="172"/>
      <c r="LIM54" s="173"/>
      <c r="LIN54" s="173"/>
      <c r="LIO54" s="172"/>
      <c r="LIP54" s="173"/>
      <c r="LIQ54" s="173"/>
      <c r="LIR54" s="172"/>
      <c r="LIS54" s="173"/>
      <c r="LIT54" s="173"/>
      <c r="LIU54" s="172"/>
      <c r="LIV54" s="173"/>
      <c r="LIW54" s="173"/>
      <c r="LIX54" s="172"/>
      <c r="LIY54" s="173"/>
      <c r="LIZ54" s="173"/>
      <c r="LJA54" s="172"/>
      <c r="LJB54" s="173"/>
      <c r="LJC54" s="173"/>
      <c r="LJD54" s="172"/>
      <c r="LJE54" s="173"/>
      <c r="LJF54" s="173"/>
      <c r="LJG54" s="172"/>
      <c r="LJH54" s="173"/>
      <c r="LJI54" s="173"/>
      <c r="LJJ54" s="172"/>
      <c r="LJK54" s="173"/>
      <c r="LJL54" s="173"/>
      <c r="LJM54" s="172"/>
      <c r="LJN54" s="173"/>
      <c r="LJO54" s="173"/>
      <c r="LJP54" s="172"/>
      <c r="LJQ54" s="173"/>
      <c r="LJR54" s="173"/>
      <c r="LJS54" s="172"/>
      <c r="LJT54" s="173"/>
      <c r="LJU54" s="173"/>
      <c r="LJV54" s="172"/>
      <c r="LJW54" s="173"/>
      <c r="LJX54" s="173"/>
      <c r="LJY54" s="172"/>
      <c r="LJZ54" s="173"/>
      <c r="LKA54" s="173"/>
      <c r="LKB54" s="172"/>
      <c r="LKC54" s="173"/>
      <c r="LKD54" s="173"/>
      <c r="LKE54" s="172"/>
      <c r="LKF54" s="173"/>
      <c r="LKG54" s="173"/>
      <c r="LKH54" s="172"/>
      <c r="LKI54" s="173"/>
      <c r="LKJ54" s="173"/>
      <c r="LKK54" s="172"/>
      <c r="LKL54" s="173"/>
      <c r="LKM54" s="173"/>
      <c r="LKN54" s="172"/>
      <c r="LKO54" s="173"/>
      <c r="LKP54" s="173"/>
      <c r="LKQ54" s="172"/>
      <c r="LKR54" s="173"/>
      <c r="LKS54" s="173"/>
      <c r="LKT54" s="172"/>
      <c r="LKU54" s="173"/>
      <c r="LKV54" s="173"/>
      <c r="LKW54" s="172"/>
      <c r="LKX54" s="173"/>
      <c r="LKY54" s="173"/>
      <c r="LKZ54" s="172"/>
      <c r="LLA54" s="173"/>
      <c r="LLB54" s="173"/>
      <c r="LLC54" s="172"/>
      <c r="LLD54" s="173"/>
      <c r="LLE54" s="173"/>
      <c r="LLF54" s="172"/>
      <c r="LLG54" s="173"/>
      <c r="LLH54" s="173"/>
      <c r="LLI54" s="172"/>
      <c r="LLJ54" s="173"/>
      <c r="LLK54" s="173"/>
      <c r="LLL54" s="172"/>
      <c r="LLM54" s="173"/>
      <c r="LLN54" s="173"/>
      <c r="LLO54" s="172"/>
      <c r="LLP54" s="173"/>
      <c r="LLQ54" s="173"/>
      <c r="LLR54" s="172"/>
      <c r="LLS54" s="173"/>
      <c r="LLT54" s="173"/>
      <c r="LLU54" s="172"/>
      <c r="LLV54" s="173"/>
      <c r="LLW54" s="173"/>
      <c r="LLX54" s="172"/>
      <c r="LLY54" s="173"/>
      <c r="LLZ54" s="173"/>
      <c r="LMA54" s="172"/>
      <c r="LMB54" s="173"/>
      <c r="LMC54" s="173"/>
      <c r="LMD54" s="172"/>
      <c r="LME54" s="173"/>
      <c r="LMF54" s="173"/>
      <c r="LMG54" s="172"/>
      <c r="LMH54" s="173"/>
      <c r="LMI54" s="173"/>
      <c r="LMJ54" s="172"/>
      <c r="LMK54" s="173"/>
      <c r="LML54" s="173"/>
      <c r="LMM54" s="172"/>
      <c r="LMN54" s="173"/>
      <c r="LMO54" s="173"/>
      <c r="LMP54" s="172"/>
      <c r="LMQ54" s="173"/>
      <c r="LMR54" s="173"/>
      <c r="LMS54" s="172"/>
      <c r="LMT54" s="173"/>
      <c r="LMU54" s="173"/>
      <c r="LMV54" s="172"/>
      <c r="LMW54" s="173"/>
      <c r="LMX54" s="173"/>
      <c r="LMY54" s="172"/>
      <c r="LMZ54" s="173"/>
      <c r="LNA54" s="173"/>
      <c r="LNB54" s="172"/>
      <c r="LNC54" s="173"/>
      <c r="LND54" s="173"/>
      <c r="LNE54" s="172"/>
      <c r="LNF54" s="173"/>
      <c r="LNG54" s="173"/>
      <c r="LNH54" s="172"/>
      <c r="LNI54" s="173"/>
      <c r="LNJ54" s="173"/>
      <c r="LNK54" s="172"/>
      <c r="LNL54" s="173"/>
      <c r="LNM54" s="173"/>
      <c r="LNN54" s="172"/>
      <c r="LNO54" s="173"/>
      <c r="LNP54" s="173"/>
      <c r="LNQ54" s="172"/>
      <c r="LNR54" s="173"/>
      <c r="LNS54" s="173"/>
      <c r="LNT54" s="172"/>
      <c r="LNU54" s="173"/>
      <c r="LNV54" s="173"/>
      <c r="LNW54" s="172"/>
      <c r="LNX54" s="173"/>
      <c r="LNY54" s="173"/>
      <c r="LNZ54" s="172"/>
      <c r="LOA54" s="173"/>
      <c r="LOB54" s="173"/>
      <c r="LOC54" s="172"/>
      <c r="LOD54" s="173"/>
      <c r="LOE54" s="173"/>
      <c r="LOF54" s="172"/>
      <c r="LOG54" s="173"/>
      <c r="LOH54" s="173"/>
      <c r="LOI54" s="172"/>
      <c r="LOJ54" s="173"/>
      <c r="LOK54" s="173"/>
      <c r="LOL54" s="172"/>
      <c r="LOM54" s="173"/>
      <c r="LON54" s="173"/>
      <c r="LOO54" s="172"/>
      <c r="LOP54" s="173"/>
      <c r="LOQ54" s="173"/>
      <c r="LOR54" s="172"/>
      <c r="LOS54" s="173"/>
      <c r="LOT54" s="173"/>
      <c r="LOU54" s="172"/>
      <c r="LOV54" s="173"/>
      <c r="LOW54" s="173"/>
      <c r="LOX54" s="172"/>
      <c r="LOY54" s="173"/>
      <c r="LOZ54" s="173"/>
      <c r="LPA54" s="172"/>
      <c r="LPB54" s="173"/>
      <c r="LPC54" s="173"/>
      <c r="LPD54" s="172"/>
      <c r="LPE54" s="173"/>
      <c r="LPF54" s="173"/>
      <c r="LPG54" s="172"/>
      <c r="LPH54" s="173"/>
      <c r="LPI54" s="173"/>
      <c r="LPJ54" s="172"/>
      <c r="LPK54" s="173"/>
      <c r="LPL54" s="173"/>
      <c r="LPM54" s="172"/>
      <c r="LPN54" s="173"/>
      <c r="LPO54" s="173"/>
      <c r="LPP54" s="172"/>
      <c r="LPQ54" s="173"/>
      <c r="LPR54" s="173"/>
      <c r="LPS54" s="172"/>
      <c r="LPT54" s="173"/>
      <c r="LPU54" s="173"/>
      <c r="LPV54" s="172"/>
      <c r="LPW54" s="173"/>
      <c r="LPX54" s="173"/>
      <c r="LPY54" s="172"/>
      <c r="LPZ54" s="173"/>
      <c r="LQA54" s="173"/>
      <c r="LQB54" s="172"/>
      <c r="LQC54" s="173"/>
      <c r="LQD54" s="173"/>
      <c r="LQE54" s="172"/>
      <c r="LQF54" s="173"/>
      <c r="LQG54" s="173"/>
      <c r="LQH54" s="172"/>
      <c r="LQI54" s="173"/>
      <c r="LQJ54" s="173"/>
      <c r="LQK54" s="172"/>
      <c r="LQL54" s="173"/>
      <c r="LQM54" s="173"/>
      <c r="LQN54" s="172"/>
      <c r="LQO54" s="173"/>
      <c r="LQP54" s="173"/>
      <c r="LQQ54" s="172"/>
      <c r="LQR54" s="173"/>
      <c r="LQS54" s="173"/>
      <c r="LQT54" s="172"/>
      <c r="LQU54" s="173"/>
      <c r="LQV54" s="173"/>
      <c r="LQW54" s="172"/>
      <c r="LQX54" s="173"/>
      <c r="LQY54" s="173"/>
      <c r="LQZ54" s="172"/>
      <c r="LRA54" s="173"/>
      <c r="LRB54" s="173"/>
      <c r="LRC54" s="172"/>
      <c r="LRD54" s="173"/>
      <c r="LRE54" s="173"/>
      <c r="LRF54" s="172"/>
      <c r="LRG54" s="173"/>
      <c r="LRH54" s="173"/>
      <c r="LRI54" s="172"/>
      <c r="LRJ54" s="173"/>
      <c r="LRK54" s="173"/>
      <c r="LRL54" s="172"/>
      <c r="LRM54" s="173"/>
      <c r="LRN54" s="173"/>
      <c r="LRO54" s="172"/>
      <c r="LRP54" s="173"/>
      <c r="LRQ54" s="173"/>
      <c r="LRR54" s="172"/>
      <c r="LRS54" s="173"/>
      <c r="LRT54" s="173"/>
      <c r="LRU54" s="172"/>
      <c r="LRV54" s="173"/>
      <c r="LRW54" s="173"/>
      <c r="LRX54" s="172"/>
      <c r="LRY54" s="173"/>
      <c r="LRZ54" s="173"/>
      <c r="LSA54" s="172"/>
      <c r="LSB54" s="173"/>
      <c r="LSC54" s="173"/>
      <c r="LSD54" s="172"/>
      <c r="LSE54" s="173"/>
      <c r="LSF54" s="173"/>
      <c r="LSG54" s="172"/>
      <c r="LSH54" s="173"/>
      <c r="LSI54" s="173"/>
      <c r="LSJ54" s="172"/>
      <c r="LSK54" s="173"/>
      <c r="LSL54" s="173"/>
      <c r="LSM54" s="172"/>
      <c r="LSN54" s="173"/>
      <c r="LSO54" s="173"/>
      <c r="LSP54" s="172"/>
      <c r="LSQ54" s="173"/>
      <c r="LSR54" s="173"/>
      <c r="LSS54" s="172"/>
      <c r="LST54" s="173"/>
      <c r="LSU54" s="173"/>
      <c r="LSV54" s="172"/>
      <c r="LSW54" s="173"/>
      <c r="LSX54" s="173"/>
      <c r="LSY54" s="172"/>
      <c r="LSZ54" s="173"/>
      <c r="LTA54" s="173"/>
      <c r="LTB54" s="172"/>
      <c r="LTC54" s="173"/>
      <c r="LTD54" s="173"/>
      <c r="LTE54" s="172"/>
      <c r="LTF54" s="173"/>
      <c r="LTG54" s="173"/>
      <c r="LTH54" s="172"/>
      <c r="LTI54" s="173"/>
      <c r="LTJ54" s="173"/>
      <c r="LTK54" s="172"/>
      <c r="LTL54" s="173"/>
      <c r="LTM54" s="173"/>
      <c r="LTN54" s="172"/>
      <c r="LTO54" s="173"/>
      <c r="LTP54" s="173"/>
      <c r="LTQ54" s="172"/>
      <c r="LTR54" s="173"/>
      <c r="LTS54" s="173"/>
      <c r="LTT54" s="172"/>
      <c r="LTU54" s="173"/>
      <c r="LTV54" s="173"/>
      <c r="LTW54" s="172"/>
      <c r="LTX54" s="173"/>
      <c r="LTY54" s="173"/>
      <c r="LTZ54" s="172"/>
      <c r="LUA54" s="173"/>
      <c r="LUB54" s="173"/>
      <c r="LUC54" s="172"/>
      <c r="LUD54" s="173"/>
      <c r="LUE54" s="173"/>
      <c r="LUF54" s="172"/>
      <c r="LUG54" s="173"/>
      <c r="LUH54" s="173"/>
      <c r="LUI54" s="172"/>
      <c r="LUJ54" s="173"/>
      <c r="LUK54" s="173"/>
      <c r="LUL54" s="172"/>
      <c r="LUM54" s="173"/>
      <c r="LUN54" s="173"/>
      <c r="LUO54" s="172"/>
      <c r="LUP54" s="173"/>
      <c r="LUQ54" s="173"/>
      <c r="LUR54" s="172"/>
      <c r="LUS54" s="173"/>
      <c r="LUT54" s="173"/>
      <c r="LUU54" s="172"/>
      <c r="LUV54" s="173"/>
      <c r="LUW54" s="173"/>
      <c r="LUX54" s="172"/>
      <c r="LUY54" s="173"/>
      <c r="LUZ54" s="173"/>
      <c r="LVA54" s="172"/>
      <c r="LVB54" s="173"/>
      <c r="LVC54" s="173"/>
      <c r="LVD54" s="172"/>
      <c r="LVE54" s="173"/>
      <c r="LVF54" s="173"/>
      <c r="LVG54" s="172"/>
      <c r="LVH54" s="173"/>
      <c r="LVI54" s="173"/>
      <c r="LVJ54" s="172"/>
      <c r="LVK54" s="173"/>
      <c r="LVL54" s="173"/>
      <c r="LVM54" s="172"/>
      <c r="LVN54" s="173"/>
      <c r="LVO54" s="173"/>
      <c r="LVP54" s="172"/>
      <c r="LVQ54" s="173"/>
      <c r="LVR54" s="173"/>
      <c r="LVS54" s="172"/>
      <c r="LVT54" s="173"/>
      <c r="LVU54" s="173"/>
      <c r="LVV54" s="172"/>
      <c r="LVW54" s="173"/>
      <c r="LVX54" s="173"/>
      <c r="LVY54" s="172"/>
      <c r="LVZ54" s="173"/>
      <c r="LWA54" s="173"/>
      <c r="LWB54" s="172"/>
      <c r="LWC54" s="173"/>
      <c r="LWD54" s="173"/>
      <c r="LWE54" s="172"/>
      <c r="LWF54" s="173"/>
      <c r="LWG54" s="173"/>
      <c r="LWH54" s="172"/>
      <c r="LWI54" s="173"/>
      <c r="LWJ54" s="173"/>
      <c r="LWK54" s="172"/>
      <c r="LWL54" s="173"/>
      <c r="LWM54" s="173"/>
      <c r="LWN54" s="172"/>
      <c r="LWO54" s="173"/>
      <c r="LWP54" s="173"/>
      <c r="LWQ54" s="172"/>
      <c r="LWR54" s="173"/>
      <c r="LWS54" s="173"/>
      <c r="LWT54" s="172"/>
      <c r="LWU54" s="173"/>
      <c r="LWV54" s="173"/>
      <c r="LWW54" s="172"/>
      <c r="LWX54" s="173"/>
      <c r="LWY54" s="173"/>
      <c r="LWZ54" s="172"/>
      <c r="LXA54" s="173"/>
      <c r="LXB54" s="173"/>
      <c r="LXC54" s="172"/>
      <c r="LXD54" s="173"/>
      <c r="LXE54" s="173"/>
      <c r="LXF54" s="172"/>
      <c r="LXG54" s="173"/>
      <c r="LXH54" s="173"/>
      <c r="LXI54" s="172"/>
      <c r="LXJ54" s="173"/>
      <c r="LXK54" s="173"/>
      <c r="LXL54" s="172"/>
      <c r="LXM54" s="173"/>
      <c r="LXN54" s="173"/>
      <c r="LXO54" s="172"/>
      <c r="LXP54" s="173"/>
      <c r="LXQ54" s="173"/>
      <c r="LXR54" s="172"/>
      <c r="LXS54" s="173"/>
      <c r="LXT54" s="173"/>
      <c r="LXU54" s="172"/>
      <c r="LXV54" s="173"/>
      <c r="LXW54" s="173"/>
      <c r="LXX54" s="172"/>
      <c r="LXY54" s="173"/>
      <c r="LXZ54" s="173"/>
      <c r="LYA54" s="172"/>
      <c r="LYB54" s="173"/>
      <c r="LYC54" s="173"/>
      <c r="LYD54" s="172"/>
      <c r="LYE54" s="173"/>
      <c r="LYF54" s="173"/>
      <c r="LYG54" s="172"/>
      <c r="LYH54" s="173"/>
      <c r="LYI54" s="173"/>
      <c r="LYJ54" s="172"/>
      <c r="LYK54" s="173"/>
      <c r="LYL54" s="173"/>
      <c r="LYM54" s="172"/>
      <c r="LYN54" s="173"/>
      <c r="LYO54" s="173"/>
      <c r="LYP54" s="172"/>
      <c r="LYQ54" s="173"/>
      <c r="LYR54" s="173"/>
      <c r="LYS54" s="172"/>
      <c r="LYT54" s="173"/>
      <c r="LYU54" s="173"/>
      <c r="LYV54" s="172"/>
      <c r="LYW54" s="173"/>
      <c r="LYX54" s="173"/>
      <c r="LYY54" s="172"/>
      <c r="LYZ54" s="173"/>
      <c r="LZA54" s="173"/>
      <c r="LZB54" s="172"/>
      <c r="LZC54" s="173"/>
      <c r="LZD54" s="173"/>
      <c r="LZE54" s="172"/>
      <c r="LZF54" s="173"/>
      <c r="LZG54" s="173"/>
      <c r="LZH54" s="172"/>
      <c r="LZI54" s="173"/>
      <c r="LZJ54" s="173"/>
      <c r="LZK54" s="172"/>
      <c r="LZL54" s="173"/>
      <c r="LZM54" s="173"/>
      <c r="LZN54" s="172"/>
      <c r="LZO54" s="173"/>
      <c r="LZP54" s="173"/>
      <c r="LZQ54" s="172"/>
      <c r="LZR54" s="173"/>
      <c r="LZS54" s="173"/>
      <c r="LZT54" s="172"/>
      <c r="LZU54" s="173"/>
      <c r="LZV54" s="173"/>
      <c r="LZW54" s="172"/>
      <c r="LZX54" s="173"/>
      <c r="LZY54" s="173"/>
      <c r="LZZ54" s="172"/>
      <c r="MAA54" s="173"/>
      <c r="MAB54" s="173"/>
      <c r="MAC54" s="172"/>
      <c r="MAD54" s="173"/>
      <c r="MAE54" s="173"/>
      <c r="MAF54" s="172"/>
      <c r="MAG54" s="173"/>
      <c r="MAH54" s="173"/>
      <c r="MAI54" s="172"/>
      <c r="MAJ54" s="173"/>
      <c r="MAK54" s="173"/>
      <c r="MAL54" s="172"/>
      <c r="MAM54" s="173"/>
      <c r="MAN54" s="173"/>
      <c r="MAO54" s="172"/>
      <c r="MAP54" s="173"/>
      <c r="MAQ54" s="173"/>
      <c r="MAR54" s="172"/>
      <c r="MAS54" s="173"/>
      <c r="MAT54" s="173"/>
      <c r="MAU54" s="172"/>
      <c r="MAV54" s="173"/>
      <c r="MAW54" s="173"/>
      <c r="MAX54" s="172"/>
      <c r="MAY54" s="173"/>
      <c r="MAZ54" s="173"/>
      <c r="MBA54" s="172"/>
      <c r="MBB54" s="173"/>
      <c r="MBC54" s="173"/>
      <c r="MBD54" s="172"/>
      <c r="MBE54" s="173"/>
      <c r="MBF54" s="173"/>
      <c r="MBG54" s="172"/>
      <c r="MBH54" s="173"/>
      <c r="MBI54" s="173"/>
      <c r="MBJ54" s="172"/>
      <c r="MBK54" s="173"/>
      <c r="MBL54" s="173"/>
      <c r="MBM54" s="172"/>
      <c r="MBN54" s="173"/>
      <c r="MBO54" s="173"/>
      <c r="MBP54" s="172"/>
      <c r="MBQ54" s="173"/>
      <c r="MBR54" s="173"/>
      <c r="MBS54" s="172"/>
      <c r="MBT54" s="173"/>
      <c r="MBU54" s="173"/>
      <c r="MBV54" s="172"/>
      <c r="MBW54" s="173"/>
      <c r="MBX54" s="173"/>
      <c r="MBY54" s="172"/>
      <c r="MBZ54" s="173"/>
      <c r="MCA54" s="173"/>
      <c r="MCB54" s="172"/>
      <c r="MCC54" s="173"/>
      <c r="MCD54" s="173"/>
      <c r="MCE54" s="172"/>
      <c r="MCF54" s="173"/>
      <c r="MCG54" s="173"/>
      <c r="MCH54" s="172"/>
      <c r="MCI54" s="173"/>
      <c r="MCJ54" s="173"/>
      <c r="MCK54" s="172"/>
      <c r="MCL54" s="173"/>
      <c r="MCM54" s="173"/>
      <c r="MCN54" s="172"/>
      <c r="MCO54" s="173"/>
      <c r="MCP54" s="173"/>
      <c r="MCQ54" s="172"/>
      <c r="MCR54" s="173"/>
      <c r="MCS54" s="173"/>
      <c r="MCT54" s="172"/>
      <c r="MCU54" s="173"/>
      <c r="MCV54" s="173"/>
      <c r="MCW54" s="172"/>
      <c r="MCX54" s="173"/>
      <c r="MCY54" s="173"/>
      <c r="MCZ54" s="172"/>
      <c r="MDA54" s="173"/>
      <c r="MDB54" s="173"/>
      <c r="MDC54" s="172"/>
      <c r="MDD54" s="173"/>
      <c r="MDE54" s="173"/>
      <c r="MDF54" s="172"/>
      <c r="MDG54" s="173"/>
      <c r="MDH54" s="173"/>
      <c r="MDI54" s="172"/>
      <c r="MDJ54" s="173"/>
      <c r="MDK54" s="173"/>
      <c r="MDL54" s="172"/>
      <c r="MDM54" s="173"/>
      <c r="MDN54" s="173"/>
      <c r="MDO54" s="172"/>
      <c r="MDP54" s="173"/>
      <c r="MDQ54" s="173"/>
      <c r="MDR54" s="172"/>
      <c r="MDS54" s="173"/>
      <c r="MDT54" s="173"/>
      <c r="MDU54" s="172"/>
      <c r="MDV54" s="173"/>
      <c r="MDW54" s="173"/>
      <c r="MDX54" s="172"/>
      <c r="MDY54" s="173"/>
      <c r="MDZ54" s="173"/>
      <c r="MEA54" s="172"/>
      <c r="MEB54" s="173"/>
      <c r="MEC54" s="173"/>
      <c r="MED54" s="172"/>
      <c r="MEE54" s="173"/>
      <c r="MEF54" s="173"/>
      <c r="MEG54" s="172"/>
      <c r="MEH54" s="173"/>
      <c r="MEI54" s="173"/>
      <c r="MEJ54" s="172"/>
      <c r="MEK54" s="173"/>
      <c r="MEL54" s="173"/>
      <c r="MEM54" s="172"/>
      <c r="MEN54" s="173"/>
      <c r="MEO54" s="173"/>
      <c r="MEP54" s="172"/>
      <c r="MEQ54" s="173"/>
      <c r="MER54" s="173"/>
      <c r="MES54" s="172"/>
      <c r="MET54" s="173"/>
      <c r="MEU54" s="173"/>
      <c r="MEV54" s="172"/>
      <c r="MEW54" s="173"/>
      <c r="MEX54" s="173"/>
      <c r="MEY54" s="172"/>
      <c r="MEZ54" s="173"/>
      <c r="MFA54" s="173"/>
      <c r="MFB54" s="172"/>
      <c r="MFC54" s="173"/>
      <c r="MFD54" s="173"/>
      <c r="MFE54" s="172"/>
      <c r="MFF54" s="173"/>
      <c r="MFG54" s="173"/>
      <c r="MFH54" s="172"/>
      <c r="MFI54" s="173"/>
      <c r="MFJ54" s="173"/>
      <c r="MFK54" s="172"/>
      <c r="MFL54" s="173"/>
      <c r="MFM54" s="173"/>
      <c r="MFN54" s="172"/>
      <c r="MFO54" s="173"/>
      <c r="MFP54" s="173"/>
      <c r="MFQ54" s="172"/>
      <c r="MFR54" s="173"/>
      <c r="MFS54" s="173"/>
      <c r="MFT54" s="172"/>
      <c r="MFU54" s="173"/>
      <c r="MFV54" s="173"/>
      <c r="MFW54" s="172"/>
      <c r="MFX54" s="173"/>
      <c r="MFY54" s="173"/>
      <c r="MFZ54" s="172"/>
      <c r="MGA54" s="173"/>
      <c r="MGB54" s="173"/>
      <c r="MGC54" s="172"/>
      <c r="MGD54" s="173"/>
      <c r="MGE54" s="173"/>
      <c r="MGF54" s="172"/>
      <c r="MGG54" s="173"/>
      <c r="MGH54" s="173"/>
      <c r="MGI54" s="172"/>
      <c r="MGJ54" s="173"/>
      <c r="MGK54" s="173"/>
      <c r="MGL54" s="172"/>
      <c r="MGM54" s="173"/>
      <c r="MGN54" s="173"/>
      <c r="MGO54" s="172"/>
      <c r="MGP54" s="173"/>
      <c r="MGQ54" s="173"/>
      <c r="MGR54" s="172"/>
      <c r="MGS54" s="173"/>
      <c r="MGT54" s="173"/>
      <c r="MGU54" s="172"/>
      <c r="MGV54" s="173"/>
      <c r="MGW54" s="173"/>
      <c r="MGX54" s="172"/>
      <c r="MGY54" s="173"/>
      <c r="MGZ54" s="173"/>
      <c r="MHA54" s="172"/>
      <c r="MHB54" s="173"/>
      <c r="MHC54" s="173"/>
      <c r="MHD54" s="172"/>
      <c r="MHE54" s="173"/>
      <c r="MHF54" s="173"/>
      <c r="MHG54" s="172"/>
      <c r="MHH54" s="173"/>
      <c r="MHI54" s="173"/>
      <c r="MHJ54" s="172"/>
      <c r="MHK54" s="173"/>
      <c r="MHL54" s="173"/>
      <c r="MHM54" s="172"/>
      <c r="MHN54" s="173"/>
      <c r="MHO54" s="173"/>
      <c r="MHP54" s="172"/>
      <c r="MHQ54" s="173"/>
      <c r="MHR54" s="173"/>
      <c r="MHS54" s="172"/>
      <c r="MHT54" s="173"/>
      <c r="MHU54" s="173"/>
      <c r="MHV54" s="172"/>
      <c r="MHW54" s="173"/>
      <c r="MHX54" s="173"/>
      <c r="MHY54" s="172"/>
      <c r="MHZ54" s="173"/>
      <c r="MIA54" s="173"/>
      <c r="MIB54" s="172"/>
      <c r="MIC54" s="173"/>
      <c r="MID54" s="173"/>
      <c r="MIE54" s="172"/>
      <c r="MIF54" s="173"/>
      <c r="MIG54" s="173"/>
      <c r="MIH54" s="172"/>
      <c r="MII54" s="173"/>
      <c r="MIJ54" s="173"/>
      <c r="MIK54" s="172"/>
      <c r="MIL54" s="173"/>
      <c r="MIM54" s="173"/>
      <c r="MIN54" s="172"/>
      <c r="MIO54" s="173"/>
      <c r="MIP54" s="173"/>
      <c r="MIQ54" s="172"/>
      <c r="MIR54" s="173"/>
      <c r="MIS54" s="173"/>
      <c r="MIT54" s="172"/>
      <c r="MIU54" s="173"/>
      <c r="MIV54" s="173"/>
      <c r="MIW54" s="172"/>
      <c r="MIX54" s="173"/>
      <c r="MIY54" s="173"/>
      <c r="MIZ54" s="172"/>
      <c r="MJA54" s="173"/>
      <c r="MJB54" s="173"/>
      <c r="MJC54" s="172"/>
      <c r="MJD54" s="173"/>
      <c r="MJE54" s="173"/>
      <c r="MJF54" s="172"/>
      <c r="MJG54" s="173"/>
      <c r="MJH54" s="173"/>
      <c r="MJI54" s="172"/>
      <c r="MJJ54" s="173"/>
      <c r="MJK54" s="173"/>
      <c r="MJL54" s="172"/>
      <c r="MJM54" s="173"/>
      <c r="MJN54" s="173"/>
      <c r="MJO54" s="172"/>
      <c r="MJP54" s="173"/>
      <c r="MJQ54" s="173"/>
      <c r="MJR54" s="172"/>
      <c r="MJS54" s="173"/>
      <c r="MJT54" s="173"/>
      <c r="MJU54" s="172"/>
      <c r="MJV54" s="173"/>
      <c r="MJW54" s="173"/>
      <c r="MJX54" s="172"/>
      <c r="MJY54" s="173"/>
      <c r="MJZ54" s="173"/>
      <c r="MKA54" s="172"/>
      <c r="MKB54" s="173"/>
      <c r="MKC54" s="173"/>
      <c r="MKD54" s="172"/>
      <c r="MKE54" s="173"/>
      <c r="MKF54" s="173"/>
      <c r="MKG54" s="172"/>
      <c r="MKH54" s="173"/>
      <c r="MKI54" s="173"/>
      <c r="MKJ54" s="172"/>
      <c r="MKK54" s="173"/>
      <c r="MKL54" s="173"/>
      <c r="MKM54" s="172"/>
      <c r="MKN54" s="173"/>
      <c r="MKO54" s="173"/>
      <c r="MKP54" s="172"/>
      <c r="MKQ54" s="173"/>
      <c r="MKR54" s="173"/>
      <c r="MKS54" s="172"/>
      <c r="MKT54" s="173"/>
      <c r="MKU54" s="173"/>
      <c r="MKV54" s="172"/>
      <c r="MKW54" s="173"/>
      <c r="MKX54" s="173"/>
      <c r="MKY54" s="172"/>
      <c r="MKZ54" s="173"/>
      <c r="MLA54" s="173"/>
      <c r="MLB54" s="172"/>
      <c r="MLC54" s="173"/>
      <c r="MLD54" s="173"/>
      <c r="MLE54" s="172"/>
      <c r="MLF54" s="173"/>
      <c r="MLG54" s="173"/>
      <c r="MLH54" s="172"/>
      <c r="MLI54" s="173"/>
      <c r="MLJ54" s="173"/>
      <c r="MLK54" s="172"/>
      <c r="MLL54" s="173"/>
      <c r="MLM54" s="173"/>
      <c r="MLN54" s="172"/>
      <c r="MLO54" s="173"/>
      <c r="MLP54" s="173"/>
      <c r="MLQ54" s="172"/>
      <c r="MLR54" s="173"/>
      <c r="MLS54" s="173"/>
      <c r="MLT54" s="172"/>
      <c r="MLU54" s="173"/>
      <c r="MLV54" s="173"/>
      <c r="MLW54" s="172"/>
      <c r="MLX54" s="173"/>
      <c r="MLY54" s="173"/>
      <c r="MLZ54" s="172"/>
      <c r="MMA54" s="173"/>
      <c r="MMB54" s="173"/>
      <c r="MMC54" s="172"/>
      <c r="MMD54" s="173"/>
      <c r="MME54" s="173"/>
      <c r="MMF54" s="172"/>
      <c r="MMG54" s="173"/>
      <c r="MMH54" s="173"/>
      <c r="MMI54" s="172"/>
      <c r="MMJ54" s="173"/>
      <c r="MMK54" s="173"/>
      <c r="MML54" s="172"/>
      <c r="MMM54" s="173"/>
      <c r="MMN54" s="173"/>
      <c r="MMO54" s="172"/>
      <c r="MMP54" s="173"/>
      <c r="MMQ54" s="173"/>
      <c r="MMR54" s="172"/>
      <c r="MMS54" s="173"/>
      <c r="MMT54" s="173"/>
      <c r="MMU54" s="172"/>
      <c r="MMV54" s="173"/>
      <c r="MMW54" s="173"/>
      <c r="MMX54" s="172"/>
      <c r="MMY54" s="173"/>
      <c r="MMZ54" s="173"/>
      <c r="MNA54" s="172"/>
      <c r="MNB54" s="173"/>
      <c r="MNC54" s="173"/>
      <c r="MND54" s="172"/>
      <c r="MNE54" s="173"/>
      <c r="MNF54" s="173"/>
      <c r="MNG54" s="172"/>
      <c r="MNH54" s="173"/>
      <c r="MNI54" s="173"/>
      <c r="MNJ54" s="172"/>
      <c r="MNK54" s="173"/>
      <c r="MNL54" s="173"/>
      <c r="MNM54" s="172"/>
      <c r="MNN54" s="173"/>
      <c r="MNO54" s="173"/>
      <c r="MNP54" s="172"/>
      <c r="MNQ54" s="173"/>
      <c r="MNR54" s="173"/>
      <c r="MNS54" s="172"/>
      <c r="MNT54" s="173"/>
      <c r="MNU54" s="173"/>
      <c r="MNV54" s="172"/>
      <c r="MNW54" s="173"/>
      <c r="MNX54" s="173"/>
      <c r="MNY54" s="172"/>
      <c r="MNZ54" s="173"/>
      <c r="MOA54" s="173"/>
      <c r="MOB54" s="172"/>
      <c r="MOC54" s="173"/>
      <c r="MOD54" s="173"/>
      <c r="MOE54" s="172"/>
      <c r="MOF54" s="173"/>
      <c r="MOG54" s="173"/>
      <c r="MOH54" s="172"/>
      <c r="MOI54" s="173"/>
      <c r="MOJ54" s="173"/>
      <c r="MOK54" s="172"/>
      <c r="MOL54" s="173"/>
      <c r="MOM54" s="173"/>
      <c r="MON54" s="172"/>
      <c r="MOO54" s="173"/>
      <c r="MOP54" s="173"/>
      <c r="MOQ54" s="172"/>
      <c r="MOR54" s="173"/>
      <c r="MOS54" s="173"/>
      <c r="MOT54" s="172"/>
      <c r="MOU54" s="173"/>
      <c r="MOV54" s="173"/>
      <c r="MOW54" s="172"/>
      <c r="MOX54" s="173"/>
      <c r="MOY54" s="173"/>
      <c r="MOZ54" s="172"/>
      <c r="MPA54" s="173"/>
      <c r="MPB54" s="173"/>
      <c r="MPC54" s="172"/>
      <c r="MPD54" s="173"/>
      <c r="MPE54" s="173"/>
      <c r="MPF54" s="172"/>
      <c r="MPG54" s="173"/>
      <c r="MPH54" s="173"/>
      <c r="MPI54" s="172"/>
      <c r="MPJ54" s="173"/>
      <c r="MPK54" s="173"/>
      <c r="MPL54" s="172"/>
      <c r="MPM54" s="173"/>
      <c r="MPN54" s="173"/>
      <c r="MPO54" s="172"/>
      <c r="MPP54" s="173"/>
      <c r="MPQ54" s="173"/>
      <c r="MPR54" s="172"/>
      <c r="MPS54" s="173"/>
      <c r="MPT54" s="173"/>
      <c r="MPU54" s="172"/>
      <c r="MPV54" s="173"/>
      <c r="MPW54" s="173"/>
      <c r="MPX54" s="172"/>
      <c r="MPY54" s="173"/>
      <c r="MPZ54" s="173"/>
      <c r="MQA54" s="172"/>
      <c r="MQB54" s="173"/>
      <c r="MQC54" s="173"/>
      <c r="MQD54" s="172"/>
      <c r="MQE54" s="173"/>
      <c r="MQF54" s="173"/>
      <c r="MQG54" s="172"/>
      <c r="MQH54" s="173"/>
      <c r="MQI54" s="173"/>
      <c r="MQJ54" s="172"/>
      <c r="MQK54" s="173"/>
      <c r="MQL54" s="173"/>
      <c r="MQM54" s="172"/>
      <c r="MQN54" s="173"/>
      <c r="MQO54" s="173"/>
      <c r="MQP54" s="172"/>
      <c r="MQQ54" s="173"/>
      <c r="MQR54" s="173"/>
      <c r="MQS54" s="172"/>
      <c r="MQT54" s="173"/>
      <c r="MQU54" s="173"/>
      <c r="MQV54" s="172"/>
      <c r="MQW54" s="173"/>
      <c r="MQX54" s="173"/>
      <c r="MQY54" s="172"/>
      <c r="MQZ54" s="173"/>
      <c r="MRA54" s="173"/>
      <c r="MRB54" s="172"/>
      <c r="MRC54" s="173"/>
      <c r="MRD54" s="173"/>
      <c r="MRE54" s="172"/>
      <c r="MRF54" s="173"/>
      <c r="MRG54" s="173"/>
      <c r="MRH54" s="172"/>
      <c r="MRI54" s="173"/>
      <c r="MRJ54" s="173"/>
      <c r="MRK54" s="172"/>
      <c r="MRL54" s="173"/>
      <c r="MRM54" s="173"/>
      <c r="MRN54" s="172"/>
      <c r="MRO54" s="173"/>
      <c r="MRP54" s="173"/>
      <c r="MRQ54" s="172"/>
      <c r="MRR54" s="173"/>
      <c r="MRS54" s="173"/>
      <c r="MRT54" s="172"/>
      <c r="MRU54" s="173"/>
      <c r="MRV54" s="173"/>
      <c r="MRW54" s="172"/>
      <c r="MRX54" s="173"/>
      <c r="MRY54" s="173"/>
      <c r="MRZ54" s="172"/>
      <c r="MSA54" s="173"/>
      <c r="MSB54" s="173"/>
      <c r="MSC54" s="172"/>
      <c r="MSD54" s="173"/>
      <c r="MSE54" s="173"/>
      <c r="MSF54" s="172"/>
      <c r="MSG54" s="173"/>
      <c r="MSH54" s="173"/>
      <c r="MSI54" s="172"/>
      <c r="MSJ54" s="173"/>
      <c r="MSK54" s="173"/>
      <c r="MSL54" s="172"/>
      <c r="MSM54" s="173"/>
      <c r="MSN54" s="173"/>
      <c r="MSO54" s="172"/>
      <c r="MSP54" s="173"/>
      <c r="MSQ54" s="173"/>
      <c r="MSR54" s="172"/>
      <c r="MSS54" s="173"/>
      <c r="MST54" s="173"/>
      <c r="MSU54" s="172"/>
      <c r="MSV54" s="173"/>
      <c r="MSW54" s="173"/>
      <c r="MSX54" s="172"/>
      <c r="MSY54" s="173"/>
      <c r="MSZ54" s="173"/>
      <c r="MTA54" s="172"/>
      <c r="MTB54" s="173"/>
      <c r="MTC54" s="173"/>
      <c r="MTD54" s="172"/>
      <c r="MTE54" s="173"/>
      <c r="MTF54" s="173"/>
      <c r="MTG54" s="172"/>
      <c r="MTH54" s="173"/>
      <c r="MTI54" s="173"/>
      <c r="MTJ54" s="172"/>
      <c r="MTK54" s="173"/>
      <c r="MTL54" s="173"/>
      <c r="MTM54" s="172"/>
      <c r="MTN54" s="173"/>
      <c r="MTO54" s="173"/>
      <c r="MTP54" s="172"/>
      <c r="MTQ54" s="173"/>
      <c r="MTR54" s="173"/>
      <c r="MTS54" s="172"/>
      <c r="MTT54" s="173"/>
      <c r="MTU54" s="173"/>
      <c r="MTV54" s="172"/>
      <c r="MTW54" s="173"/>
      <c r="MTX54" s="173"/>
      <c r="MTY54" s="172"/>
      <c r="MTZ54" s="173"/>
      <c r="MUA54" s="173"/>
      <c r="MUB54" s="172"/>
      <c r="MUC54" s="173"/>
      <c r="MUD54" s="173"/>
      <c r="MUE54" s="172"/>
      <c r="MUF54" s="173"/>
      <c r="MUG54" s="173"/>
      <c r="MUH54" s="172"/>
      <c r="MUI54" s="173"/>
      <c r="MUJ54" s="173"/>
      <c r="MUK54" s="172"/>
      <c r="MUL54" s="173"/>
      <c r="MUM54" s="173"/>
      <c r="MUN54" s="172"/>
      <c r="MUO54" s="173"/>
      <c r="MUP54" s="173"/>
      <c r="MUQ54" s="172"/>
      <c r="MUR54" s="173"/>
      <c r="MUS54" s="173"/>
      <c r="MUT54" s="172"/>
      <c r="MUU54" s="173"/>
      <c r="MUV54" s="173"/>
      <c r="MUW54" s="172"/>
      <c r="MUX54" s="173"/>
      <c r="MUY54" s="173"/>
      <c r="MUZ54" s="172"/>
      <c r="MVA54" s="173"/>
      <c r="MVB54" s="173"/>
      <c r="MVC54" s="172"/>
      <c r="MVD54" s="173"/>
      <c r="MVE54" s="173"/>
      <c r="MVF54" s="172"/>
      <c r="MVG54" s="173"/>
      <c r="MVH54" s="173"/>
      <c r="MVI54" s="172"/>
      <c r="MVJ54" s="173"/>
      <c r="MVK54" s="173"/>
      <c r="MVL54" s="172"/>
      <c r="MVM54" s="173"/>
      <c r="MVN54" s="173"/>
      <c r="MVO54" s="172"/>
      <c r="MVP54" s="173"/>
      <c r="MVQ54" s="173"/>
      <c r="MVR54" s="172"/>
      <c r="MVS54" s="173"/>
      <c r="MVT54" s="173"/>
      <c r="MVU54" s="172"/>
      <c r="MVV54" s="173"/>
      <c r="MVW54" s="173"/>
      <c r="MVX54" s="172"/>
      <c r="MVY54" s="173"/>
      <c r="MVZ54" s="173"/>
      <c r="MWA54" s="172"/>
      <c r="MWB54" s="173"/>
      <c r="MWC54" s="173"/>
      <c r="MWD54" s="172"/>
      <c r="MWE54" s="173"/>
      <c r="MWF54" s="173"/>
      <c r="MWG54" s="172"/>
      <c r="MWH54" s="173"/>
      <c r="MWI54" s="173"/>
      <c r="MWJ54" s="172"/>
      <c r="MWK54" s="173"/>
      <c r="MWL54" s="173"/>
      <c r="MWM54" s="172"/>
      <c r="MWN54" s="173"/>
      <c r="MWO54" s="173"/>
      <c r="MWP54" s="172"/>
      <c r="MWQ54" s="173"/>
      <c r="MWR54" s="173"/>
      <c r="MWS54" s="172"/>
      <c r="MWT54" s="173"/>
      <c r="MWU54" s="173"/>
      <c r="MWV54" s="172"/>
      <c r="MWW54" s="173"/>
      <c r="MWX54" s="173"/>
      <c r="MWY54" s="172"/>
      <c r="MWZ54" s="173"/>
      <c r="MXA54" s="173"/>
      <c r="MXB54" s="172"/>
      <c r="MXC54" s="173"/>
      <c r="MXD54" s="173"/>
      <c r="MXE54" s="172"/>
      <c r="MXF54" s="173"/>
      <c r="MXG54" s="173"/>
      <c r="MXH54" s="172"/>
      <c r="MXI54" s="173"/>
      <c r="MXJ54" s="173"/>
      <c r="MXK54" s="172"/>
      <c r="MXL54" s="173"/>
      <c r="MXM54" s="173"/>
      <c r="MXN54" s="172"/>
      <c r="MXO54" s="173"/>
      <c r="MXP54" s="173"/>
      <c r="MXQ54" s="172"/>
      <c r="MXR54" s="173"/>
      <c r="MXS54" s="173"/>
      <c r="MXT54" s="172"/>
      <c r="MXU54" s="173"/>
      <c r="MXV54" s="173"/>
      <c r="MXW54" s="172"/>
      <c r="MXX54" s="173"/>
      <c r="MXY54" s="173"/>
      <c r="MXZ54" s="172"/>
      <c r="MYA54" s="173"/>
      <c r="MYB54" s="173"/>
      <c r="MYC54" s="172"/>
      <c r="MYD54" s="173"/>
      <c r="MYE54" s="173"/>
      <c r="MYF54" s="172"/>
      <c r="MYG54" s="173"/>
      <c r="MYH54" s="173"/>
      <c r="MYI54" s="172"/>
      <c r="MYJ54" s="173"/>
      <c r="MYK54" s="173"/>
      <c r="MYL54" s="172"/>
      <c r="MYM54" s="173"/>
      <c r="MYN54" s="173"/>
      <c r="MYO54" s="172"/>
      <c r="MYP54" s="173"/>
      <c r="MYQ54" s="173"/>
      <c r="MYR54" s="172"/>
      <c r="MYS54" s="173"/>
      <c r="MYT54" s="173"/>
      <c r="MYU54" s="172"/>
      <c r="MYV54" s="173"/>
      <c r="MYW54" s="173"/>
      <c r="MYX54" s="172"/>
      <c r="MYY54" s="173"/>
      <c r="MYZ54" s="173"/>
      <c r="MZA54" s="172"/>
      <c r="MZB54" s="173"/>
      <c r="MZC54" s="173"/>
      <c r="MZD54" s="172"/>
      <c r="MZE54" s="173"/>
      <c r="MZF54" s="173"/>
      <c r="MZG54" s="172"/>
      <c r="MZH54" s="173"/>
      <c r="MZI54" s="173"/>
      <c r="MZJ54" s="172"/>
      <c r="MZK54" s="173"/>
      <c r="MZL54" s="173"/>
      <c r="MZM54" s="172"/>
      <c r="MZN54" s="173"/>
      <c r="MZO54" s="173"/>
      <c r="MZP54" s="172"/>
      <c r="MZQ54" s="173"/>
      <c r="MZR54" s="173"/>
      <c r="MZS54" s="172"/>
      <c r="MZT54" s="173"/>
      <c r="MZU54" s="173"/>
      <c r="MZV54" s="172"/>
      <c r="MZW54" s="173"/>
      <c r="MZX54" s="173"/>
      <c r="MZY54" s="172"/>
      <c r="MZZ54" s="173"/>
      <c r="NAA54" s="173"/>
      <c r="NAB54" s="172"/>
      <c r="NAC54" s="173"/>
      <c r="NAD54" s="173"/>
      <c r="NAE54" s="172"/>
      <c r="NAF54" s="173"/>
      <c r="NAG54" s="173"/>
      <c r="NAH54" s="172"/>
      <c r="NAI54" s="173"/>
      <c r="NAJ54" s="173"/>
      <c r="NAK54" s="172"/>
      <c r="NAL54" s="173"/>
      <c r="NAM54" s="173"/>
      <c r="NAN54" s="172"/>
      <c r="NAO54" s="173"/>
      <c r="NAP54" s="173"/>
      <c r="NAQ54" s="172"/>
      <c r="NAR54" s="173"/>
      <c r="NAS54" s="173"/>
      <c r="NAT54" s="172"/>
      <c r="NAU54" s="173"/>
      <c r="NAV54" s="173"/>
      <c r="NAW54" s="172"/>
      <c r="NAX54" s="173"/>
      <c r="NAY54" s="173"/>
      <c r="NAZ54" s="172"/>
      <c r="NBA54" s="173"/>
      <c r="NBB54" s="173"/>
      <c r="NBC54" s="172"/>
      <c r="NBD54" s="173"/>
      <c r="NBE54" s="173"/>
      <c r="NBF54" s="172"/>
      <c r="NBG54" s="173"/>
      <c r="NBH54" s="173"/>
      <c r="NBI54" s="172"/>
      <c r="NBJ54" s="173"/>
      <c r="NBK54" s="173"/>
      <c r="NBL54" s="172"/>
      <c r="NBM54" s="173"/>
      <c r="NBN54" s="173"/>
      <c r="NBO54" s="172"/>
      <c r="NBP54" s="173"/>
      <c r="NBQ54" s="173"/>
      <c r="NBR54" s="172"/>
      <c r="NBS54" s="173"/>
      <c r="NBT54" s="173"/>
      <c r="NBU54" s="172"/>
      <c r="NBV54" s="173"/>
      <c r="NBW54" s="173"/>
      <c r="NBX54" s="172"/>
      <c r="NBY54" s="173"/>
      <c r="NBZ54" s="173"/>
      <c r="NCA54" s="172"/>
      <c r="NCB54" s="173"/>
      <c r="NCC54" s="173"/>
      <c r="NCD54" s="172"/>
      <c r="NCE54" s="173"/>
      <c r="NCF54" s="173"/>
      <c r="NCG54" s="172"/>
      <c r="NCH54" s="173"/>
      <c r="NCI54" s="173"/>
      <c r="NCJ54" s="172"/>
      <c r="NCK54" s="173"/>
      <c r="NCL54" s="173"/>
      <c r="NCM54" s="172"/>
      <c r="NCN54" s="173"/>
      <c r="NCO54" s="173"/>
      <c r="NCP54" s="172"/>
      <c r="NCQ54" s="173"/>
      <c r="NCR54" s="173"/>
      <c r="NCS54" s="172"/>
      <c r="NCT54" s="173"/>
      <c r="NCU54" s="173"/>
      <c r="NCV54" s="172"/>
      <c r="NCW54" s="173"/>
      <c r="NCX54" s="173"/>
      <c r="NCY54" s="172"/>
      <c r="NCZ54" s="173"/>
      <c r="NDA54" s="173"/>
      <c r="NDB54" s="172"/>
      <c r="NDC54" s="173"/>
      <c r="NDD54" s="173"/>
      <c r="NDE54" s="172"/>
      <c r="NDF54" s="173"/>
      <c r="NDG54" s="173"/>
      <c r="NDH54" s="172"/>
      <c r="NDI54" s="173"/>
      <c r="NDJ54" s="173"/>
      <c r="NDK54" s="172"/>
      <c r="NDL54" s="173"/>
      <c r="NDM54" s="173"/>
      <c r="NDN54" s="172"/>
      <c r="NDO54" s="173"/>
      <c r="NDP54" s="173"/>
      <c r="NDQ54" s="172"/>
      <c r="NDR54" s="173"/>
      <c r="NDS54" s="173"/>
      <c r="NDT54" s="172"/>
      <c r="NDU54" s="173"/>
      <c r="NDV54" s="173"/>
      <c r="NDW54" s="172"/>
      <c r="NDX54" s="173"/>
      <c r="NDY54" s="173"/>
      <c r="NDZ54" s="172"/>
      <c r="NEA54" s="173"/>
      <c r="NEB54" s="173"/>
      <c r="NEC54" s="172"/>
      <c r="NED54" s="173"/>
      <c r="NEE54" s="173"/>
      <c r="NEF54" s="172"/>
      <c r="NEG54" s="173"/>
      <c r="NEH54" s="173"/>
      <c r="NEI54" s="172"/>
      <c r="NEJ54" s="173"/>
      <c r="NEK54" s="173"/>
      <c r="NEL54" s="172"/>
      <c r="NEM54" s="173"/>
      <c r="NEN54" s="173"/>
      <c r="NEO54" s="172"/>
      <c r="NEP54" s="173"/>
      <c r="NEQ54" s="173"/>
      <c r="NER54" s="172"/>
      <c r="NES54" s="173"/>
      <c r="NET54" s="173"/>
      <c r="NEU54" s="172"/>
      <c r="NEV54" s="173"/>
      <c r="NEW54" s="173"/>
      <c r="NEX54" s="172"/>
      <c r="NEY54" s="173"/>
      <c r="NEZ54" s="173"/>
      <c r="NFA54" s="172"/>
      <c r="NFB54" s="173"/>
      <c r="NFC54" s="173"/>
      <c r="NFD54" s="172"/>
      <c r="NFE54" s="173"/>
      <c r="NFF54" s="173"/>
      <c r="NFG54" s="172"/>
      <c r="NFH54" s="173"/>
      <c r="NFI54" s="173"/>
      <c r="NFJ54" s="172"/>
      <c r="NFK54" s="173"/>
      <c r="NFL54" s="173"/>
      <c r="NFM54" s="172"/>
      <c r="NFN54" s="173"/>
      <c r="NFO54" s="173"/>
      <c r="NFP54" s="172"/>
      <c r="NFQ54" s="173"/>
      <c r="NFR54" s="173"/>
      <c r="NFS54" s="172"/>
      <c r="NFT54" s="173"/>
      <c r="NFU54" s="173"/>
      <c r="NFV54" s="172"/>
      <c r="NFW54" s="173"/>
      <c r="NFX54" s="173"/>
      <c r="NFY54" s="172"/>
      <c r="NFZ54" s="173"/>
      <c r="NGA54" s="173"/>
      <c r="NGB54" s="172"/>
      <c r="NGC54" s="173"/>
      <c r="NGD54" s="173"/>
      <c r="NGE54" s="172"/>
      <c r="NGF54" s="173"/>
      <c r="NGG54" s="173"/>
      <c r="NGH54" s="172"/>
      <c r="NGI54" s="173"/>
      <c r="NGJ54" s="173"/>
      <c r="NGK54" s="172"/>
      <c r="NGL54" s="173"/>
      <c r="NGM54" s="173"/>
      <c r="NGN54" s="172"/>
      <c r="NGO54" s="173"/>
      <c r="NGP54" s="173"/>
      <c r="NGQ54" s="172"/>
      <c r="NGR54" s="173"/>
      <c r="NGS54" s="173"/>
      <c r="NGT54" s="172"/>
      <c r="NGU54" s="173"/>
      <c r="NGV54" s="173"/>
      <c r="NGW54" s="172"/>
      <c r="NGX54" s="173"/>
      <c r="NGY54" s="173"/>
      <c r="NGZ54" s="172"/>
      <c r="NHA54" s="173"/>
      <c r="NHB54" s="173"/>
      <c r="NHC54" s="172"/>
      <c r="NHD54" s="173"/>
      <c r="NHE54" s="173"/>
      <c r="NHF54" s="172"/>
      <c r="NHG54" s="173"/>
      <c r="NHH54" s="173"/>
      <c r="NHI54" s="172"/>
      <c r="NHJ54" s="173"/>
      <c r="NHK54" s="173"/>
      <c r="NHL54" s="172"/>
      <c r="NHM54" s="173"/>
      <c r="NHN54" s="173"/>
      <c r="NHO54" s="172"/>
      <c r="NHP54" s="173"/>
      <c r="NHQ54" s="173"/>
      <c r="NHR54" s="172"/>
      <c r="NHS54" s="173"/>
      <c r="NHT54" s="173"/>
      <c r="NHU54" s="172"/>
      <c r="NHV54" s="173"/>
      <c r="NHW54" s="173"/>
      <c r="NHX54" s="172"/>
      <c r="NHY54" s="173"/>
      <c r="NHZ54" s="173"/>
      <c r="NIA54" s="172"/>
      <c r="NIB54" s="173"/>
      <c r="NIC54" s="173"/>
      <c r="NID54" s="172"/>
      <c r="NIE54" s="173"/>
      <c r="NIF54" s="173"/>
      <c r="NIG54" s="172"/>
      <c r="NIH54" s="173"/>
      <c r="NII54" s="173"/>
      <c r="NIJ54" s="172"/>
      <c r="NIK54" s="173"/>
      <c r="NIL54" s="173"/>
      <c r="NIM54" s="172"/>
      <c r="NIN54" s="173"/>
      <c r="NIO54" s="173"/>
      <c r="NIP54" s="172"/>
      <c r="NIQ54" s="173"/>
      <c r="NIR54" s="173"/>
      <c r="NIS54" s="172"/>
      <c r="NIT54" s="173"/>
      <c r="NIU54" s="173"/>
      <c r="NIV54" s="172"/>
      <c r="NIW54" s="173"/>
      <c r="NIX54" s="173"/>
      <c r="NIY54" s="172"/>
      <c r="NIZ54" s="173"/>
      <c r="NJA54" s="173"/>
      <c r="NJB54" s="172"/>
      <c r="NJC54" s="173"/>
      <c r="NJD54" s="173"/>
      <c r="NJE54" s="172"/>
      <c r="NJF54" s="173"/>
      <c r="NJG54" s="173"/>
      <c r="NJH54" s="172"/>
      <c r="NJI54" s="173"/>
      <c r="NJJ54" s="173"/>
      <c r="NJK54" s="172"/>
      <c r="NJL54" s="173"/>
      <c r="NJM54" s="173"/>
      <c r="NJN54" s="172"/>
      <c r="NJO54" s="173"/>
      <c r="NJP54" s="173"/>
      <c r="NJQ54" s="172"/>
      <c r="NJR54" s="173"/>
      <c r="NJS54" s="173"/>
      <c r="NJT54" s="172"/>
      <c r="NJU54" s="173"/>
      <c r="NJV54" s="173"/>
      <c r="NJW54" s="172"/>
      <c r="NJX54" s="173"/>
      <c r="NJY54" s="173"/>
      <c r="NJZ54" s="172"/>
      <c r="NKA54" s="173"/>
      <c r="NKB54" s="173"/>
      <c r="NKC54" s="172"/>
      <c r="NKD54" s="173"/>
      <c r="NKE54" s="173"/>
      <c r="NKF54" s="172"/>
      <c r="NKG54" s="173"/>
      <c r="NKH54" s="173"/>
      <c r="NKI54" s="172"/>
      <c r="NKJ54" s="173"/>
      <c r="NKK54" s="173"/>
      <c r="NKL54" s="172"/>
      <c r="NKM54" s="173"/>
      <c r="NKN54" s="173"/>
      <c r="NKO54" s="172"/>
      <c r="NKP54" s="173"/>
      <c r="NKQ54" s="173"/>
      <c r="NKR54" s="172"/>
      <c r="NKS54" s="173"/>
      <c r="NKT54" s="173"/>
      <c r="NKU54" s="172"/>
      <c r="NKV54" s="173"/>
      <c r="NKW54" s="173"/>
      <c r="NKX54" s="172"/>
      <c r="NKY54" s="173"/>
      <c r="NKZ54" s="173"/>
      <c r="NLA54" s="172"/>
      <c r="NLB54" s="173"/>
      <c r="NLC54" s="173"/>
      <c r="NLD54" s="172"/>
      <c r="NLE54" s="173"/>
      <c r="NLF54" s="173"/>
      <c r="NLG54" s="172"/>
      <c r="NLH54" s="173"/>
      <c r="NLI54" s="173"/>
      <c r="NLJ54" s="172"/>
      <c r="NLK54" s="173"/>
      <c r="NLL54" s="173"/>
      <c r="NLM54" s="172"/>
      <c r="NLN54" s="173"/>
      <c r="NLO54" s="173"/>
      <c r="NLP54" s="172"/>
      <c r="NLQ54" s="173"/>
      <c r="NLR54" s="173"/>
      <c r="NLS54" s="172"/>
      <c r="NLT54" s="173"/>
      <c r="NLU54" s="173"/>
      <c r="NLV54" s="172"/>
      <c r="NLW54" s="173"/>
      <c r="NLX54" s="173"/>
      <c r="NLY54" s="172"/>
      <c r="NLZ54" s="173"/>
      <c r="NMA54" s="173"/>
      <c r="NMB54" s="172"/>
      <c r="NMC54" s="173"/>
      <c r="NMD54" s="173"/>
      <c r="NME54" s="172"/>
      <c r="NMF54" s="173"/>
      <c r="NMG54" s="173"/>
      <c r="NMH54" s="172"/>
      <c r="NMI54" s="173"/>
      <c r="NMJ54" s="173"/>
      <c r="NMK54" s="172"/>
      <c r="NML54" s="173"/>
      <c r="NMM54" s="173"/>
      <c r="NMN54" s="172"/>
      <c r="NMO54" s="173"/>
      <c r="NMP54" s="173"/>
      <c r="NMQ54" s="172"/>
      <c r="NMR54" s="173"/>
      <c r="NMS54" s="173"/>
      <c r="NMT54" s="172"/>
      <c r="NMU54" s="173"/>
      <c r="NMV54" s="173"/>
      <c r="NMW54" s="172"/>
      <c r="NMX54" s="173"/>
      <c r="NMY54" s="173"/>
      <c r="NMZ54" s="172"/>
      <c r="NNA54" s="173"/>
      <c r="NNB54" s="173"/>
      <c r="NNC54" s="172"/>
      <c r="NND54" s="173"/>
      <c r="NNE54" s="173"/>
      <c r="NNF54" s="172"/>
      <c r="NNG54" s="173"/>
      <c r="NNH54" s="173"/>
      <c r="NNI54" s="172"/>
      <c r="NNJ54" s="173"/>
      <c r="NNK54" s="173"/>
      <c r="NNL54" s="172"/>
      <c r="NNM54" s="173"/>
      <c r="NNN54" s="173"/>
      <c r="NNO54" s="172"/>
      <c r="NNP54" s="173"/>
      <c r="NNQ54" s="173"/>
      <c r="NNR54" s="172"/>
      <c r="NNS54" s="173"/>
      <c r="NNT54" s="173"/>
      <c r="NNU54" s="172"/>
      <c r="NNV54" s="173"/>
      <c r="NNW54" s="173"/>
      <c r="NNX54" s="172"/>
      <c r="NNY54" s="173"/>
      <c r="NNZ54" s="173"/>
      <c r="NOA54" s="172"/>
      <c r="NOB54" s="173"/>
      <c r="NOC54" s="173"/>
      <c r="NOD54" s="172"/>
      <c r="NOE54" s="173"/>
      <c r="NOF54" s="173"/>
      <c r="NOG54" s="172"/>
      <c r="NOH54" s="173"/>
      <c r="NOI54" s="173"/>
      <c r="NOJ54" s="172"/>
      <c r="NOK54" s="173"/>
      <c r="NOL54" s="173"/>
      <c r="NOM54" s="172"/>
      <c r="NON54" s="173"/>
      <c r="NOO54" s="173"/>
      <c r="NOP54" s="172"/>
      <c r="NOQ54" s="173"/>
      <c r="NOR54" s="173"/>
      <c r="NOS54" s="172"/>
      <c r="NOT54" s="173"/>
      <c r="NOU54" s="173"/>
      <c r="NOV54" s="172"/>
      <c r="NOW54" s="173"/>
      <c r="NOX54" s="173"/>
      <c r="NOY54" s="172"/>
      <c r="NOZ54" s="173"/>
      <c r="NPA54" s="173"/>
      <c r="NPB54" s="172"/>
      <c r="NPC54" s="173"/>
      <c r="NPD54" s="173"/>
      <c r="NPE54" s="172"/>
      <c r="NPF54" s="173"/>
      <c r="NPG54" s="173"/>
      <c r="NPH54" s="172"/>
      <c r="NPI54" s="173"/>
      <c r="NPJ54" s="173"/>
      <c r="NPK54" s="172"/>
      <c r="NPL54" s="173"/>
      <c r="NPM54" s="173"/>
      <c r="NPN54" s="172"/>
      <c r="NPO54" s="173"/>
      <c r="NPP54" s="173"/>
      <c r="NPQ54" s="172"/>
      <c r="NPR54" s="173"/>
      <c r="NPS54" s="173"/>
      <c r="NPT54" s="172"/>
      <c r="NPU54" s="173"/>
      <c r="NPV54" s="173"/>
      <c r="NPW54" s="172"/>
      <c r="NPX54" s="173"/>
      <c r="NPY54" s="173"/>
      <c r="NPZ54" s="172"/>
      <c r="NQA54" s="173"/>
      <c r="NQB54" s="173"/>
      <c r="NQC54" s="172"/>
      <c r="NQD54" s="173"/>
      <c r="NQE54" s="173"/>
      <c r="NQF54" s="172"/>
      <c r="NQG54" s="173"/>
      <c r="NQH54" s="173"/>
      <c r="NQI54" s="172"/>
      <c r="NQJ54" s="173"/>
      <c r="NQK54" s="173"/>
      <c r="NQL54" s="172"/>
      <c r="NQM54" s="173"/>
      <c r="NQN54" s="173"/>
      <c r="NQO54" s="172"/>
      <c r="NQP54" s="173"/>
      <c r="NQQ54" s="173"/>
      <c r="NQR54" s="172"/>
      <c r="NQS54" s="173"/>
      <c r="NQT54" s="173"/>
      <c r="NQU54" s="172"/>
      <c r="NQV54" s="173"/>
      <c r="NQW54" s="173"/>
      <c r="NQX54" s="172"/>
      <c r="NQY54" s="173"/>
      <c r="NQZ54" s="173"/>
      <c r="NRA54" s="172"/>
      <c r="NRB54" s="173"/>
      <c r="NRC54" s="173"/>
      <c r="NRD54" s="172"/>
      <c r="NRE54" s="173"/>
      <c r="NRF54" s="173"/>
      <c r="NRG54" s="172"/>
      <c r="NRH54" s="173"/>
      <c r="NRI54" s="173"/>
      <c r="NRJ54" s="172"/>
      <c r="NRK54" s="173"/>
      <c r="NRL54" s="173"/>
      <c r="NRM54" s="172"/>
      <c r="NRN54" s="173"/>
      <c r="NRO54" s="173"/>
      <c r="NRP54" s="172"/>
      <c r="NRQ54" s="173"/>
      <c r="NRR54" s="173"/>
      <c r="NRS54" s="172"/>
      <c r="NRT54" s="173"/>
      <c r="NRU54" s="173"/>
      <c r="NRV54" s="172"/>
      <c r="NRW54" s="173"/>
      <c r="NRX54" s="173"/>
      <c r="NRY54" s="172"/>
      <c r="NRZ54" s="173"/>
      <c r="NSA54" s="173"/>
      <c r="NSB54" s="172"/>
      <c r="NSC54" s="173"/>
      <c r="NSD54" s="173"/>
      <c r="NSE54" s="172"/>
      <c r="NSF54" s="173"/>
      <c r="NSG54" s="173"/>
      <c r="NSH54" s="172"/>
      <c r="NSI54" s="173"/>
      <c r="NSJ54" s="173"/>
      <c r="NSK54" s="172"/>
      <c r="NSL54" s="173"/>
      <c r="NSM54" s="173"/>
      <c r="NSN54" s="172"/>
      <c r="NSO54" s="173"/>
      <c r="NSP54" s="173"/>
      <c r="NSQ54" s="172"/>
      <c r="NSR54" s="173"/>
      <c r="NSS54" s="173"/>
      <c r="NST54" s="172"/>
      <c r="NSU54" s="173"/>
      <c r="NSV54" s="173"/>
      <c r="NSW54" s="172"/>
      <c r="NSX54" s="173"/>
      <c r="NSY54" s="173"/>
      <c r="NSZ54" s="172"/>
      <c r="NTA54" s="173"/>
      <c r="NTB54" s="173"/>
      <c r="NTC54" s="172"/>
      <c r="NTD54" s="173"/>
      <c r="NTE54" s="173"/>
      <c r="NTF54" s="172"/>
      <c r="NTG54" s="173"/>
      <c r="NTH54" s="173"/>
      <c r="NTI54" s="172"/>
      <c r="NTJ54" s="173"/>
      <c r="NTK54" s="173"/>
      <c r="NTL54" s="172"/>
      <c r="NTM54" s="173"/>
      <c r="NTN54" s="173"/>
      <c r="NTO54" s="172"/>
      <c r="NTP54" s="173"/>
      <c r="NTQ54" s="173"/>
      <c r="NTR54" s="172"/>
      <c r="NTS54" s="173"/>
      <c r="NTT54" s="173"/>
      <c r="NTU54" s="172"/>
      <c r="NTV54" s="173"/>
      <c r="NTW54" s="173"/>
      <c r="NTX54" s="172"/>
      <c r="NTY54" s="173"/>
      <c r="NTZ54" s="173"/>
      <c r="NUA54" s="172"/>
      <c r="NUB54" s="173"/>
      <c r="NUC54" s="173"/>
      <c r="NUD54" s="172"/>
      <c r="NUE54" s="173"/>
      <c r="NUF54" s="173"/>
      <c r="NUG54" s="172"/>
      <c r="NUH54" s="173"/>
      <c r="NUI54" s="173"/>
      <c r="NUJ54" s="172"/>
      <c r="NUK54" s="173"/>
      <c r="NUL54" s="173"/>
      <c r="NUM54" s="172"/>
      <c r="NUN54" s="173"/>
      <c r="NUO54" s="173"/>
      <c r="NUP54" s="172"/>
      <c r="NUQ54" s="173"/>
      <c r="NUR54" s="173"/>
      <c r="NUS54" s="172"/>
      <c r="NUT54" s="173"/>
      <c r="NUU54" s="173"/>
      <c r="NUV54" s="172"/>
      <c r="NUW54" s="173"/>
      <c r="NUX54" s="173"/>
      <c r="NUY54" s="172"/>
      <c r="NUZ54" s="173"/>
      <c r="NVA54" s="173"/>
      <c r="NVB54" s="172"/>
      <c r="NVC54" s="173"/>
      <c r="NVD54" s="173"/>
      <c r="NVE54" s="172"/>
      <c r="NVF54" s="173"/>
      <c r="NVG54" s="173"/>
      <c r="NVH54" s="172"/>
      <c r="NVI54" s="173"/>
      <c r="NVJ54" s="173"/>
      <c r="NVK54" s="172"/>
      <c r="NVL54" s="173"/>
      <c r="NVM54" s="173"/>
      <c r="NVN54" s="172"/>
      <c r="NVO54" s="173"/>
      <c r="NVP54" s="173"/>
      <c r="NVQ54" s="172"/>
      <c r="NVR54" s="173"/>
      <c r="NVS54" s="173"/>
      <c r="NVT54" s="172"/>
      <c r="NVU54" s="173"/>
      <c r="NVV54" s="173"/>
      <c r="NVW54" s="172"/>
      <c r="NVX54" s="173"/>
      <c r="NVY54" s="173"/>
      <c r="NVZ54" s="172"/>
      <c r="NWA54" s="173"/>
      <c r="NWB54" s="173"/>
      <c r="NWC54" s="172"/>
      <c r="NWD54" s="173"/>
      <c r="NWE54" s="173"/>
      <c r="NWF54" s="172"/>
      <c r="NWG54" s="173"/>
      <c r="NWH54" s="173"/>
      <c r="NWI54" s="172"/>
      <c r="NWJ54" s="173"/>
      <c r="NWK54" s="173"/>
      <c r="NWL54" s="172"/>
      <c r="NWM54" s="173"/>
      <c r="NWN54" s="173"/>
      <c r="NWO54" s="172"/>
      <c r="NWP54" s="173"/>
      <c r="NWQ54" s="173"/>
      <c r="NWR54" s="172"/>
      <c r="NWS54" s="173"/>
      <c r="NWT54" s="173"/>
      <c r="NWU54" s="172"/>
      <c r="NWV54" s="173"/>
      <c r="NWW54" s="173"/>
      <c r="NWX54" s="172"/>
      <c r="NWY54" s="173"/>
      <c r="NWZ54" s="173"/>
      <c r="NXA54" s="172"/>
      <c r="NXB54" s="173"/>
      <c r="NXC54" s="173"/>
      <c r="NXD54" s="172"/>
      <c r="NXE54" s="173"/>
      <c r="NXF54" s="173"/>
      <c r="NXG54" s="172"/>
      <c r="NXH54" s="173"/>
      <c r="NXI54" s="173"/>
      <c r="NXJ54" s="172"/>
      <c r="NXK54" s="173"/>
      <c r="NXL54" s="173"/>
      <c r="NXM54" s="172"/>
      <c r="NXN54" s="173"/>
      <c r="NXO54" s="173"/>
      <c r="NXP54" s="172"/>
      <c r="NXQ54" s="173"/>
      <c r="NXR54" s="173"/>
      <c r="NXS54" s="172"/>
      <c r="NXT54" s="173"/>
      <c r="NXU54" s="173"/>
      <c r="NXV54" s="172"/>
      <c r="NXW54" s="173"/>
      <c r="NXX54" s="173"/>
      <c r="NXY54" s="172"/>
      <c r="NXZ54" s="173"/>
      <c r="NYA54" s="173"/>
      <c r="NYB54" s="172"/>
      <c r="NYC54" s="173"/>
      <c r="NYD54" s="173"/>
      <c r="NYE54" s="172"/>
      <c r="NYF54" s="173"/>
      <c r="NYG54" s="173"/>
      <c r="NYH54" s="172"/>
      <c r="NYI54" s="173"/>
      <c r="NYJ54" s="173"/>
      <c r="NYK54" s="172"/>
      <c r="NYL54" s="173"/>
      <c r="NYM54" s="173"/>
      <c r="NYN54" s="172"/>
      <c r="NYO54" s="173"/>
      <c r="NYP54" s="173"/>
      <c r="NYQ54" s="172"/>
      <c r="NYR54" s="173"/>
      <c r="NYS54" s="173"/>
      <c r="NYT54" s="172"/>
      <c r="NYU54" s="173"/>
      <c r="NYV54" s="173"/>
      <c r="NYW54" s="172"/>
      <c r="NYX54" s="173"/>
      <c r="NYY54" s="173"/>
      <c r="NYZ54" s="172"/>
      <c r="NZA54" s="173"/>
      <c r="NZB54" s="173"/>
      <c r="NZC54" s="172"/>
      <c r="NZD54" s="173"/>
      <c r="NZE54" s="173"/>
      <c r="NZF54" s="172"/>
      <c r="NZG54" s="173"/>
      <c r="NZH54" s="173"/>
      <c r="NZI54" s="172"/>
      <c r="NZJ54" s="173"/>
      <c r="NZK54" s="173"/>
      <c r="NZL54" s="172"/>
      <c r="NZM54" s="173"/>
      <c r="NZN54" s="173"/>
      <c r="NZO54" s="172"/>
      <c r="NZP54" s="173"/>
      <c r="NZQ54" s="173"/>
      <c r="NZR54" s="172"/>
      <c r="NZS54" s="173"/>
      <c r="NZT54" s="173"/>
      <c r="NZU54" s="172"/>
      <c r="NZV54" s="173"/>
      <c r="NZW54" s="173"/>
      <c r="NZX54" s="172"/>
      <c r="NZY54" s="173"/>
      <c r="NZZ54" s="173"/>
      <c r="OAA54" s="172"/>
      <c r="OAB54" s="173"/>
      <c r="OAC54" s="173"/>
      <c r="OAD54" s="172"/>
      <c r="OAE54" s="173"/>
      <c r="OAF54" s="173"/>
      <c r="OAG54" s="172"/>
      <c r="OAH54" s="173"/>
      <c r="OAI54" s="173"/>
      <c r="OAJ54" s="172"/>
      <c r="OAK54" s="173"/>
      <c r="OAL54" s="173"/>
      <c r="OAM54" s="172"/>
      <c r="OAN54" s="173"/>
      <c r="OAO54" s="173"/>
      <c r="OAP54" s="172"/>
      <c r="OAQ54" s="173"/>
      <c r="OAR54" s="173"/>
      <c r="OAS54" s="172"/>
      <c r="OAT54" s="173"/>
      <c r="OAU54" s="173"/>
      <c r="OAV54" s="172"/>
      <c r="OAW54" s="173"/>
      <c r="OAX54" s="173"/>
      <c r="OAY54" s="172"/>
      <c r="OAZ54" s="173"/>
      <c r="OBA54" s="173"/>
      <c r="OBB54" s="172"/>
      <c r="OBC54" s="173"/>
      <c r="OBD54" s="173"/>
      <c r="OBE54" s="172"/>
      <c r="OBF54" s="173"/>
      <c r="OBG54" s="173"/>
      <c r="OBH54" s="172"/>
      <c r="OBI54" s="173"/>
      <c r="OBJ54" s="173"/>
      <c r="OBK54" s="172"/>
      <c r="OBL54" s="173"/>
      <c r="OBM54" s="173"/>
      <c r="OBN54" s="172"/>
      <c r="OBO54" s="173"/>
      <c r="OBP54" s="173"/>
      <c r="OBQ54" s="172"/>
      <c r="OBR54" s="173"/>
      <c r="OBS54" s="173"/>
      <c r="OBT54" s="172"/>
      <c r="OBU54" s="173"/>
      <c r="OBV54" s="173"/>
      <c r="OBW54" s="172"/>
      <c r="OBX54" s="173"/>
      <c r="OBY54" s="173"/>
      <c r="OBZ54" s="172"/>
      <c r="OCA54" s="173"/>
      <c r="OCB54" s="173"/>
      <c r="OCC54" s="172"/>
      <c r="OCD54" s="173"/>
      <c r="OCE54" s="173"/>
      <c r="OCF54" s="172"/>
      <c r="OCG54" s="173"/>
      <c r="OCH54" s="173"/>
      <c r="OCI54" s="172"/>
      <c r="OCJ54" s="173"/>
      <c r="OCK54" s="173"/>
      <c r="OCL54" s="172"/>
      <c r="OCM54" s="173"/>
      <c r="OCN54" s="173"/>
      <c r="OCO54" s="172"/>
      <c r="OCP54" s="173"/>
      <c r="OCQ54" s="173"/>
      <c r="OCR54" s="172"/>
      <c r="OCS54" s="173"/>
      <c r="OCT54" s="173"/>
      <c r="OCU54" s="172"/>
      <c r="OCV54" s="173"/>
      <c r="OCW54" s="173"/>
      <c r="OCX54" s="172"/>
      <c r="OCY54" s="173"/>
      <c r="OCZ54" s="173"/>
      <c r="ODA54" s="172"/>
      <c r="ODB54" s="173"/>
      <c r="ODC54" s="173"/>
      <c r="ODD54" s="172"/>
      <c r="ODE54" s="173"/>
      <c r="ODF54" s="173"/>
      <c r="ODG54" s="172"/>
      <c r="ODH54" s="173"/>
      <c r="ODI54" s="173"/>
      <c r="ODJ54" s="172"/>
      <c r="ODK54" s="173"/>
      <c r="ODL54" s="173"/>
      <c r="ODM54" s="172"/>
      <c r="ODN54" s="173"/>
      <c r="ODO54" s="173"/>
      <c r="ODP54" s="172"/>
      <c r="ODQ54" s="173"/>
      <c r="ODR54" s="173"/>
      <c r="ODS54" s="172"/>
      <c r="ODT54" s="173"/>
      <c r="ODU54" s="173"/>
      <c r="ODV54" s="172"/>
      <c r="ODW54" s="173"/>
      <c r="ODX54" s="173"/>
      <c r="ODY54" s="172"/>
      <c r="ODZ54" s="173"/>
      <c r="OEA54" s="173"/>
      <c r="OEB54" s="172"/>
      <c r="OEC54" s="173"/>
      <c r="OED54" s="173"/>
      <c r="OEE54" s="172"/>
      <c r="OEF54" s="173"/>
      <c r="OEG54" s="173"/>
      <c r="OEH54" s="172"/>
      <c r="OEI54" s="173"/>
      <c r="OEJ54" s="173"/>
      <c r="OEK54" s="172"/>
      <c r="OEL54" s="173"/>
      <c r="OEM54" s="173"/>
      <c r="OEN54" s="172"/>
      <c r="OEO54" s="173"/>
      <c r="OEP54" s="173"/>
      <c r="OEQ54" s="172"/>
      <c r="OER54" s="173"/>
      <c r="OES54" s="173"/>
      <c r="OET54" s="172"/>
      <c r="OEU54" s="173"/>
      <c r="OEV54" s="173"/>
      <c r="OEW54" s="172"/>
      <c r="OEX54" s="173"/>
      <c r="OEY54" s="173"/>
      <c r="OEZ54" s="172"/>
      <c r="OFA54" s="173"/>
      <c r="OFB54" s="173"/>
      <c r="OFC54" s="172"/>
      <c r="OFD54" s="173"/>
      <c r="OFE54" s="173"/>
      <c r="OFF54" s="172"/>
      <c r="OFG54" s="173"/>
      <c r="OFH54" s="173"/>
      <c r="OFI54" s="172"/>
      <c r="OFJ54" s="173"/>
      <c r="OFK54" s="173"/>
      <c r="OFL54" s="172"/>
      <c r="OFM54" s="173"/>
      <c r="OFN54" s="173"/>
      <c r="OFO54" s="172"/>
      <c r="OFP54" s="173"/>
      <c r="OFQ54" s="173"/>
      <c r="OFR54" s="172"/>
      <c r="OFS54" s="173"/>
      <c r="OFT54" s="173"/>
      <c r="OFU54" s="172"/>
      <c r="OFV54" s="173"/>
      <c r="OFW54" s="173"/>
      <c r="OFX54" s="172"/>
      <c r="OFY54" s="173"/>
      <c r="OFZ54" s="173"/>
      <c r="OGA54" s="172"/>
      <c r="OGB54" s="173"/>
      <c r="OGC54" s="173"/>
      <c r="OGD54" s="172"/>
      <c r="OGE54" s="173"/>
      <c r="OGF54" s="173"/>
      <c r="OGG54" s="172"/>
      <c r="OGH54" s="173"/>
      <c r="OGI54" s="173"/>
      <c r="OGJ54" s="172"/>
      <c r="OGK54" s="173"/>
      <c r="OGL54" s="173"/>
      <c r="OGM54" s="172"/>
      <c r="OGN54" s="173"/>
      <c r="OGO54" s="173"/>
      <c r="OGP54" s="172"/>
      <c r="OGQ54" s="173"/>
      <c r="OGR54" s="173"/>
      <c r="OGS54" s="172"/>
      <c r="OGT54" s="173"/>
      <c r="OGU54" s="173"/>
      <c r="OGV54" s="172"/>
      <c r="OGW54" s="173"/>
      <c r="OGX54" s="173"/>
      <c r="OGY54" s="172"/>
      <c r="OGZ54" s="173"/>
      <c r="OHA54" s="173"/>
      <c r="OHB54" s="172"/>
      <c r="OHC54" s="173"/>
      <c r="OHD54" s="173"/>
      <c r="OHE54" s="172"/>
      <c r="OHF54" s="173"/>
      <c r="OHG54" s="173"/>
      <c r="OHH54" s="172"/>
      <c r="OHI54" s="173"/>
      <c r="OHJ54" s="173"/>
      <c r="OHK54" s="172"/>
      <c r="OHL54" s="173"/>
      <c r="OHM54" s="173"/>
      <c r="OHN54" s="172"/>
      <c r="OHO54" s="173"/>
      <c r="OHP54" s="173"/>
      <c r="OHQ54" s="172"/>
      <c r="OHR54" s="173"/>
      <c r="OHS54" s="173"/>
      <c r="OHT54" s="172"/>
      <c r="OHU54" s="173"/>
      <c r="OHV54" s="173"/>
      <c r="OHW54" s="172"/>
      <c r="OHX54" s="173"/>
      <c r="OHY54" s="173"/>
      <c r="OHZ54" s="172"/>
      <c r="OIA54" s="173"/>
      <c r="OIB54" s="173"/>
      <c r="OIC54" s="172"/>
      <c r="OID54" s="173"/>
      <c r="OIE54" s="173"/>
      <c r="OIF54" s="172"/>
      <c r="OIG54" s="173"/>
      <c r="OIH54" s="173"/>
      <c r="OII54" s="172"/>
      <c r="OIJ54" s="173"/>
      <c r="OIK54" s="173"/>
      <c r="OIL54" s="172"/>
      <c r="OIM54" s="173"/>
      <c r="OIN54" s="173"/>
      <c r="OIO54" s="172"/>
      <c r="OIP54" s="173"/>
      <c r="OIQ54" s="173"/>
      <c r="OIR54" s="172"/>
      <c r="OIS54" s="173"/>
      <c r="OIT54" s="173"/>
      <c r="OIU54" s="172"/>
      <c r="OIV54" s="173"/>
      <c r="OIW54" s="173"/>
      <c r="OIX54" s="172"/>
      <c r="OIY54" s="173"/>
      <c r="OIZ54" s="173"/>
      <c r="OJA54" s="172"/>
      <c r="OJB54" s="173"/>
      <c r="OJC54" s="173"/>
      <c r="OJD54" s="172"/>
      <c r="OJE54" s="173"/>
      <c r="OJF54" s="173"/>
      <c r="OJG54" s="172"/>
      <c r="OJH54" s="173"/>
      <c r="OJI54" s="173"/>
      <c r="OJJ54" s="172"/>
      <c r="OJK54" s="173"/>
      <c r="OJL54" s="173"/>
      <c r="OJM54" s="172"/>
      <c r="OJN54" s="173"/>
      <c r="OJO54" s="173"/>
      <c r="OJP54" s="172"/>
      <c r="OJQ54" s="173"/>
      <c r="OJR54" s="173"/>
      <c r="OJS54" s="172"/>
      <c r="OJT54" s="173"/>
      <c r="OJU54" s="173"/>
      <c r="OJV54" s="172"/>
      <c r="OJW54" s="173"/>
      <c r="OJX54" s="173"/>
      <c r="OJY54" s="172"/>
      <c r="OJZ54" s="173"/>
      <c r="OKA54" s="173"/>
      <c r="OKB54" s="172"/>
      <c r="OKC54" s="173"/>
      <c r="OKD54" s="173"/>
      <c r="OKE54" s="172"/>
      <c r="OKF54" s="173"/>
      <c r="OKG54" s="173"/>
      <c r="OKH54" s="172"/>
      <c r="OKI54" s="173"/>
      <c r="OKJ54" s="173"/>
      <c r="OKK54" s="172"/>
      <c r="OKL54" s="173"/>
      <c r="OKM54" s="173"/>
      <c r="OKN54" s="172"/>
      <c r="OKO54" s="173"/>
      <c r="OKP54" s="173"/>
      <c r="OKQ54" s="172"/>
      <c r="OKR54" s="173"/>
      <c r="OKS54" s="173"/>
      <c r="OKT54" s="172"/>
      <c r="OKU54" s="173"/>
      <c r="OKV54" s="173"/>
      <c r="OKW54" s="172"/>
      <c r="OKX54" s="173"/>
      <c r="OKY54" s="173"/>
      <c r="OKZ54" s="172"/>
      <c r="OLA54" s="173"/>
      <c r="OLB54" s="173"/>
      <c r="OLC54" s="172"/>
      <c r="OLD54" s="173"/>
      <c r="OLE54" s="173"/>
      <c r="OLF54" s="172"/>
      <c r="OLG54" s="173"/>
      <c r="OLH54" s="173"/>
      <c r="OLI54" s="172"/>
      <c r="OLJ54" s="173"/>
      <c r="OLK54" s="173"/>
      <c r="OLL54" s="172"/>
      <c r="OLM54" s="173"/>
      <c r="OLN54" s="173"/>
      <c r="OLO54" s="172"/>
      <c r="OLP54" s="173"/>
      <c r="OLQ54" s="173"/>
      <c r="OLR54" s="172"/>
      <c r="OLS54" s="173"/>
      <c r="OLT54" s="173"/>
      <c r="OLU54" s="172"/>
      <c r="OLV54" s="173"/>
      <c r="OLW54" s="173"/>
      <c r="OLX54" s="172"/>
      <c r="OLY54" s="173"/>
      <c r="OLZ54" s="173"/>
      <c r="OMA54" s="172"/>
      <c r="OMB54" s="173"/>
      <c r="OMC54" s="173"/>
      <c r="OMD54" s="172"/>
      <c r="OME54" s="173"/>
      <c r="OMF54" s="173"/>
      <c r="OMG54" s="172"/>
      <c r="OMH54" s="173"/>
      <c r="OMI54" s="173"/>
      <c r="OMJ54" s="172"/>
      <c r="OMK54" s="173"/>
      <c r="OML54" s="173"/>
      <c r="OMM54" s="172"/>
      <c r="OMN54" s="173"/>
      <c r="OMO54" s="173"/>
      <c r="OMP54" s="172"/>
      <c r="OMQ54" s="173"/>
      <c r="OMR54" s="173"/>
      <c r="OMS54" s="172"/>
      <c r="OMT54" s="173"/>
      <c r="OMU54" s="173"/>
      <c r="OMV54" s="172"/>
      <c r="OMW54" s="173"/>
      <c r="OMX54" s="173"/>
      <c r="OMY54" s="172"/>
      <c r="OMZ54" s="173"/>
      <c r="ONA54" s="173"/>
      <c r="ONB54" s="172"/>
      <c r="ONC54" s="173"/>
      <c r="OND54" s="173"/>
      <c r="ONE54" s="172"/>
      <c r="ONF54" s="173"/>
      <c r="ONG54" s="173"/>
      <c r="ONH54" s="172"/>
      <c r="ONI54" s="173"/>
      <c r="ONJ54" s="173"/>
      <c r="ONK54" s="172"/>
      <c r="ONL54" s="173"/>
      <c r="ONM54" s="173"/>
      <c r="ONN54" s="172"/>
      <c r="ONO54" s="173"/>
      <c r="ONP54" s="173"/>
      <c r="ONQ54" s="172"/>
      <c r="ONR54" s="173"/>
      <c r="ONS54" s="173"/>
      <c r="ONT54" s="172"/>
      <c r="ONU54" s="173"/>
      <c r="ONV54" s="173"/>
      <c r="ONW54" s="172"/>
      <c r="ONX54" s="173"/>
      <c r="ONY54" s="173"/>
      <c r="ONZ54" s="172"/>
      <c r="OOA54" s="173"/>
      <c r="OOB54" s="173"/>
      <c r="OOC54" s="172"/>
      <c r="OOD54" s="173"/>
      <c r="OOE54" s="173"/>
      <c r="OOF54" s="172"/>
      <c r="OOG54" s="173"/>
      <c r="OOH54" s="173"/>
      <c r="OOI54" s="172"/>
      <c r="OOJ54" s="173"/>
      <c r="OOK54" s="173"/>
      <c r="OOL54" s="172"/>
      <c r="OOM54" s="173"/>
      <c r="OON54" s="173"/>
      <c r="OOO54" s="172"/>
      <c r="OOP54" s="173"/>
      <c r="OOQ54" s="173"/>
      <c r="OOR54" s="172"/>
      <c r="OOS54" s="173"/>
      <c r="OOT54" s="173"/>
      <c r="OOU54" s="172"/>
      <c r="OOV54" s="173"/>
      <c r="OOW54" s="173"/>
      <c r="OOX54" s="172"/>
      <c r="OOY54" s="173"/>
      <c r="OOZ54" s="173"/>
      <c r="OPA54" s="172"/>
      <c r="OPB54" s="173"/>
      <c r="OPC54" s="173"/>
      <c r="OPD54" s="172"/>
      <c r="OPE54" s="173"/>
      <c r="OPF54" s="173"/>
      <c r="OPG54" s="172"/>
      <c r="OPH54" s="173"/>
      <c r="OPI54" s="173"/>
      <c r="OPJ54" s="172"/>
      <c r="OPK54" s="173"/>
      <c r="OPL54" s="173"/>
      <c r="OPM54" s="172"/>
      <c r="OPN54" s="173"/>
      <c r="OPO54" s="173"/>
      <c r="OPP54" s="172"/>
      <c r="OPQ54" s="173"/>
      <c r="OPR54" s="173"/>
      <c r="OPS54" s="172"/>
      <c r="OPT54" s="173"/>
      <c r="OPU54" s="173"/>
      <c r="OPV54" s="172"/>
      <c r="OPW54" s="173"/>
      <c r="OPX54" s="173"/>
      <c r="OPY54" s="172"/>
      <c r="OPZ54" s="173"/>
      <c r="OQA54" s="173"/>
      <c r="OQB54" s="172"/>
      <c r="OQC54" s="173"/>
      <c r="OQD54" s="173"/>
      <c r="OQE54" s="172"/>
      <c r="OQF54" s="173"/>
      <c r="OQG54" s="173"/>
      <c r="OQH54" s="172"/>
      <c r="OQI54" s="173"/>
      <c r="OQJ54" s="173"/>
      <c r="OQK54" s="172"/>
      <c r="OQL54" s="173"/>
      <c r="OQM54" s="173"/>
      <c r="OQN54" s="172"/>
      <c r="OQO54" s="173"/>
      <c r="OQP54" s="173"/>
      <c r="OQQ54" s="172"/>
      <c r="OQR54" s="173"/>
      <c r="OQS54" s="173"/>
      <c r="OQT54" s="172"/>
      <c r="OQU54" s="173"/>
      <c r="OQV54" s="173"/>
      <c r="OQW54" s="172"/>
      <c r="OQX54" s="173"/>
      <c r="OQY54" s="173"/>
      <c r="OQZ54" s="172"/>
      <c r="ORA54" s="173"/>
      <c r="ORB54" s="173"/>
      <c r="ORC54" s="172"/>
      <c r="ORD54" s="173"/>
      <c r="ORE54" s="173"/>
      <c r="ORF54" s="172"/>
      <c r="ORG54" s="173"/>
      <c r="ORH54" s="173"/>
      <c r="ORI54" s="172"/>
      <c r="ORJ54" s="173"/>
      <c r="ORK54" s="173"/>
      <c r="ORL54" s="172"/>
      <c r="ORM54" s="173"/>
      <c r="ORN54" s="173"/>
      <c r="ORO54" s="172"/>
      <c r="ORP54" s="173"/>
      <c r="ORQ54" s="173"/>
      <c r="ORR54" s="172"/>
      <c r="ORS54" s="173"/>
      <c r="ORT54" s="173"/>
      <c r="ORU54" s="172"/>
      <c r="ORV54" s="173"/>
      <c r="ORW54" s="173"/>
      <c r="ORX54" s="172"/>
      <c r="ORY54" s="173"/>
      <c r="ORZ54" s="173"/>
      <c r="OSA54" s="172"/>
      <c r="OSB54" s="173"/>
      <c r="OSC54" s="173"/>
      <c r="OSD54" s="172"/>
      <c r="OSE54" s="173"/>
      <c r="OSF54" s="173"/>
      <c r="OSG54" s="172"/>
      <c r="OSH54" s="173"/>
      <c r="OSI54" s="173"/>
      <c r="OSJ54" s="172"/>
      <c r="OSK54" s="173"/>
      <c r="OSL54" s="173"/>
      <c r="OSM54" s="172"/>
      <c r="OSN54" s="173"/>
      <c r="OSO54" s="173"/>
      <c r="OSP54" s="172"/>
      <c r="OSQ54" s="173"/>
      <c r="OSR54" s="173"/>
      <c r="OSS54" s="172"/>
      <c r="OST54" s="173"/>
      <c r="OSU54" s="173"/>
      <c r="OSV54" s="172"/>
      <c r="OSW54" s="173"/>
      <c r="OSX54" s="173"/>
      <c r="OSY54" s="172"/>
      <c r="OSZ54" s="173"/>
      <c r="OTA54" s="173"/>
      <c r="OTB54" s="172"/>
      <c r="OTC54" s="173"/>
      <c r="OTD54" s="173"/>
      <c r="OTE54" s="172"/>
      <c r="OTF54" s="173"/>
      <c r="OTG54" s="173"/>
      <c r="OTH54" s="172"/>
      <c r="OTI54" s="173"/>
      <c r="OTJ54" s="173"/>
      <c r="OTK54" s="172"/>
      <c r="OTL54" s="173"/>
      <c r="OTM54" s="173"/>
      <c r="OTN54" s="172"/>
      <c r="OTO54" s="173"/>
      <c r="OTP54" s="173"/>
      <c r="OTQ54" s="172"/>
      <c r="OTR54" s="173"/>
      <c r="OTS54" s="173"/>
      <c r="OTT54" s="172"/>
      <c r="OTU54" s="173"/>
      <c r="OTV54" s="173"/>
      <c r="OTW54" s="172"/>
      <c r="OTX54" s="173"/>
      <c r="OTY54" s="173"/>
      <c r="OTZ54" s="172"/>
      <c r="OUA54" s="173"/>
      <c r="OUB54" s="173"/>
      <c r="OUC54" s="172"/>
      <c r="OUD54" s="173"/>
      <c r="OUE54" s="173"/>
      <c r="OUF54" s="172"/>
      <c r="OUG54" s="173"/>
      <c r="OUH54" s="173"/>
      <c r="OUI54" s="172"/>
      <c r="OUJ54" s="173"/>
      <c r="OUK54" s="173"/>
      <c r="OUL54" s="172"/>
      <c r="OUM54" s="173"/>
      <c r="OUN54" s="173"/>
      <c r="OUO54" s="172"/>
      <c r="OUP54" s="173"/>
      <c r="OUQ54" s="173"/>
      <c r="OUR54" s="172"/>
      <c r="OUS54" s="173"/>
      <c r="OUT54" s="173"/>
      <c r="OUU54" s="172"/>
      <c r="OUV54" s="173"/>
      <c r="OUW54" s="173"/>
      <c r="OUX54" s="172"/>
      <c r="OUY54" s="173"/>
      <c r="OUZ54" s="173"/>
      <c r="OVA54" s="172"/>
      <c r="OVB54" s="173"/>
      <c r="OVC54" s="173"/>
      <c r="OVD54" s="172"/>
      <c r="OVE54" s="173"/>
      <c r="OVF54" s="173"/>
      <c r="OVG54" s="172"/>
      <c r="OVH54" s="173"/>
      <c r="OVI54" s="173"/>
      <c r="OVJ54" s="172"/>
      <c r="OVK54" s="173"/>
      <c r="OVL54" s="173"/>
      <c r="OVM54" s="172"/>
      <c r="OVN54" s="173"/>
      <c r="OVO54" s="173"/>
      <c r="OVP54" s="172"/>
      <c r="OVQ54" s="173"/>
      <c r="OVR54" s="173"/>
      <c r="OVS54" s="172"/>
      <c r="OVT54" s="173"/>
      <c r="OVU54" s="173"/>
      <c r="OVV54" s="172"/>
      <c r="OVW54" s="173"/>
      <c r="OVX54" s="173"/>
      <c r="OVY54" s="172"/>
      <c r="OVZ54" s="173"/>
      <c r="OWA54" s="173"/>
      <c r="OWB54" s="172"/>
      <c r="OWC54" s="173"/>
      <c r="OWD54" s="173"/>
      <c r="OWE54" s="172"/>
      <c r="OWF54" s="173"/>
      <c r="OWG54" s="173"/>
      <c r="OWH54" s="172"/>
      <c r="OWI54" s="173"/>
      <c r="OWJ54" s="173"/>
      <c r="OWK54" s="172"/>
      <c r="OWL54" s="173"/>
      <c r="OWM54" s="173"/>
      <c r="OWN54" s="172"/>
      <c r="OWO54" s="173"/>
      <c r="OWP54" s="173"/>
      <c r="OWQ54" s="172"/>
      <c r="OWR54" s="173"/>
      <c r="OWS54" s="173"/>
      <c r="OWT54" s="172"/>
      <c r="OWU54" s="173"/>
      <c r="OWV54" s="173"/>
      <c r="OWW54" s="172"/>
      <c r="OWX54" s="173"/>
      <c r="OWY54" s="173"/>
      <c r="OWZ54" s="172"/>
      <c r="OXA54" s="173"/>
      <c r="OXB54" s="173"/>
      <c r="OXC54" s="172"/>
      <c r="OXD54" s="173"/>
      <c r="OXE54" s="173"/>
      <c r="OXF54" s="172"/>
      <c r="OXG54" s="173"/>
      <c r="OXH54" s="173"/>
      <c r="OXI54" s="172"/>
      <c r="OXJ54" s="173"/>
      <c r="OXK54" s="173"/>
      <c r="OXL54" s="172"/>
      <c r="OXM54" s="173"/>
      <c r="OXN54" s="173"/>
      <c r="OXO54" s="172"/>
      <c r="OXP54" s="173"/>
      <c r="OXQ54" s="173"/>
      <c r="OXR54" s="172"/>
      <c r="OXS54" s="173"/>
      <c r="OXT54" s="173"/>
      <c r="OXU54" s="172"/>
      <c r="OXV54" s="173"/>
      <c r="OXW54" s="173"/>
      <c r="OXX54" s="172"/>
      <c r="OXY54" s="173"/>
      <c r="OXZ54" s="173"/>
      <c r="OYA54" s="172"/>
      <c r="OYB54" s="173"/>
      <c r="OYC54" s="173"/>
      <c r="OYD54" s="172"/>
      <c r="OYE54" s="173"/>
      <c r="OYF54" s="173"/>
      <c r="OYG54" s="172"/>
      <c r="OYH54" s="173"/>
      <c r="OYI54" s="173"/>
      <c r="OYJ54" s="172"/>
      <c r="OYK54" s="173"/>
      <c r="OYL54" s="173"/>
      <c r="OYM54" s="172"/>
      <c r="OYN54" s="173"/>
      <c r="OYO54" s="173"/>
      <c r="OYP54" s="172"/>
      <c r="OYQ54" s="173"/>
      <c r="OYR54" s="173"/>
      <c r="OYS54" s="172"/>
      <c r="OYT54" s="173"/>
      <c r="OYU54" s="173"/>
      <c r="OYV54" s="172"/>
      <c r="OYW54" s="173"/>
      <c r="OYX54" s="173"/>
      <c r="OYY54" s="172"/>
      <c r="OYZ54" s="173"/>
      <c r="OZA54" s="173"/>
      <c r="OZB54" s="172"/>
      <c r="OZC54" s="173"/>
      <c r="OZD54" s="173"/>
      <c r="OZE54" s="172"/>
      <c r="OZF54" s="173"/>
      <c r="OZG54" s="173"/>
      <c r="OZH54" s="172"/>
      <c r="OZI54" s="173"/>
      <c r="OZJ54" s="173"/>
      <c r="OZK54" s="172"/>
      <c r="OZL54" s="173"/>
      <c r="OZM54" s="173"/>
      <c r="OZN54" s="172"/>
      <c r="OZO54" s="173"/>
      <c r="OZP54" s="173"/>
      <c r="OZQ54" s="172"/>
      <c r="OZR54" s="173"/>
      <c r="OZS54" s="173"/>
      <c r="OZT54" s="172"/>
      <c r="OZU54" s="173"/>
      <c r="OZV54" s="173"/>
      <c r="OZW54" s="172"/>
      <c r="OZX54" s="173"/>
      <c r="OZY54" s="173"/>
      <c r="OZZ54" s="172"/>
      <c r="PAA54" s="173"/>
      <c r="PAB54" s="173"/>
      <c r="PAC54" s="172"/>
      <c r="PAD54" s="173"/>
      <c r="PAE54" s="173"/>
      <c r="PAF54" s="172"/>
      <c r="PAG54" s="173"/>
      <c r="PAH54" s="173"/>
      <c r="PAI54" s="172"/>
      <c r="PAJ54" s="173"/>
      <c r="PAK54" s="173"/>
      <c r="PAL54" s="172"/>
      <c r="PAM54" s="173"/>
      <c r="PAN54" s="173"/>
      <c r="PAO54" s="172"/>
      <c r="PAP54" s="173"/>
      <c r="PAQ54" s="173"/>
      <c r="PAR54" s="172"/>
      <c r="PAS54" s="173"/>
      <c r="PAT54" s="173"/>
      <c r="PAU54" s="172"/>
      <c r="PAV54" s="173"/>
      <c r="PAW54" s="173"/>
      <c r="PAX54" s="172"/>
      <c r="PAY54" s="173"/>
      <c r="PAZ54" s="173"/>
      <c r="PBA54" s="172"/>
      <c r="PBB54" s="173"/>
      <c r="PBC54" s="173"/>
      <c r="PBD54" s="172"/>
      <c r="PBE54" s="173"/>
      <c r="PBF54" s="173"/>
      <c r="PBG54" s="172"/>
      <c r="PBH54" s="173"/>
      <c r="PBI54" s="173"/>
      <c r="PBJ54" s="172"/>
      <c r="PBK54" s="173"/>
      <c r="PBL54" s="173"/>
      <c r="PBM54" s="172"/>
      <c r="PBN54" s="173"/>
      <c r="PBO54" s="173"/>
      <c r="PBP54" s="172"/>
      <c r="PBQ54" s="173"/>
      <c r="PBR54" s="173"/>
      <c r="PBS54" s="172"/>
      <c r="PBT54" s="173"/>
      <c r="PBU54" s="173"/>
      <c r="PBV54" s="172"/>
      <c r="PBW54" s="173"/>
      <c r="PBX54" s="173"/>
      <c r="PBY54" s="172"/>
      <c r="PBZ54" s="173"/>
      <c r="PCA54" s="173"/>
      <c r="PCB54" s="172"/>
      <c r="PCC54" s="173"/>
      <c r="PCD54" s="173"/>
      <c r="PCE54" s="172"/>
      <c r="PCF54" s="173"/>
      <c r="PCG54" s="173"/>
      <c r="PCH54" s="172"/>
      <c r="PCI54" s="173"/>
      <c r="PCJ54" s="173"/>
      <c r="PCK54" s="172"/>
      <c r="PCL54" s="173"/>
      <c r="PCM54" s="173"/>
      <c r="PCN54" s="172"/>
      <c r="PCO54" s="173"/>
      <c r="PCP54" s="173"/>
      <c r="PCQ54" s="172"/>
      <c r="PCR54" s="173"/>
      <c r="PCS54" s="173"/>
      <c r="PCT54" s="172"/>
      <c r="PCU54" s="173"/>
      <c r="PCV54" s="173"/>
      <c r="PCW54" s="172"/>
      <c r="PCX54" s="173"/>
      <c r="PCY54" s="173"/>
      <c r="PCZ54" s="172"/>
      <c r="PDA54" s="173"/>
      <c r="PDB54" s="173"/>
      <c r="PDC54" s="172"/>
      <c r="PDD54" s="173"/>
      <c r="PDE54" s="173"/>
      <c r="PDF54" s="172"/>
      <c r="PDG54" s="173"/>
      <c r="PDH54" s="173"/>
      <c r="PDI54" s="172"/>
      <c r="PDJ54" s="173"/>
      <c r="PDK54" s="173"/>
      <c r="PDL54" s="172"/>
      <c r="PDM54" s="173"/>
      <c r="PDN54" s="173"/>
      <c r="PDO54" s="172"/>
      <c r="PDP54" s="173"/>
      <c r="PDQ54" s="173"/>
      <c r="PDR54" s="172"/>
      <c r="PDS54" s="173"/>
      <c r="PDT54" s="173"/>
      <c r="PDU54" s="172"/>
      <c r="PDV54" s="173"/>
      <c r="PDW54" s="173"/>
      <c r="PDX54" s="172"/>
      <c r="PDY54" s="173"/>
      <c r="PDZ54" s="173"/>
      <c r="PEA54" s="172"/>
      <c r="PEB54" s="173"/>
      <c r="PEC54" s="173"/>
      <c r="PED54" s="172"/>
      <c r="PEE54" s="173"/>
      <c r="PEF54" s="173"/>
      <c r="PEG54" s="172"/>
      <c r="PEH54" s="173"/>
      <c r="PEI54" s="173"/>
      <c r="PEJ54" s="172"/>
      <c r="PEK54" s="173"/>
      <c r="PEL54" s="173"/>
      <c r="PEM54" s="172"/>
      <c r="PEN54" s="173"/>
      <c r="PEO54" s="173"/>
      <c r="PEP54" s="172"/>
      <c r="PEQ54" s="173"/>
      <c r="PER54" s="173"/>
      <c r="PES54" s="172"/>
      <c r="PET54" s="173"/>
      <c r="PEU54" s="173"/>
      <c r="PEV54" s="172"/>
      <c r="PEW54" s="173"/>
      <c r="PEX54" s="173"/>
      <c r="PEY54" s="172"/>
      <c r="PEZ54" s="173"/>
      <c r="PFA54" s="173"/>
      <c r="PFB54" s="172"/>
      <c r="PFC54" s="173"/>
      <c r="PFD54" s="173"/>
      <c r="PFE54" s="172"/>
      <c r="PFF54" s="173"/>
      <c r="PFG54" s="173"/>
      <c r="PFH54" s="172"/>
      <c r="PFI54" s="173"/>
      <c r="PFJ54" s="173"/>
      <c r="PFK54" s="172"/>
      <c r="PFL54" s="173"/>
      <c r="PFM54" s="173"/>
      <c r="PFN54" s="172"/>
      <c r="PFO54" s="173"/>
      <c r="PFP54" s="173"/>
      <c r="PFQ54" s="172"/>
      <c r="PFR54" s="173"/>
      <c r="PFS54" s="173"/>
      <c r="PFT54" s="172"/>
      <c r="PFU54" s="173"/>
      <c r="PFV54" s="173"/>
      <c r="PFW54" s="172"/>
      <c r="PFX54" s="173"/>
      <c r="PFY54" s="173"/>
      <c r="PFZ54" s="172"/>
      <c r="PGA54" s="173"/>
      <c r="PGB54" s="173"/>
      <c r="PGC54" s="172"/>
      <c r="PGD54" s="173"/>
      <c r="PGE54" s="173"/>
      <c r="PGF54" s="172"/>
      <c r="PGG54" s="173"/>
      <c r="PGH54" s="173"/>
      <c r="PGI54" s="172"/>
      <c r="PGJ54" s="173"/>
      <c r="PGK54" s="173"/>
      <c r="PGL54" s="172"/>
      <c r="PGM54" s="173"/>
      <c r="PGN54" s="173"/>
      <c r="PGO54" s="172"/>
      <c r="PGP54" s="173"/>
      <c r="PGQ54" s="173"/>
      <c r="PGR54" s="172"/>
      <c r="PGS54" s="173"/>
      <c r="PGT54" s="173"/>
      <c r="PGU54" s="172"/>
      <c r="PGV54" s="173"/>
      <c r="PGW54" s="173"/>
      <c r="PGX54" s="172"/>
      <c r="PGY54" s="173"/>
      <c r="PGZ54" s="173"/>
      <c r="PHA54" s="172"/>
      <c r="PHB54" s="173"/>
      <c r="PHC54" s="173"/>
      <c r="PHD54" s="172"/>
      <c r="PHE54" s="173"/>
      <c r="PHF54" s="173"/>
      <c r="PHG54" s="172"/>
      <c r="PHH54" s="173"/>
      <c r="PHI54" s="173"/>
      <c r="PHJ54" s="172"/>
      <c r="PHK54" s="173"/>
      <c r="PHL54" s="173"/>
      <c r="PHM54" s="172"/>
      <c r="PHN54" s="173"/>
      <c r="PHO54" s="173"/>
      <c r="PHP54" s="172"/>
      <c r="PHQ54" s="173"/>
      <c r="PHR54" s="173"/>
      <c r="PHS54" s="172"/>
      <c r="PHT54" s="173"/>
      <c r="PHU54" s="173"/>
      <c r="PHV54" s="172"/>
      <c r="PHW54" s="173"/>
      <c r="PHX54" s="173"/>
      <c r="PHY54" s="172"/>
      <c r="PHZ54" s="173"/>
      <c r="PIA54" s="173"/>
      <c r="PIB54" s="172"/>
      <c r="PIC54" s="173"/>
      <c r="PID54" s="173"/>
      <c r="PIE54" s="172"/>
      <c r="PIF54" s="173"/>
      <c r="PIG54" s="173"/>
      <c r="PIH54" s="172"/>
      <c r="PII54" s="173"/>
      <c r="PIJ54" s="173"/>
      <c r="PIK54" s="172"/>
      <c r="PIL54" s="173"/>
      <c r="PIM54" s="173"/>
      <c r="PIN54" s="172"/>
      <c r="PIO54" s="173"/>
      <c r="PIP54" s="173"/>
      <c r="PIQ54" s="172"/>
      <c r="PIR54" s="173"/>
      <c r="PIS54" s="173"/>
      <c r="PIT54" s="172"/>
      <c r="PIU54" s="173"/>
      <c r="PIV54" s="173"/>
      <c r="PIW54" s="172"/>
      <c r="PIX54" s="173"/>
      <c r="PIY54" s="173"/>
      <c r="PIZ54" s="172"/>
      <c r="PJA54" s="173"/>
      <c r="PJB54" s="173"/>
      <c r="PJC54" s="172"/>
      <c r="PJD54" s="173"/>
      <c r="PJE54" s="173"/>
      <c r="PJF54" s="172"/>
      <c r="PJG54" s="173"/>
      <c r="PJH54" s="173"/>
      <c r="PJI54" s="172"/>
      <c r="PJJ54" s="173"/>
      <c r="PJK54" s="173"/>
      <c r="PJL54" s="172"/>
      <c r="PJM54" s="173"/>
      <c r="PJN54" s="173"/>
      <c r="PJO54" s="172"/>
      <c r="PJP54" s="173"/>
      <c r="PJQ54" s="173"/>
      <c r="PJR54" s="172"/>
      <c r="PJS54" s="173"/>
      <c r="PJT54" s="173"/>
      <c r="PJU54" s="172"/>
      <c r="PJV54" s="173"/>
      <c r="PJW54" s="173"/>
      <c r="PJX54" s="172"/>
      <c r="PJY54" s="173"/>
      <c r="PJZ54" s="173"/>
      <c r="PKA54" s="172"/>
      <c r="PKB54" s="173"/>
      <c r="PKC54" s="173"/>
      <c r="PKD54" s="172"/>
      <c r="PKE54" s="173"/>
      <c r="PKF54" s="173"/>
      <c r="PKG54" s="172"/>
      <c r="PKH54" s="173"/>
      <c r="PKI54" s="173"/>
      <c r="PKJ54" s="172"/>
      <c r="PKK54" s="173"/>
      <c r="PKL54" s="173"/>
      <c r="PKM54" s="172"/>
      <c r="PKN54" s="173"/>
      <c r="PKO54" s="173"/>
      <c r="PKP54" s="172"/>
      <c r="PKQ54" s="173"/>
      <c r="PKR54" s="173"/>
      <c r="PKS54" s="172"/>
      <c r="PKT54" s="173"/>
      <c r="PKU54" s="173"/>
      <c r="PKV54" s="172"/>
      <c r="PKW54" s="173"/>
      <c r="PKX54" s="173"/>
      <c r="PKY54" s="172"/>
      <c r="PKZ54" s="173"/>
      <c r="PLA54" s="173"/>
      <c r="PLB54" s="172"/>
      <c r="PLC54" s="173"/>
      <c r="PLD54" s="173"/>
      <c r="PLE54" s="172"/>
      <c r="PLF54" s="173"/>
      <c r="PLG54" s="173"/>
      <c r="PLH54" s="172"/>
      <c r="PLI54" s="173"/>
      <c r="PLJ54" s="173"/>
      <c r="PLK54" s="172"/>
      <c r="PLL54" s="173"/>
      <c r="PLM54" s="173"/>
      <c r="PLN54" s="172"/>
      <c r="PLO54" s="173"/>
      <c r="PLP54" s="173"/>
      <c r="PLQ54" s="172"/>
      <c r="PLR54" s="173"/>
      <c r="PLS54" s="173"/>
      <c r="PLT54" s="172"/>
      <c r="PLU54" s="173"/>
      <c r="PLV54" s="173"/>
      <c r="PLW54" s="172"/>
      <c r="PLX54" s="173"/>
      <c r="PLY54" s="173"/>
      <c r="PLZ54" s="172"/>
      <c r="PMA54" s="173"/>
      <c r="PMB54" s="173"/>
      <c r="PMC54" s="172"/>
      <c r="PMD54" s="173"/>
      <c r="PME54" s="173"/>
      <c r="PMF54" s="172"/>
      <c r="PMG54" s="173"/>
      <c r="PMH54" s="173"/>
      <c r="PMI54" s="172"/>
      <c r="PMJ54" s="173"/>
      <c r="PMK54" s="173"/>
      <c r="PML54" s="172"/>
      <c r="PMM54" s="173"/>
      <c r="PMN54" s="173"/>
      <c r="PMO54" s="172"/>
      <c r="PMP54" s="173"/>
      <c r="PMQ54" s="173"/>
      <c r="PMR54" s="172"/>
      <c r="PMS54" s="173"/>
      <c r="PMT54" s="173"/>
      <c r="PMU54" s="172"/>
      <c r="PMV54" s="173"/>
      <c r="PMW54" s="173"/>
      <c r="PMX54" s="172"/>
      <c r="PMY54" s="173"/>
      <c r="PMZ54" s="173"/>
      <c r="PNA54" s="172"/>
      <c r="PNB54" s="173"/>
      <c r="PNC54" s="173"/>
      <c r="PND54" s="172"/>
      <c r="PNE54" s="173"/>
      <c r="PNF54" s="173"/>
      <c r="PNG54" s="172"/>
      <c r="PNH54" s="173"/>
      <c r="PNI54" s="173"/>
      <c r="PNJ54" s="172"/>
      <c r="PNK54" s="173"/>
      <c r="PNL54" s="173"/>
      <c r="PNM54" s="172"/>
      <c r="PNN54" s="173"/>
      <c r="PNO54" s="173"/>
      <c r="PNP54" s="172"/>
      <c r="PNQ54" s="173"/>
      <c r="PNR54" s="173"/>
      <c r="PNS54" s="172"/>
      <c r="PNT54" s="173"/>
      <c r="PNU54" s="173"/>
      <c r="PNV54" s="172"/>
      <c r="PNW54" s="173"/>
      <c r="PNX54" s="173"/>
      <c r="PNY54" s="172"/>
      <c r="PNZ54" s="173"/>
      <c r="POA54" s="173"/>
      <c r="POB54" s="172"/>
      <c r="POC54" s="173"/>
      <c r="POD54" s="173"/>
      <c r="POE54" s="172"/>
      <c r="POF54" s="173"/>
      <c r="POG54" s="173"/>
      <c r="POH54" s="172"/>
      <c r="POI54" s="173"/>
      <c r="POJ54" s="173"/>
      <c r="POK54" s="172"/>
      <c r="POL54" s="173"/>
      <c r="POM54" s="173"/>
      <c r="PON54" s="172"/>
      <c r="POO54" s="173"/>
      <c r="POP54" s="173"/>
      <c r="POQ54" s="172"/>
      <c r="POR54" s="173"/>
      <c r="POS54" s="173"/>
      <c r="POT54" s="172"/>
      <c r="POU54" s="173"/>
      <c r="POV54" s="173"/>
      <c r="POW54" s="172"/>
      <c r="POX54" s="173"/>
      <c r="POY54" s="173"/>
      <c r="POZ54" s="172"/>
      <c r="PPA54" s="173"/>
      <c r="PPB54" s="173"/>
      <c r="PPC54" s="172"/>
      <c r="PPD54" s="173"/>
      <c r="PPE54" s="173"/>
      <c r="PPF54" s="172"/>
      <c r="PPG54" s="173"/>
      <c r="PPH54" s="173"/>
      <c r="PPI54" s="172"/>
      <c r="PPJ54" s="173"/>
      <c r="PPK54" s="173"/>
      <c r="PPL54" s="172"/>
      <c r="PPM54" s="173"/>
      <c r="PPN54" s="173"/>
      <c r="PPO54" s="172"/>
      <c r="PPP54" s="173"/>
      <c r="PPQ54" s="173"/>
      <c r="PPR54" s="172"/>
      <c r="PPS54" s="173"/>
      <c r="PPT54" s="173"/>
      <c r="PPU54" s="172"/>
      <c r="PPV54" s="173"/>
      <c r="PPW54" s="173"/>
      <c r="PPX54" s="172"/>
      <c r="PPY54" s="173"/>
      <c r="PPZ54" s="173"/>
      <c r="PQA54" s="172"/>
      <c r="PQB54" s="173"/>
      <c r="PQC54" s="173"/>
      <c r="PQD54" s="172"/>
      <c r="PQE54" s="173"/>
      <c r="PQF54" s="173"/>
      <c r="PQG54" s="172"/>
      <c r="PQH54" s="173"/>
      <c r="PQI54" s="173"/>
      <c r="PQJ54" s="172"/>
      <c r="PQK54" s="173"/>
      <c r="PQL54" s="173"/>
      <c r="PQM54" s="172"/>
      <c r="PQN54" s="173"/>
      <c r="PQO54" s="173"/>
      <c r="PQP54" s="172"/>
      <c r="PQQ54" s="173"/>
      <c r="PQR54" s="173"/>
      <c r="PQS54" s="172"/>
      <c r="PQT54" s="173"/>
      <c r="PQU54" s="173"/>
      <c r="PQV54" s="172"/>
      <c r="PQW54" s="173"/>
      <c r="PQX54" s="173"/>
      <c r="PQY54" s="172"/>
      <c r="PQZ54" s="173"/>
      <c r="PRA54" s="173"/>
      <c r="PRB54" s="172"/>
      <c r="PRC54" s="173"/>
      <c r="PRD54" s="173"/>
      <c r="PRE54" s="172"/>
      <c r="PRF54" s="173"/>
      <c r="PRG54" s="173"/>
      <c r="PRH54" s="172"/>
      <c r="PRI54" s="173"/>
      <c r="PRJ54" s="173"/>
      <c r="PRK54" s="172"/>
      <c r="PRL54" s="173"/>
      <c r="PRM54" s="173"/>
      <c r="PRN54" s="172"/>
      <c r="PRO54" s="173"/>
      <c r="PRP54" s="173"/>
      <c r="PRQ54" s="172"/>
      <c r="PRR54" s="173"/>
      <c r="PRS54" s="173"/>
      <c r="PRT54" s="172"/>
      <c r="PRU54" s="173"/>
      <c r="PRV54" s="173"/>
      <c r="PRW54" s="172"/>
      <c r="PRX54" s="173"/>
      <c r="PRY54" s="173"/>
      <c r="PRZ54" s="172"/>
      <c r="PSA54" s="173"/>
      <c r="PSB54" s="173"/>
      <c r="PSC54" s="172"/>
      <c r="PSD54" s="173"/>
      <c r="PSE54" s="173"/>
      <c r="PSF54" s="172"/>
      <c r="PSG54" s="173"/>
      <c r="PSH54" s="173"/>
      <c r="PSI54" s="172"/>
      <c r="PSJ54" s="173"/>
      <c r="PSK54" s="173"/>
      <c r="PSL54" s="172"/>
      <c r="PSM54" s="173"/>
      <c r="PSN54" s="173"/>
      <c r="PSO54" s="172"/>
      <c r="PSP54" s="173"/>
      <c r="PSQ54" s="173"/>
      <c r="PSR54" s="172"/>
      <c r="PSS54" s="173"/>
      <c r="PST54" s="173"/>
      <c r="PSU54" s="172"/>
      <c r="PSV54" s="173"/>
      <c r="PSW54" s="173"/>
      <c r="PSX54" s="172"/>
      <c r="PSY54" s="173"/>
      <c r="PSZ54" s="173"/>
      <c r="PTA54" s="172"/>
      <c r="PTB54" s="173"/>
      <c r="PTC54" s="173"/>
      <c r="PTD54" s="172"/>
      <c r="PTE54" s="173"/>
      <c r="PTF54" s="173"/>
      <c r="PTG54" s="172"/>
      <c r="PTH54" s="173"/>
      <c r="PTI54" s="173"/>
      <c r="PTJ54" s="172"/>
      <c r="PTK54" s="173"/>
      <c r="PTL54" s="173"/>
      <c r="PTM54" s="172"/>
      <c r="PTN54" s="173"/>
      <c r="PTO54" s="173"/>
      <c r="PTP54" s="172"/>
      <c r="PTQ54" s="173"/>
      <c r="PTR54" s="173"/>
      <c r="PTS54" s="172"/>
      <c r="PTT54" s="173"/>
      <c r="PTU54" s="173"/>
      <c r="PTV54" s="172"/>
      <c r="PTW54" s="173"/>
      <c r="PTX54" s="173"/>
      <c r="PTY54" s="172"/>
      <c r="PTZ54" s="173"/>
      <c r="PUA54" s="173"/>
      <c r="PUB54" s="172"/>
      <c r="PUC54" s="173"/>
      <c r="PUD54" s="173"/>
      <c r="PUE54" s="172"/>
      <c r="PUF54" s="173"/>
      <c r="PUG54" s="173"/>
      <c r="PUH54" s="172"/>
      <c r="PUI54" s="173"/>
      <c r="PUJ54" s="173"/>
      <c r="PUK54" s="172"/>
      <c r="PUL54" s="173"/>
      <c r="PUM54" s="173"/>
      <c r="PUN54" s="172"/>
      <c r="PUO54" s="173"/>
      <c r="PUP54" s="173"/>
      <c r="PUQ54" s="172"/>
      <c r="PUR54" s="173"/>
      <c r="PUS54" s="173"/>
      <c r="PUT54" s="172"/>
      <c r="PUU54" s="173"/>
      <c r="PUV54" s="173"/>
      <c r="PUW54" s="172"/>
      <c r="PUX54" s="173"/>
      <c r="PUY54" s="173"/>
      <c r="PUZ54" s="172"/>
      <c r="PVA54" s="173"/>
      <c r="PVB54" s="173"/>
      <c r="PVC54" s="172"/>
      <c r="PVD54" s="173"/>
      <c r="PVE54" s="173"/>
      <c r="PVF54" s="172"/>
      <c r="PVG54" s="173"/>
      <c r="PVH54" s="173"/>
      <c r="PVI54" s="172"/>
      <c r="PVJ54" s="173"/>
      <c r="PVK54" s="173"/>
      <c r="PVL54" s="172"/>
      <c r="PVM54" s="173"/>
      <c r="PVN54" s="173"/>
      <c r="PVO54" s="172"/>
      <c r="PVP54" s="173"/>
      <c r="PVQ54" s="173"/>
      <c r="PVR54" s="172"/>
      <c r="PVS54" s="173"/>
      <c r="PVT54" s="173"/>
      <c r="PVU54" s="172"/>
      <c r="PVV54" s="173"/>
      <c r="PVW54" s="173"/>
      <c r="PVX54" s="172"/>
      <c r="PVY54" s="173"/>
      <c r="PVZ54" s="173"/>
      <c r="PWA54" s="172"/>
      <c r="PWB54" s="173"/>
      <c r="PWC54" s="173"/>
      <c r="PWD54" s="172"/>
      <c r="PWE54" s="173"/>
      <c r="PWF54" s="173"/>
      <c r="PWG54" s="172"/>
      <c r="PWH54" s="173"/>
      <c r="PWI54" s="173"/>
      <c r="PWJ54" s="172"/>
      <c r="PWK54" s="173"/>
      <c r="PWL54" s="173"/>
      <c r="PWM54" s="172"/>
      <c r="PWN54" s="173"/>
      <c r="PWO54" s="173"/>
      <c r="PWP54" s="172"/>
      <c r="PWQ54" s="173"/>
      <c r="PWR54" s="173"/>
      <c r="PWS54" s="172"/>
      <c r="PWT54" s="173"/>
      <c r="PWU54" s="173"/>
      <c r="PWV54" s="172"/>
      <c r="PWW54" s="173"/>
      <c r="PWX54" s="173"/>
      <c r="PWY54" s="172"/>
      <c r="PWZ54" s="173"/>
      <c r="PXA54" s="173"/>
      <c r="PXB54" s="172"/>
      <c r="PXC54" s="173"/>
      <c r="PXD54" s="173"/>
      <c r="PXE54" s="172"/>
      <c r="PXF54" s="173"/>
      <c r="PXG54" s="173"/>
      <c r="PXH54" s="172"/>
      <c r="PXI54" s="173"/>
      <c r="PXJ54" s="173"/>
      <c r="PXK54" s="172"/>
      <c r="PXL54" s="173"/>
      <c r="PXM54" s="173"/>
      <c r="PXN54" s="172"/>
      <c r="PXO54" s="173"/>
      <c r="PXP54" s="173"/>
      <c r="PXQ54" s="172"/>
      <c r="PXR54" s="173"/>
      <c r="PXS54" s="173"/>
      <c r="PXT54" s="172"/>
      <c r="PXU54" s="173"/>
      <c r="PXV54" s="173"/>
      <c r="PXW54" s="172"/>
      <c r="PXX54" s="173"/>
      <c r="PXY54" s="173"/>
      <c r="PXZ54" s="172"/>
      <c r="PYA54" s="173"/>
      <c r="PYB54" s="173"/>
      <c r="PYC54" s="172"/>
      <c r="PYD54" s="173"/>
      <c r="PYE54" s="173"/>
      <c r="PYF54" s="172"/>
      <c r="PYG54" s="173"/>
      <c r="PYH54" s="173"/>
      <c r="PYI54" s="172"/>
      <c r="PYJ54" s="173"/>
      <c r="PYK54" s="173"/>
      <c r="PYL54" s="172"/>
      <c r="PYM54" s="173"/>
      <c r="PYN54" s="173"/>
      <c r="PYO54" s="172"/>
      <c r="PYP54" s="173"/>
      <c r="PYQ54" s="173"/>
      <c r="PYR54" s="172"/>
      <c r="PYS54" s="173"/>
      <c r="PYT54" s="173"/>
      <c r="PYU54" s="172"/>
      <c r="PYV54" s="173"/>
      <c r="PYW54" s="173"/>
      <c r="PYX54" s="172"/>
      <c r="PYY54" s="173"/>
      <c r="PYZ54" s="173"/>
      <c r="PZA54" s="172"/>
      <c r="PZB54" s="173"/>
      <c r="PZC54" s="173"/>
      <c r="PZD54" s="172"/>
      <c r="PZE54" s="173"/>
      <c r="PZF54" s="173"/>
      <c r="PZG54" s="172"/>
      <c r="PZH54" s="173"/>
      <c r="PZI54" s="173"/>
      <c r="PZJ54" s="172"/>
      <c r="PZK54" s="173"/>
      <c r="PZL54" s="173"/>
      <c r="PZM54" s="172"/>
      <c r="PZN54" s="173"/>
      <c r="PZO54" s="173"/>
      <c r="PZP54" s="172"/>
      <c r="PZQ54" s="173"/>
      <c r="PZR54" s="173"/>
      <c r="PZS54" s="172"/>
      <c r="PZT54" s="173"/>
      <c r="PZU54" s="173"/>
      <c r="PZV54" s="172"/>
      <c r="PZW54" s="173"/>
      <c r="PZX54" s="173"/>
      <c r="PZY54" s="172"/>
      <c r="PZZ54" s="173"/>
      <c r="QAA54" s="173"/>
      <c r="QAB54" s="172"/>
      <c r="QAC54" s="173"/>
      <c r="QAD54" s="173"/>
      <c r="QAE54" s="172"/>
      <c r="QAF54" s="173"/>
      <c r="QAG54" s="173"/>
      <c r="QAH54" s="172"/>
      <c r="QAI54" s="173"/>
      <c r="QAJ54" s="173"/>
      <c r="QAK54" s="172"/>
      <c r="QAL54" s="173"/>
      <c r="QAM54" s="173"/>
      <c r="QAN54" s="172"/>
      <c r="QAO54" s="173"/>
      <c r="QAP54" s="173"/>
      <c r="QAQ54" s="172"/>
      <c r="QAR54" s="173"/>
      <c r="QAS54" s="173"/>
      <c r="QAT54" s="172"/>
      <c r="QAU54" s="173"/>
      <c r="QAV54" s="173"/>
      <c r="QAW54" s="172"/>
      <c r="QAX54" s="173"/>
      <c r="QAY54" s="173"/>
      <c r="QAZ54" s="172"/>
      <c r="QBA54" s="173"/>
      <c r="QBB54" s="173"/>
      <c r="QBC54" s="172"/>
      <c r="QBD54" s="173"/>
      <c r="QBE54" s="173"/>
      <c r="QBF54" s="172"/>
      <c r="QBG54" s="173"/>
      <c r="QBH54" s="173"/>
      <c r="QBI54" s="172"/>
      <c r="QBJ54" s="173"/>
      <c r="QBK54" s="173"/>
      <c r="QBL54" s="172"/>
      <c r="QBM54" s="173"/>
      <c r="QBN54" s="173"/>
      <c r="QBO54" s="172"/>
      <c r="QBP54" s="173"/>
      <c r="QBQ54" s="173"/>
      <c r="QBR54" s="172"/>
      <c r="QBS54" s="173"/>
      <c r="QBT54" s="173"/>
      <c r="QBU54" s="172"/>
      <c r="QBV54" s="173"/>
      <c r="QBW54" s="173"/>
      <c r="QBX54" s="172"/>
      <c r="QBY54" s="173"/>
      <c r="QBZ54" s="173"/>
      <c r="QCA54" s="172"/>
      <c r="QCB54" s="173"/>
      <c r="QCC54" s="173"/>
      <c r="QCD54" s="172"/>
      <c r="QCE54" s="173"/>
      <c r="QCF54" s="173"/>
      <c r="QCG54" s="172"/>
      <c r="QCH54" s="173"/>
      <c r="QCI54" s="173"/>
      <c r="QCJ54" s="172"/>
      <c r="QCK54" s="173"/>
      <c r="QCL54" s="173"/>
      <c r="QCM54" s="172"/>
      <c r="QCN54" s="173"/>
      <c r="QCO54" s="173"/>
      <c r="QCP54" s="172"/>
      <c r="QCQ54" s="173"/>
      <c r="QCR54" s="173"/>
      <c r="QCS54" s="172"/>
      <c r="QCT54" s="173"/>
      <c r="QCU54" s="173"/>
      <c r="QCV54" s="172"/>
      <c r="QCW54" s="173"/>
      <c r="QCX54" s="173"/>
      <c r="QCY54" s="172"/>
      <c r="QCZ54" s="173"/>
      <c r="QDA54" s="173"/>
      <c r="QDB54" s="172"/>
      <c r="QDC54" s="173"/>
      <c r="QDD54" s="173"/>
      <c r="QDE54" s="172"/>
      <c r="QDF54" s="173"/>
      <c r="QDG54" s="173"/>
      <c r="QDH54" s="172"/>
      <c r="QDI54" s="173"/>
      <c r="QDJ54" s="173"/>
      <c r="QDK54" s="172"/>
      <c r="QDL54" s="173"/>
      <c r="QDM54" s="173"/>
      <c r="QDN54" s="172"/>
      <c r="QDO54" s="173"/>
      <c r="QDP54" s="173"/>
      <c r="QDQ54" s="172"/>
      <c r="QDR54" s="173"/>
      <c r="QDS54" s="173"/>
      <c r="QDT54" s="172"/>
      <c r="QDU54" s="173"/>
      <c r="QDV54" s="173"/>
      <c r="QDW54" s="172"/>
      <c r="QDX54" s="173"/>
      <c r="QDY54" s="173"/>
      <c r="QDZ54" s="172"/>
      <c r="QEA54" s="173"/>
      <c r="QEB54" s="173"/>
      <c r="QEC54" s="172"/>
      <c r="QED54" s="173"/>
      <c r="QEE54" s="173"/>
      <c r="QEF54" s="172"/>
      <c r="QEG54" s="173"/>
      <c r="QEH54" s="173"/>
      <c r="QEI54" s="172"/>
      <c r="QEJ54" s="173"/>
      <c r="QEK54" s="173"/>
      <c r="QEL54" s="172"/>
      <c r="QEM54" s="173"/>
      <c r="QEN54" s="173"/>
      <c r="QEO54" s="172"/>
      <c r="QEP54" s="173"/>
      <c r="QEQ54" s="173"/>
      <c r="QER54" s="172"/>
      <c r="QES54" s="173"/>
      <c r="QET54" s="173"/>
      <c r="QEU54" s="172"/>
      <c r="QEV54" s="173"/>
      <c r="QEW54" s="173"/>
      <c r="QEX54" s="172"/>
      <c r="QEY54" s="173"/>
      <c r="QEZ54" s="173"/>
      <c r="QFA54" s="172"/>
      <c r="QFB54" s="173"/>
      <c r="QFC54" s="173"/>
      <c r="QFD54" s="172"/>
      <c r="QFE54" s="173"/>
      <c r="QFF54" s="173"/>
      <c r="QFG54" s="172"/>
      <c r="QFH54" s="173"/>
      <c r="QFI54" s="173"/>
      <c r="QFJ54" s="172"/>
      <c r="QFK54" s="173"/>
      <c r="QFL54" s="173"/>
      <c r="QFM54" s="172"/>
      <c r="QFN54" s="173"/>
      <c r="QFO54" s="173"/>
      <c r="QFP54" s="172"/>
      <c r="QFQ54" s="173"/>
      <c r="QFR54" s="173"/>
      <c r="QFS54" s="172"/>
      <c r="QFT54" s="173"/>
      <c r="QFU54" s="173"/>
      <c r="QFV54" s="172"/>
      <c r="QFW54" s="173"/>
      <c r="QFX54" s="173"/>
      <c r="QFY54" s="172"/>
      <c r="QFZ54" s="173"/>
      <c r="QGA54" s="173"/>
      <c r="QGB54" s="172"/>
      <c r="QGC54" s="173"/>
      <c r="QGD54" s="173"/>
      <c r="QGE54" s="172"/>
      <c r="QGF54" s="173"/>
      <c r="QGG54" s="173"/>
      <c r="QGH54" s="172"/>
      <c r="QGI54" s="173"/>
      <c r="QGJ54" s="173"/>
      <c r="QGK54" s="172"/>
      <c r="QGL54" s="173"/>
      <c r="QGM54" s="173"/>
      <c r="QGN54" s="172"/>
      <c r="QGO54" s="173"/>
      <c r="QGP54" s="173"/>
      <c r="QGQ54" s="172"/>
      <c r="QGR54" s="173"/>
      <c r="QGS54" s="173"/>
      <c r="QGT54" s="172"/>
      <c r="QGU54" s="173"/>
      <c r="QGV54" s="173"/>
      <c r="QGW54" s="172"/>
      <c r="QGX54" s="173"/>
      <c r="QGY54" s="173"/>
      <c r="QGZ54" s="172"/>
      <c r="QHA54" s="173"/>
      <c r="QHB54" s="173"/>
      <c r="QHC54" s="172"/>
      <c r="QHD54" s="173"/>
      <c r="QHE54" s="173"/>
      <c r="QHF54" s="172"/>
      <c r="QHG54" s="173"/>
      <c r="QHH54" s="173"/>
      <c r="QHI54" s="172"/>
      <c r="QHJ54" s="173"/>
      <c r="QHK54" s="173"/>
      <c r="QHL54" s="172"/>
      <c r="QHM54" s="173"/>
      <c r="QHN54" s="173"/>
      <c r="QHO54" s="172"/>
      <c r="QHP54" s="173"/>
      <c r="QHQ54" s="173"/>
      <c r="QHR54" s="172"/>
      <c r="QHS54" s="173"/>
      <c r="QHT54" s="173"/>
      <c r="QHU54" s="172"/>
      <c r="QHV54" s="173"/>
      <c r="QHW54" s="173"/>
      <c r="QHX54" s="172"/>
      <c r="QHY54" s="173"/>
      <c r="QHZ54" s="173"/>
      <c r="QIA54" s="172"/>
      <c r="QIB54" s="173"/>
      <c r="QIC54" s="173"/>
      <c r="QID54" s="172"/>
      <c r="QIE54" s="173"/>
      <c r="QIF54" s="173"/>
      <c r="QIG54" s="172"/>
      <c r="QIH54" s="173"/>
      <c r="QII54" s="173"/>
      <c r="QIJ54" s="172"/>
      <c r="QIK54" s="173"/>
      <c r="QIL54" s="173"/>
      <c r="QIM54" s="172"/>
      <c r="QIN54" s="173"/>
      <c r="QIO54" s="173"/>
      <c r="QIP54" s="172"/>
      <c r="QIQ54" s="173"/>
      <c r="QIR54" s="173"/>
      <c r="QIS54" s="172"/>
      <c r="QIT54" s="173"/>
      <c r="QIU54" s="173"/>
      <c r="QIV54" s="172"/>
      <c r="QIW54" s="173"/>
      <c r="QIX54" s="173"/>
      <c r="QIY54" s="172"/>
      <c r="QIZ54" s="173"/>
      <c r="QJA54" s="173"/>
      <c r="QJB54" s="172"/>
      <c r="QJC54" s="173"/>
      <c r="QJD54" s="173"/>
      <c r="QJE54" s="172"/>
      <c r="QJF54" s="173"/>
      <c r="QJG54" s="173"/>
      <c r="QJH54" s="172"/>
      <c r="QJI54" s="173"/>
      <c r="QJJ54" s="173"/>
      <c r="QJK54" s="172"/>
      <c r="QJL54" s="173"/>
      <c r="QJM54" s="173"/>
      <c r="QJN54" s="172"/>
      <c r="QJO54" s="173"/>
      <c r="QJP54" s="173"/>
      <c r="QJQ54" s="172"/>
      <c r="QJR54" s="173"/>
      <c r="QJS54" s="173"/>
      <c r="QJT54" s="172"/>
      <c r="QJU54" s="173"/>
      <c r="QJV54" s="173"/>
      <c r="QJW54" s="172"/>
      <c r="QJX54" s="173"/>
      <c r="QJY54" s="173"/>
      <c r="QJZ54" s="172"/>
      <c r="QKA54" s="173"/>
      <c r="QKB54" s="173"/>
      <c r="QKC54" s="172"/>
      <c r="QKD54" s="173"/>
      <c r="QKE54" s="173"/>
      <c r="QKF54" s="172"/>
      <c r="QKG54" s="173"/>
      <c r="QKH54" s="173"/>
      <c r="QKI54" s="172"/>
      <c r="QKJ54" s="173"/>
      <c r="QKK54" s="173"/>
      <c r="QKL54" s="172"/>
      <c r="QKM54" s="173"/>
      <c r="QKN54" s="173"/>
      <c r="QKO54" s="172"/>
      <c r="QKP54" s="173"/>
      <c r="QKQ54" s="173"/>
      <c r="QKR54" s="172"/>
      <c r="QKS54" s="173"/>
      <c r="QKT54" s="173"/>
      <c r="QKU54" s="172"/>
      <c r="QKV54" s="173"/>
      <c r="QKW54" s="173"/>
      <c r="QKX54" s="172"/>
      <c r="QKY54" s="173"/>
      <c r="QKZ54" s="173"/>
      <c r="QLA54" s="172"/>
      <c r="QLB54" s="173"/>
      <c r="QLC54" s="173"/>
      <c r="QLD54" s="172"/>
      <c r="QLE54" s="173"/>
      <c r="QLF54" s="173"/>
      <c r="QLG54" s="172"/>
      <c r="QLH54" s="173"/>
      <c r="QLI54" s="173"/>
      <c r="QLJ54" s="172"/>
      <c r="QLK54" s="173"/>
      <c r="QLL54" s="173"/>
      <c r="QLM54" s="172"/>
      <c r="QLN54" s="173"/>
      <c r="QLO54" s="173"/>
      <c r="QLP54" s="172"/>
      <c r="QLQ54" s="173"/>
      <c r="QLR54" s="173"/>
      <c r="QLS54" s="172"/>
      <c r="QLT54" s="173"/>
      <c r="QLU54" s="173"/>
      <c r="QLV54" s="172"/>
      <c r="QLW54" s="173"/>
      <c r="QLX54" s="173"/>
      <c r="QLY54" s="172"/>
      <c r="QLZ54" s="173"/>
      <c r="QMA54" s="173"/>
      <c r="QMB54" s="172"/>
      <c r="QMC54" s="173"/>
      <c r="QMD54" s="173"/>
      <c r="QME54" s="172"/>
      <c r="QMF54" s="173"/>
      <c r="QMG54" s="173"/>
      <c r="QMH54" s="172"/>
      <c r="QMI54" s="173"/>
      <c r="QMJ54" s="173"/>
      <c r="QMK54" s="172"/>
      <c r="QML54" s="173"/>
      <c r="QMM54" s="173"/>
      <c r="QMN54" s="172"/>
      <c r="QMO54" s="173"/>
      <c r="QMP54" s="173"/>
      <c r="QMQ54" s="172"/>
      <c r="QMR54" s="173"/>
      <c r="QMS54" s="173"/>
      <c r="QMT54" s="172"/>
      <c r="QMU54" s="173"/>
      <c r="QMV54" s="173"/>
      <c r="QMW54" s="172"/>
      <c r="QMX54" s="173"/>
      <c r="QMY54" s="173"/>
      <c r="QMZ54" s="172"/>
      <c r="QNA54" s="173"/>
      <c r="QNB54" s="173"/>
      <c r="QNC54" s="172"/>
      <c r="QND54" s="173"/>
      <c r="QNE54" s="173"/>
      <c r="QNF54" s="172"/>
      <c r="QNG54" s="173"/>
      <c r="QNH54" s="173"/>
      <c r="QNI54" s="172"/>
      <c r="QNJ54" s="173"/>
      <c r="QNK54" s="173"/>
      <c r="QNL54" s="172"/>
      <c r="QNM54" s="173"/>
      <c r="QNN54" s="173"/>
      <c r="QNO54" s="172"/>
      <c r="QNP54" s="173"/>
      <c r="QNQ54" s="173"/>
      <c r="QNR54" s="172"/>
      <c r="QNS54" s="173"/>
      <c r="QNT54" s="173"/>
      <c r="QNU54" s="172"/>
      <c r="QNV54" s="173"/>
      <c r="QNW54" s="173"/>
      <c r="QNX54" s="172"/>
      <c r="QNY54" s="173"/>
      <c r="QNZ54" s="173"/>
      <c r="QOA54" s="172"/>
      <c r="QOB54" s="173"/>
      <c r="QOC54" s="173"/>
      <c r="QOD54" s="172"/>
      <c r="QOE54" s="173"/>
      <c r="QOF54" s="173"/>
      <c r="QOG54" s="172"/>
      <c r="QOH54" s="173"/>
      <c r="QOI54" s="173"/>
      <c r="QOJ54" s="172"/>
      <c r="QOK54" s="173"/>
      <c r="QOL54" s="173"/>
      <c r="QOM54" s="172"/>
      <c r="QON54" s="173"/>
      <c r="QOO54" s="173"/>
      <c r="QOP54" s="172"/>
      <c r="QOQ54" s="173"/>
      <c r="QOR54" s="173"/>
      <c r="QOS54" s="172"/>
      <c r="QOT54" s="173"/>
      <c r="QOU54" s="173"/>
      <c r="QOV54" s="172"/>
      <c r="QOW54" s="173"/>
      <c r="QOX54" s="173"/>
      <c r="QOY54" s="172"/>
      <c r="QOZ54" s="173"/>
      <c r="QPA54" s="173"/>
      <c r="QPB54" s="172"/>
      <c r="QPC54" s="173"/>
      <c r="QPD54" s="173"/>
      <c r="QPE54" s="172"/>
      <c r="QPF54" s="173"/>
      <c r="QPG54" s="173"/>
      <c r="QPH54" s="172"/>
      <c r="QPI54" s="173"/>
      <c r="QPJ54" s="173"/>
      <c r="QPK54" s="172"/>
      <c r="QPL54" s="173"/>
      <c r="QPM54" s="173"/>
      <c r="QPN54" s="172"/>
      <c r="QPO54" s="173"/>
      <c r="QPP54" s="173"/>
      <c r="QPQ54" s="172"/>
      <c r="QPR54" s="173"/>
      <c r="QPS54" s="173"/>
      <c r="QPT54" s="172"/>
      <c r="QPU54" s="173"/>
      <c r="QPV54" s="173"/>
      <c r="QPW54" s="172"/>
      <c r="QPX54" s="173"/>
      <c r="QPY54" s="173"/>
      <c r="QPZ54" s="172"/>
      <c r="QQA54" s="173"/>
      <c r="QQB54" s="173"/>
      <c r="QQC54" s="172"/>
      <c r="QQD54" s="173"/>
      <c r="QQE54" s="173"/>
      <c r="QQF54" s="172"/>
      <c r="QQG54" s="173"/>
      <c r="QQH54" s="173"/>
      <c r="QQI54" s="172"/>
      <c r="QQJ54" s="173"/>
      <c r="QQK54" s="173"/>
      <c r="QQL54" s="172"/>
      <c r="QQM54" s="173"/>
      <c r="QQN54" s="173"/>
      <c r="QQO54" s="172"/>
      <c r="QQP54" s="173"/>
      <c r="QQQ54" s="173"/>
      <c r="QQR54" s="172"/>
      <c r="QQS54" s="173"/>
      <c r="QQT54" s="173"/>
      <c r="QQU54" s="172"/>
      <c r="QQV54" s="173"/>
      <c r="QQW54" s="173"/>
      <c r="QQX54" s="172"/>
      <c r="QQY54" s="173"/>
      <c r="QQZ54" s="173"/>
      <c r="QRA54" s="172"/>
      <c r="QRB54" s="173"/>
      <c r="QRC54" s="173"/>
      <c r="QRD54" s="172"/>
      <c r="QRE54" s="173"/>
      <c r="QRF54" s="173"/>
      <c r="QRG54" s="172"/>
      <c r="QRH54" s="173"/>
      <c r="QRI54" s="173"/>
      <c r="QRJ54" s="172"/>
      <c r="QRK54" s="173"/>
      <c r="QRL54" s="173"/>
      <c r="QRM54" s="172"/>
      <c r="QRN54" s="173"/>
      <c r="QRO54" s="173"/>
      <c r="QRP54" s="172"/>
      <c r="QRQ54" s="173"/>
      <c r="QRR54" s="173"/>
      <c r="QRS54" s="172"/>
      <c r="QRT54" s="173"/>
      <c r="QRU54" s="173"/>
      <c r="QRV54" s="172"/>
      <c r="QRW54" s="173"/>
      <c r="QRX54" s="173"/>
      <c r="QRY54" s="172"/>
      <c r="QRZ54" s="173"/>
      <c r="QSA54" s="173"/>
      <c r="QSB54" s="172"/>
      <c r="QSC54" s="173"/>
      <c r="QSD54" s="173"/>
      <c r="QSE54" s="172"/>
      <c r="QSF54" s="173"/>
      <c r="QSG54" s="173"/>
      <c r="QSH54" s="172"/>
      <c r="QSI54" s="173"/>
      <c r="QSJ54" s="173"/>
      <c r="QSK54" s="172"/>
      <c r="QSL54" s="173"/>
      <c r="QSM54" s="173"/>
      <c r="QSN54" s="172"/>
      <c r="QSO54" s="173"/>
      <c r="QSP54" s="173"/>
      <c r="QSQ54" s="172"/>
      <c r="QSR54" s="173"/>
      <c r="QSS54" s="173"/>
      <c r="QST54" s="172"/>
      <c r="QSU54" s="173"/>
      <c r="QSV54" s="173"/>
      <c r="QSW54" s="172"/>
      <c r="QSX54" s="173"/>
      <c r="QSY54" s="173"/>
      <c r="QSZ54" s="172"/>
      <c r="QTA54" s="173"/>
      <c r="QTB54" s="173"/>
      <c r="QTC54" s="172"/>
      <c r="QTD54" s="173"/>
      <c r="QTE54" s="173"/>
      <c r="QTF54" s="172"/>
      <c r="QTG54" s="173"/>
      <c r="QTH54" s="173"/>
      <c r="QTI54" s="172"/>
      <c r="QTJ54" s="173"/>
      <c r="QTK54" s="173"/>
      <c r="QTL54" s="172"/>
      <c r="QTM54" s="173"/>
      <c r="QTN54" s="173"/>
      <c r="QTO54" s="172"/>
      <c r="QTP54" s="173"/>
      <c r="QTQ54" s="173"/>
      <c r="QTR54" s="172"/>
      <c r="QTS54" s="173"/>
      <c r="QTT54" s="173"/>
      <c r="QTU54" s="172"/>
      <c r="QTV54" s="173"/>
      <c r="QTW54" s="173"/>
      <c r="QTX54" s="172"/>
      <c r="QTY54" s="173"/>
      <c r="QTZ54" s="173"/>
      <c r="QUA54" s="172"/>
      <c r="QUB54" s="173"/>
      <c r="QUC54" s="173"/>
      <c r="QUD54" s="172"/>
      <c r="QUE54" s="173"/>
      <c r="QUF54" s="173"/>
      <c r="QUG54" s="172"/>
      <c r="QUH54" s="173"/>
      <c r="QUI54" s="173"/>
      <c r="QUJ54" s="172"/>
      <c r="QUK54" s="173"/>
      <c r="QUL54" s="173"/>
      <c r="QUM54" s="172"/>
      <c r="QUN54" s="173"/>
      <c r="QUO54" s="173"/>
      <c r="QUP54" s="172"/>
      <c r="QUQ54" s="173"/>
      <c r="QUR54" s="173"/>
      <c r="QUS54" s="172"/>
      <c r="QUT54" s="173"/>
      <c r="QUU54" s="173"/>
      <c r="QUV54" s="172"/>
      <c r="QUW54" s="173"/>
      <c r="QUX54" s="173"/>
      <c r="QUY54" s="172"/>
      <c r="QUZ54" s="173"/>
      <c r="QVA54" s="173"/>
      <c r="QVB54" s="172"/>
      <c r="QVC54" s="173"/>
      <c r="QVD54" s="173"/>
      <c r="QVE54" s="172"/>
      <c r="QVF54" s="173"/>
      <c r="QVG54" s="173"/>
      <c r="QVH54" s="172"/>
      <c r="QVI54" s="173"/>
      <c r="QVJ54" s="173"/>
      <c r="QVK54" s="172"/>
      <c r="QVL54" s="173"/>
      <c r="QVM54" s="173"/>
      <c r="QVN54" s="172"/>
      <c r="QVO54" s="173"/>
      <c r="QVP54" s="173"/>
      <c r="QVQ54" s="172"/>
      <c r="QVR54" s="173"/>
      <c r="QVS54" s="173"/>
      <c r="QVT54" s="172"/>
      <c r="QVU54" s="173"/>
      <c r="QVV54" s="173"/>
      <c r="QVW54" s="172"/>
      <c r="QVX54" s="173"/>
      <c r="QVY54" s="173"/>
      <c r="QVZ54" s="172"/>
      <c r="QWA54" s="173"/>
      <c r="QWB54" s="173"/>
      <c r="QWC54" s="172"/>
      <c r="QWD54" s="173"/>
      <c r="QWE54" s="173"/>
      <c r="QWF54" s="172"/>
      <c r="QWG54" s="173"/>
      <c r="QWH54" s="173"/>
      <c r="QWI54" s="172"/>
      <c r="QWJ54" s="173"/>
      <c r="QWK54" s="173"/>
      <c r="QWL54" s="172"/>
      <c r="QWM54" s="173"/>
      <c r="QWN54" s="173"/>
      <c r="QWO54" s="172"/>
      <c r="QWP54" s="173"/>
      <c r="QWQ54" s="173"/>
      <c r="QWR54" s="172"/>
      <c r="QWS54" s="173"/>
      <c r="QWT54" s="173"/>
      <c r="QWU54" s="172"/>
      <c r="QWV54" s="173"/>
      <c r="QWW54" s="173"/>
      <c r="QWX54" s="172"/>
      <c r="QWY54" s="173"/>
      <c r="QWZ54" s="173"/>
      <c r="QXA54" s="172"/>
      <c r="QXB54" s="173"/>
      <c r="QXC54" s="173"/>
      <c r="QXD54" s="172"/>
      <c r="QXE54" s="173"/>
      <c r="QXF54" s="173"/>
      <c r="QXG54" s="172"/>
      <c r="QXH54" s="173"/>
      <c r="QXI54" s="173"/>
      <c r="QXJ54" s="172"/>
      <c r="QXK54" s="173"/>
      <c r="QXL54" s="173"/>
      <c r="QXM54" s="172"/>
      <c r="QXN54" s="173"/>
      <c r="QXO54" s="173"/>
      <c r="QXP54" s="172"/>
      <c r="QXQ54" s="173"/>
      <c r="QXR54" s="173"/>
      <c r="QXS54" s="172"/>
      <c r="QXT54" s="173"/>
      <c r="QXU54" s="173"/>
      <c r="QXV54" s="172"/>
      <c r="QXW54" s="173"/>
      <c r="QXX54" s="173"/>
      <c r="QXY54" s="172"/>
      <c r="QXZ54" s="173"/>
      <c r="QYA54" s="173"/>
      <c r="QYB54" s="172"/>
      <c r="QYC54" s="173"/>
      <c r="QYD54" s="173"/>
      <c r="QYE54" s="172"/>
      <c r="QYF54" s="173"/>
      <c r="QYG54" s="173"/>
      <c r="QYH54" s="172"/>
      <c r="QYI54" s="173"/>
      <c r="QYJ54" s="173"/>
      <c r="QYK54" s="172"/>
      <c r="QYL54" s="173"/>
      <c r="QYM54" s="173"/>
      <c r="QYN54" s="172"/>
      <c r="QYO54" s="173"/>
      <c r="QYP54" s="173"/>
      <c r="QYQ54" s="172"/>
      <c r="QYR54" s="173"/>
      <c r="QYS54" s="173"/>
      <c r="QYT54" s="172"/>
      <c r="QYU54" s="173"/>
      <c r="QYV54" s="173"/>
      <c r="QYW54" s="172"/>
      <c r="QYX54" s="173"/>
      <c r="QYY54" s="173"/>
      <c r="QYZ54" s="172"/>
      <c r="QZA54" s="173"/>
      <c r="QZB54" s="173"/>
      <c r="QZC54" s="172"/>
      <c r="QZD54" s="173"/>
      <c r="QZE54" s="173"/>
      <c r="QZF54" s="172"/>
      <c r="QZG54" s="173"/>
      <c r="QZH54" s="173"/>
      <c r="QZI54" s="172"/>
      <c r="QZJ54" s="173"/>
      <c r="QZK54" s="173"/>
      <c r="QZL54" s="172"/>
      <c r="QZM54" s="173"/>
      <c r="QZN54" s="173"/>
      <c r="QZO54" s="172"/>
      <c r="QZP54" s="173"/>
      <c r="QZQ54" s="173"/>
      <c r="QZR54" s="172"/>
      <c r="QZS54" s="173"/>
      <c r="QZT54" s="173"/>
      <c r="QZU54" s="172"/>
      <c r="QZV54" s="173"/>
      <c r="QZW54" s="173"/>
      <c r="QZX54" s="172"/>
      <c r="QZY54" s="173"/>
      <c r="QZZ54" s="173"/>
      <c r="RAA54" s="172"/>
      <c r="RAB54" s="173"/>
      <c r="RAC54" s="173"/>
      <c r="RAD54" s="172"/>
      <c r="RAE54" s="173"/>
      <c r="RAF54" s="173"/>
      <c r="RAG54" s="172"/>
      <c r="RAH54" s="173"/>
      <c r="RAI54" s="173"/>
      <c r="RAJ54" s="172"/>
      <c r="RAK54" s="173"/>
      <c r="RAL54" s="173"/>
      <c r="RAM54" s="172"/>
      <c r="RAN54" s="173"/>
      <c r="RAO54" s="173"/>
      <c r="RAP54" s="172"/>
      <c r="RAQ54" s="173"/>
      <c r="RAR54" s="173"/>
      <c r="RAS54" s="172"/>
      <c r="RAT54" s="173"/>
      <c r="RAU54" s="173"/>
      <c r="RAV54" s="172"/>
      <c r="RAW54" s="173"/>
      <c r="RAX54" s="173"/>
      <c r="RAY54" s="172"/>
      <c r="RAZ54" s="173"/>
      <c r="RBA54" s="173"/>
      <c r="RBB54" s="172"/>
      <c r="RBC54" s="173"/>
      <c r="RBD54" s="173"/>
      <c r="RBE54" s="172"/>
      <c r="RBF54" s="173"/>
      <c r="RBG54" s="173"/>
      <c r="RBH54" s="172"/>
      <c r="RBI54" s="173"/>
      <c r="RBJ54" s="173"/>
      <c r="RBK54" s="172"/>
      <c r="RBL54" s="173"/>
      <c r="RBM54" s="173"/>
      <c r="RBN54" s="172"/>
      <c r="RBO54" s="173"/>
      <c r="RBP54" s="173"/>
      <c r="RBQ54" s="172"/>
      <c r="RBR54" s="173"/>
      <c r="RBS54" s="173"/>
      <c r="RBT54" s="172"/>
      <c r="RBU54" s="173"/>
      <c r="RBV54" s="173"/>
      <c r="RBW54" s="172"/>
      <c r="RBX54" s="173"/>
      <c r="RBY54" s="173"/>
      <c r="RBZ54" s="172"/>
      <c r="RCA54" s="173"/>
      <c r="RCB54" s="173"/>
      <c r="RCC54" s="172"/>
      <c r="RCD54" s="173"/>
      <c r="RCE54" s="173"/>
      <c r="RCF54" s="172"/>
      <c r="RCG54" s="173"/>
      <c r="RCH54" s="173"/>
      <c r="RCI54" s="172"/>
      <c r="RCJ54" s="173"/>
      <c r="RCK54" s="173"/>
      <c r="RCL54" s="172"/>
      <c r="RCM54" s="173"/>
      <c r="RCN54" s="173"/>
      <c r="RCO54" s="172"/>
      <c r="RCP54" s="173"/>
      <c r="RCQ54" s="173"/>
      <c r="RCR54" s="172"/>
      <c r="RCS54" s="173"/>
      <c r="RCT54" s="173"/>
      <c r="RCU54" s="172"/>
      <c r="RCV54" s="173"/>
      <c r="RCW54" s="173"/>
      <c r="RCX54" s="172"/>
      <c r="RCY54" s="173"/>
      <c r="RCZ54" s="173"/>
      <c r="RDA54" s="172"/>
      <c r="RDB54" s="173"/>
      <c r="RDC54" s="173"/>
      <c r="RDD54" s="172"/>
      <c r="RDE54" s="173"/>
      <c r="RDF54" s="173"/>
      <c r="RDG54" s="172"/>
      <c r="RDH54" s="173"/>
      <c r="RDI54" s="173"/>
      <c r="RDJ54" s="172"/>
      <c r="RDK54" s="173"/>
      <c r="RDL54" s="173"/>
      <c r="RDM54" s="172"/>
      <c r="RDN54" s="173"/>
      <c r="RDO54" s="173"/>
      <c r="RDP54" s="172"/>
      <c r="RDQ54" s="173"/>
      <c r="RDR54" s="173"/>
      <c r="RDS54" s="172"/>
      <c r="RDT54" s="173"/>
      <c r="RDU54" s="173"/>
      <c r="RDV54" s="172"/>
      <c r="RDW54" s="173"/>
      <c r="RDX54" s="173"/>
      <c r="RDY54" s="172"/>
      <c r="RDZ54" s="173"/>
      <c r="REA54" s="173"/>
      <c r="REB54" s="172"/>
      <c r="REC54" s="173"/>
      <c r="RED54" s="173"/>
      <c r="REE54" s="172"/>
      <c r="REF54" s="173"/>
      <c r="REG54" s="173"/>
      <c r="REH54" s="172"/>
      <c r="REI54" s="173"/>
      <c r="REJ54" s="173"/>
      <c r="REK54" s="172"/>
      <c r="REL54" s="173"/>
      <c r="REM54" s="173"/>
      <c r="REN54" s="172"/>
      <c r="REO54" s="173"/>
      <c r="REP54" s="173"/>
      <c r="REQ54" s="172"/>
      <c r="RER54" s="173"/>
      <c r="RES54" s="173"/>
      <c r="RET54" s="172"/>
      <c r="REU54" s="173"/>
      <c r="REV54" s="173"/>
      <c r="REW54" s="172"/>
      <c r="REX54" s="173"/>
      <c r="REY54" s="173"/>
      <c r="REZ54" s="172"/>
      <c r="RFA54" s="173"/>
      <c r="RFB54" s="173"/>
      <c r="RFC54" s="172"/>
      <c r="RFD54" s="173"/>
      <c r="RFE54" s="173"/>
      <c r="RFF54" s="172"/>
      <c r="RFG54" s="173"/>
      <c r="RFH54" s="173"/>
      <c r="RFI54" s="172"/>
      <c r="RFJ54" s="173"/>
      <c r="RFK54" s="173"/>
      <c r="RFL54" s="172"/>
      <c r="RFM54" s="173"/>
      <c r="RFN54" s="173"/>
      <c r="RFO54" s="172"/>
      <c r="RFP54" s="173"/>
      <c r="RFQ54" s="173"/>
      <c r="RFR54" s="172"/>
      <c r="RFS54" s="173"/>
      <c r="RFT54" s="173"/>
      <c r="RFU54" s="172"/>
      <c r="RFV54" s="173"/>
      <c r="RFW54" s="173"/>
      <c r="RFX54" s="172"/>
      <c r="RFY54" s="173"/>
      <c r="RFZ54" s="173"/>
      <c r="RGA54" s="172"/>
      <c r="RGB54" s="173"/>
      <c r="RGC54" s="173"/>
      <c r="RGD54" s="172"/>
      <c r="RGE54" s="173"/>
      <c r="RGF54" s="173"/>
      <c r="RGG54" s="172"/>
      <c r="RGH54" s="173"/>
      <c r="RGI54" s="173"/>
      <c r="RGJ54" s="172"/>
      <c r="RGK54" s="173"/>
      <c r="RGL54" s="173"/>
      <c r="RGM54" s="172"/>
      <c r="RGN54" s="173"/>
      <c r="RGO54" s="173"/>
      <c r="RGP54" s="172"/>
      <c r="RGQ54" s="173"/>
      <c r="RGR54" s="173"/>
      <c r="RGS54" s="172"/>
      <c r="RGT54" s="173"/>
      <c r="RGU54" s="173"/>
      <c r="RGV54" s="172"/>
      <c r="RGW54" s="173"/>
      <c r="RGX54" s="173"/>
      <c r="RGY54" s="172"/>
      <c r="RGZ54" s="173"/>
      <c r="RHA54" s="173"/>
      <c r="RHB54" s="172"/>
      <c r="RHC54" s="173"/>
      <c r="RHD54" s="173"/>
      <c r="RHE54" s="172"/>
      <c r="RHF54" s="173"/>
      <c r="RHG54" s="173"/>
      <c r="RHH54" s="172"/>
      <c r="RHI54" s="173"/>
      <c r="RHJ54" s="173"/>
      <c r="RHK54" s="172"/>
      <c r="RHL54" s="173"/>
      <c r="RHM54" s="173"/>
      <c r="RHN54" s="172"/>
      <c r="RHO54" s="173"/>
      <c r="RHP54" s="173"/>
      <c r="RHQ54" s="172"/>
      <c r="RHR54" s="173"/>
      <c r="RHS54" s="173"/>
      <c r="RHT54" s="172"/>
      <c r="RHU54" s="173"/>
      <c r="RHV54" s="173"/>
      <c r="RHW54" s="172"/>
      <c r="RHX54" s="173"/>
      <c r="RHY54" s="173"/>
      <c r="RHZ54" s="172"/>
      <c r="RIA54" s="173"/>
      <c r="RIB54" s="173"/>
      <c r="RIC54" s="172"/>
      <c r="RID54" s="173"/>
      <c r="RIE54" s="173"/>
      <c r="RIF54" s="172"/>
      <c r="RIG54" s="173"/>
      <c r="RIH54" s="173"/>
      <c r="RII54" s="172"/>
      <c r="RIJ54" s="173"/>
      <c r="RIK54" s="173"/>
      <c r="RIL54" s="172"/>
      <c r="RIM54" s="173"/>
      <c r="RIN54" s="173"/>
      <c r="RIO54" s="172"/>
      <c r="RIP54" s="173"/>
      <c r="RIQ54" s="173"/>
      <c r="RIR54" s="172"/>
      <c r="RIS54" s="173"/>
      <c r="RIT54" s="173"/>
      <c r="RIU54" s="172"/>
      <c r="RIV54" s="173"/>
      <c r="RIW54" s="173"/>
      <c r="RIX54" s="172"/>
      <c r="RIY54" s="173"/>
      <c r="RIZ54" s="173"/>
      <c r="RJA54" s="172"/>
      <c r="RJB54" s="173"/>
      <c r="RJC54" s="173"/>
      <c r="RJD54" s="172"/>
      <c r="RJE54" s="173"/>
      <c r="RJF54" s="173"/>
      <c r="RJG54" s="172"/>
      <c r="RJH54" s="173"/>
      <c r="RJI54" s="173"/>
      <c r="RJJ54" s="172"/>
      <c r="RJK54" s="173"/>
      <c r="RJL54" s="173"/>
      <c r="RJM54" s="172"/>
      <c r="RJN54" s="173"/>
      <c r="RJO54" s="173"/>
      <c r="RJP54" s="172"/>
      <c r="RJQ54" s="173"/>
      <c r="RJR54" s="173"/>
      <c r="RJS54" s="172"/>
      <c r="RJT54" s="173"/>
      <c r="RJU54" s="173"/>
      <c r="RJV54" s="172"/>
      <c r="RJW54" s="173"/>
      <c r="RJX54" s="173"/>
      <c r="RJY54" s="172"/>
      <c r="RJZ54" s="173"/>
      <c r="RKA54" s="173"/>
      <c r="RKB54" s="172"/>
      <c r="RKC54" s="173"/>
      <c r="RKD54" s="173"/>
      <c r="RKE54" s="172"/>
      <c r="RKF54" s="173"/>
      <c r="RKG54" s="173"/>
      <c r="RKH54" s="172"/>
      <c r="RKI54" s="173"/>
      <c r="RKJ54" s="173"/>
      <c r="RKK54" s="172"/>
      <c r="RKL54" s="173"/>
      <c r="RKM54" s="173"/>
      <c r="RKN54" s="172"/>
      <c r="RKO54" s="173"/>
      <c r="RKP54" s="173"/>
      <c r="RKQ54" s="172"/>
      <c r="RKR54" s="173"/>
      <c r="RKS54" s="173"/>
      <c r="RKT54" s="172"/>
      <c r="RKU54" s="173"/>
      <c r="RKV54" s="173"/>
      <c r="RKW54" s="172"/>
      <c r="RKX54" s="173"/>
      <c r="RKY54" s="173"/>
      <c r="RKZ54" s="172"/>
      <c r="RLA54" s="173"/>
      <c r="RLB54" s="173"/>
      <c r="RLC54" s="172"/>
      <c r="RLD54" s="173"/>
      <c r="RLE54" s="173"/>
      <c r="RLF54" s="172"/>
      <c r="RLG54" s="173"/>
      <c r="RLH54" s="173"/>
      <c r="RLI54" s="172"/>
      <c r="RLJ54" s="173"/>
      <c r="RLK54" s="173"/>
      <c r="RLL54" s="172"/>
      <c r="RLM54" s="173"/>
      <c r="RLN54" s="173"/>
      <c r="RLO54" s="172"/>
      <c r="RLP54" s="173"/>
      <c r="RLQ54" s="173"/>
      <c r="RLR54" s="172"/>
      <c r="RLS54" s="173"/>
      <c r="RLT54" s="173"/>
      <c r="RLU54" s="172"/>
      <c r="RLV54" s="173"/>
      <c r="RLW54" s="173"/>
      <c r="RLX54" s="172"/>
      <c r="RLY54" s="173"/>
      <c r="RLZ54" s="173"/>
      <c r="RMA54" s="172"/>
      <c r="RMB54" s="173"/>
      <c r="RMC54" s="173"/>
      <c r="RMD54" s="172"/>
      <c r="RME54" s="173"/>
      <c r="RMF54" s="173"/>
      <c r="RMG54" s="172"/>
      <c r="RMH54" s="173"/>
      <c r="RMI54" s="173"/>
      <c r="RMJ54" s="172"/>
      <c r="RMK54" s="173"/>
      <c r="RML54" s="173"/>
      <c r="RMM54" s="172"/>
      <c r="RMN54" s="173"/>
      <c r="RMO54" s="173"/>
      <c r="RMP54" s="172"/>
      <c r="RMQ54" s="173"/>
      <c r="RMR54" s="173"/>
      <c r="RMS54" s="172"/>
      <c r="RMT54" s="173"/>
      <c r="RMU54" s="173"/>
      <c r="RMV54" s="172"/>
      <c r="RMW54" s="173"/>
      <c r="RMX54" s="173"/>
      <c r="RMY54" s="172"/>
      <c r="RMZ54" s="173"/>
      <c r="RNA54" s="173"/>
      <c r="RNB54" s="172"/>
      <c r="RNC54" s="173"/>
      <c r="RND54" s="173"/>
      <c r="RNE54" s="172"/>
      <c r="RNF54" s="173"/>
      <c r="RNG54" s="173"/>
      <c r="RNH54" s="172"/>
      <c r="RNI54" s="173"/>
      <c r="RNJ54" s="173"/>
      <c r="RNK54" s="172"/>
      <c r="RNL54" s="173"/>
      <c r="RNM54" s="173"/>
      <c r="RNN54" s="172"/>
      <c r="RNO54" s="173"/>
      <c r="RNP54" s="173"/>
      <c r="RNQ54" s="172"/>
      <c r="RNR54" s="173"/>
      <c r="RNS54" s="173"/>
      <c r="RNT54" s="172"/>
      <c r="RNU54" s="173"/>
      <c r="RNV54" s="173"/>
      <c r="RNW54" s="172"/>
      <c r="RNX54" s="173"/>
      <c r="RNY54" s="173"/>
      <c r="RNZ54" s="172"/>
      <c r="ROA54" s="173"/>
      <c r="ROB54" s="173"/>
      <c r="ROC54" s="172"/>
      <c r="ROD54" s="173"/>
      <c r="ROE54" s="173"/>
      <c r="ROF54" s="172"/>
      <c r="ROG54" s="173"/>
      <c r="ROH54" s="173"/>
      <c r="ROI54" s="172"/>
      <c r="ROJ54" s="173"/>
      <c r="ROK54" s="173"/>
      <c r="ROL54" s="172"/>
      <c r="ROM54" s="173"/>
      <c r="RON54" s="173"/>
      <c r="ROO54" s="172"/>
      <c r="ROP54" s="173"/>
      <c r="ROQ54" s="173"/>
      <c r="ROR54" s="172"/>
      <c r="ROS54" s="173"/>
      <c r="ROT54" s="173"/>
      <c r="ROU54" s="172"/>
      <c r="ROV54" s="173"/>
      <c r="ROW54" s="173"/>
      <c r="ROX54" s="172"/>
      <c r="ROY54" s="173"/>
      <c r="ROZ54" s="173"/>
      <c r="RPA54" s="172"/>
      <c r="RPB54" s="173"/>
      <c r="RPC54" s="173"/>
      <c r="RPD54" s="172"/>
      <c r="RPE54" s="173"/>
      <c r="RPF54" s="173"/>
      <c r="RPG54" s="172"/>
      <c r="RPH54" s="173"/>
      <c r="RPI54" s="173"/>
      <c r="RPJ54" s="172"/>
      <c r="RPK54" s="173"/>
      <c r="RPL54" s="173"/>
      <c r="RPM54" s="172"/>
      <c r="RPN54" s="173"/>
      <c r="RPO54" s="173"/>
      <c r="RPP54" s="172"/>
      <c r="RPQ54" s="173"/>
      <c r="RPR54" s="173"/>
      <c r="RPS54" s="172"/>
      <c r="RPT54" s="173"/>
      <c r="RPU54" s="173"/>
      <c r="RPV54" s="172"/>
      <c r="RPW54" s="173"/>
      <c r="RPX54" s="173"/>
      <c r="RPY54" s="172"/>
      <c r="RPZ54" s="173"/>
      <c r="RQA54" s="173"/>
      <c r="RQB54" s="172"/>
      <c r="RQC54" s="173"/>
      <c r="RQD54" s="173"/>
      <c r="RQE54" s="172"/>
      <c r="RQF54" s="173"/>
      <c r="RQG54" s="173"/>
      <c r="RQH54" s="172"/>
      <c r="RQI54" s="173"/>
      <c r="RQJ54" s="173"/>
      <c r="RQK54" s="172"/>
      <c r="RQL54" s="173"/>
      <c r="RQM54" s="173"/>
      <c r="RQN54" s="172"/>
      <c r="RQO54" s="173"/>
      <c r="RQP54" s="173"/>
      <c r="RQQ54" s="172"/>
      <c r="RQR54" s="173"/>
      <c r="RQS54" s="173"/>
      <c r="RQT54" s="172"/>
      <c r="RQU54" s="173"/>
      <c r="RQV54" s="173"/>
      <c r="RQW54" s="172"/>
      <c r="RQX54" s="173"/>
      <c r="RQY54" s="173"/>
      <c r="RQZ54" s="172"/>
      <c r="RRA54" s="173"/>
      <c r="RRB54" s="173"/>
      <c r="RRC54" s="172"/>
      <c r="RRD54" s="173"/>
      <c r="RRE54" s="173"/>
      <c r="RRF54" s="172"/>
      <c r="RRG54" s="173"/>
      <c r="RRH54" s="173"/>
      <c r="RRI54" s="172"/>
      <c r="RRJ54" s="173"/>
      <c r="RRK54" s="173"/>
      <c r="RRL54" s="172"/>
      <c r="RRM54" s="173"/>
      <c r="RRN54" s="173"/>
      <c r="RRO54" s="172"/>
      <c r="RRP54" s="173"/>
      <c r="RRQ54" s="173"/>
      <c r="RRR54" s="172"/>
      <c r="RRS54" s="173"/>
      <c r="RRT54" s="173"/>
      <c r="RRU54" s="172"/>
      <c r="RRV54" s="173"/>
      <c r="RRW54" s="173"/>
      <c r="RRX54" s="172"/>
      <c r="RRY54" s="173"/>
      <c r="RRZ54" s="173"/>
      <c r="RSA54" s="172"/>
      <c r="RSB54" s="173"/>
      <c r="RSC54" s="173"/>
      <c r="RSD54" s="172"/>
      <c r="RSE54" s="173"/>
      <c r="RSF54" s="173"/>
      <c r="RSG54" s="172"/>
      <c r="RSH54" s="173"/>
      <c r="RSI54" s="173"/>
      <c r="RSJ54" s="172"/>
      <c r="RSK54" s="173"/>
      <c r="RSL54" s="173"/>
      <c r="RSM54" s="172"/>
      <c r="RSN54" s="173"/>
      <c r="RSO54" s="173"/>
      <c r="RSP54" s="172"/>
      <c r="RSQ54" s="173"/>
      <c r="RSR54" s="173"/>
      <c r="RSS54" s="172"/>
      <c r="RST54" s="173"/>
      <c r="RSU54" s="173"/>
      <c r="RSV54" s="172"/>
      <c r="RSW54" s="173"/>
      <c r="RSX54" s="173"/>
      <c r="RSY54" s="172"/>
      <c r="RSZ54" s="173"/>
      <c r="RTA54" s="173"/>
      <c r="RTB54" s="172"/>
      <c r="RTC54" s="173"/>
      <c r="RTD54" s="173"/>
      <c r="RTE54" s="172"/>
      <c r="RTF54" s="173"/>
      <c r="RTG54" s="173"/>
      <c r="RTH54" s="172"/>
      <c r="RTI54" s="173"/>
      <c r="RTJ54" s="173"/>
      <c r="RTK54" s="172"/>
      <c r="RTL54" s="173"/>
      <c r="RTM54" s="173"/>
      <c r="RTN54" s="172"/>
      <c r="RTO54" s="173"/>
      <c r="RTP54" s="173"/>
      <c r="RTQ54" s="172"/>
      <c r="RTR54" s="173"/>
      <c r="RTS54" s="173"/>
      <c r="RTT54" s="172"/>
      <c r="RTU54" s="173"/>
      <c r="RTV54" s="173"/>
      <c r="RTW54" s="172"/>
      <c r="RTX54" s="173"/>
      <c r="RTY54" s="173"/>
      <c r="RTZ54" s="172"/>
      <c r="RUA54" s="173"/>
      <c r="RUB54" s="173"/>
      <c r="RUC54" s="172"/>
      <c r="RUD54" s="173"/>
      <c r="RUE54" s="173"/>
      <c r="RUF54" s="172"/>
      <c r="RUG54" s="173"/>
      <c r="RUH54" s="173"/>
      <c r="RUI54" s="172"/>
      <c r="RUJ54" s="173"/>
      <c r="RUK54" s="173"/>
      <c r="RUL54" s="172"/>
      <c r="RUM54" s="173"/>
      <c r="RUN54" s="173"/>
      <c r="RUO54" s="172"/>
      <c r="RUP54" s="173"/>
      <c r="RUQ54" s="173"/>
      <c r="RUR54" s="172"/>
      <c r="RUS54" s="173"/>
      <c r="RUT54" s="173"/>
      <c r="RUU54" s="172"/>
      <c r="RUV54" s="173"/>
      <c r="RUW54" s="173"/>
      <c r="RUX54" s="172"/>
      <c r="RUY54" s="173"/>
      <c r="RUZ54" s="173"/>
      <c r="RVA54" s="172"/>
      <c r="RVB54" s="173"/>
      <c r="RVC54" s="173"/>
      <c r="RVD54" s="172"/>
      <c r="RVE54" s="173"/>
      <c r="RVF54" s="173"/>
      <c r="RVG54" s="172"/>
      <c r="RVH54" s="173"/>
      <c r="RVI54" s="173"/>
      <c r="RVJ54" s="172"/>
      <c r="RVK54" s="173"/>
      <c r="RVL54" s="173"/>
      <c r="RVM54" s="172"/>
      <c r="RVN54" s="173"/>
      <c r="RVO54" s="173"/>
      <c r="RVP54" s="172"/>
      <c r="RVQ54" s="173"/>
      <c r="RVR54" s="173"/>
      <c r="RVS54" s="172"/>
      <c r="RVT54" s="173"/>
      <c r="RVU54" s="173"/>
      <c r="RVV54" s="172"/>
      <c r="RVW54" s="173"/>
      <c r="RVX54" s="173"/>
      <c r="RVY54" s="172"/>
      <c r="RVZ54" s="173"/>
      <c r="RWA54" s="173"/>
      <c r="RWB54" s="172"/>
      <c r="RWC54" s="173"/>
      <c r="RWD54" s="173"/>
      <c r="RWE54" s="172"/>
      <c r="RWF54" s="173"/>
      <c r="RWG54" s="173"/>
      <c r="RWH54" s="172"/>
      <c r="RWI54" s="173"/>
      <c r="RWJ54" s="173"/>
      <c r="RWK54" s="172"/>
      <c r="RWL54" s="173"/>
      <c r="RWM54" s="173"/>
      <c r="RWN54" s="172"/>
      <c r="RWO54" s="173"/>
      <c r="RWP54" s="173"/>
      <c r="RWQ54" s="172"/>
      <c r="RWR54" s="173"/>
      <c r="RWS54" s="173"/>
      <c r="RWT54" s="172"/>
      <c r="RWU54" s="173"/>
      <c r="RWV54" s="173"/>
      <c r="RWW54" s="172"/>
      <c r="RWX54" s="173"/>
      <c r="RWY54" s="173"/>
      <c r="RWZ54" s="172"/>
      <c r="RXA54" s="173"/>
      <c r="RXB54" s="173"/>
      <c r="RXC54" s="172"/>
      <c r="RXD54" s="173"/>
      <c r="RXE54" s="173"/>
      <c r="RXF54" s="172"/>
      <c r="RXG54" s="173"/>
      <c r="RXH54" s="173"/>
      <c r="RXI54" s="172"/>
      <c r="RXJ54" s="173"/>
      <c r="RXK54" s="173"/>
      <c r="RXL54" s="172"/>
      <c r="RXM54" s="173"/>
      <c r="RXN54" s="173"/>
      <c r="RXO54" s="172"/>
      <c r="RXP54" s="173"/>
      <c r="RXQ54" s="173"/>
      <c r="RXR54" s="172"/>
      <c r="RXS54" s="173"/>
      <c r="RXT54" s="173"/>
      <c r="RXU54" s="172"/>
      <c r="RXV54" s="173"/>
      <c r="RXW54" s="173"/>
      <c r="RXX54" s="172"/>
      <c r="RXY54" s="173"/>
      <c r="RXZ54" s="173"/>
      <c r="RYA54" s="172"/>
      <c r="RYB54" s="173"/>
      <c r="RYC54" s="173"/>
      <c r="RYD54" s="172"/>
      <c r="RYE54" s="173"/>
      <c r="RYF54" s="173"/>
      <c r="RYG54" s="172"/>
      <c r="RYH54" s="173"/>
      <c r="RYI54" s="173"/>
      <c r="RYJ54" s="172"/>
      <c r="RYK54" s="173"/>
      <c r="RYL54" s="173"/>
      <c r="RYM54" s="172"/>
      <c r="RYN54" s="173"/>
      <c r="RYO54" s="173"/>
      <c r="RYP54" s="172"/>
      <c r="RYQ54" s="173"/>
      <c r="RYR54" s="173"/>
      <c r="RYS54" s="172"/>
      <c r="RYT54" s="173"/>
      <c r="RYU54" s="173"/>
      <c r="RYV54" s="172"/>
      <c r="RYW54" s="173"/>
      <c r="RYX54" s="173"/>
      <c r="RYY54" s="172"/>
      <c r="RYZ54" s="173"/>
      <c r="RZA54" s="173"/>
      <c r="RZB54" s="172"/>
      <c r="RZC54" s="173"/>
      <c r="RZD54" s="173"/>
      <c r="RZE54" s="172"/>
      <c r="RZF54" s="173"/>
      <c r="RZG54" s="173"/>
      <c r="RZH54" s="172"/>
      <c r="RZI54" s="173"/>
      <c r="RZJ54" s="173"/>
      <c r="RZK54" s="172"/>
      <c r="RZL54" s="173"/>
      <c r="RZM54" s="173"/>
      <c r="RZN54" s="172"/>
      <c r="RZO54" s="173"/>
      <c r="RZP54" s="173"/>
      <c r="RZQ54" s="172"/>
      <c r="RZR54" s="173"/>
      <c r="RZS54" s="173"/>
      <c r="RZT54" s="172"/>
      <c r="RZU54" s="173"/>
      <c r="RZV54" s="173"/>
      <c r="RZW54" s="172"/>
      <c r="RZX54" s="173"/>
      <c r="RZY54" s="173"/>
      <c r="RZZ54" s="172"/>
      <c r="SAA54" s="173"/>
      <c r="SAB54" s="173"/>
      <c r="SAC54" s="172"/>
      <c r="SAD54" s="173"/>
      <c r="SAE54" s="173"/>
      <c r="SAF54" s="172"/>
      <c r="SAG54" s="173"/>
      <c r="SAH54" s="173"/>
      <c r="SAI54" s="172"/>
      <c r="SAJ54" s="173"/>
      <c r="SAK54" s="173"/>
      <c r="SAL54" s="172"/>
      <c r="SAM54" s="173"/>
      <c r="SAN54" s="173"/>
      <c r="SAO54" s="172"/>
      <c r="SAP54" s="173"/>
      <c r="SAQ54" s="173"/>
      <c r="SAR54" s="172"/>
      <c r="SAS54" s="173"/>
      <c r="SAT54" s="173"/>
      <c r="SAU54" s="172"/>
      <c r="SAV54" s="173"/>
      <c r="SAW54" s="173"/>
      <c r="SAX54" s="172"/>
      <c r="SAY54" s="173"/>
      <c r="SAZ54" s="173"/>
      <c r="SBA54" s="172"/>
      <c r="SBB54" s="173"/>
      <c r="SBC54" s="173"/>
      <c r="SBD54" s="172"/>
      <c r="SBE54" s="173"/>
      <c r="SBF54" s="173"/>
      <c r="SBG54" s="172"/>
      <c r="SBH54" s="173"/>
      <c r="SBI54" s="173"/>
      <c r="SBJ54" s="172"/>
      <c r="SBK54" s="173"/>
      <c r="SBL54" s="173"/>
      <c r="SBM54" s="172"/>
      <c r="SBN54" s="173"/>
      <c r="SBO54" s="173"/>
      <c r="SBP54" s="172"/>
      <c r="SBQ54" s="173"/>
      <c r="SBR54" s="173"/>
      <c r="SBS54" s="172"/>
      <c r="SBT54" s="173"/>
      <c r="SBU54" s="173"/>
      <c r="SBV54" s="172"/>
      <c r="SBW54" s="173"/>
      <c r="SBX54" s="173"/>
      <c r="SBY54" s="172"/>
      <c r="SBZ54" s="173"/>
      <c r="SCA54" s="173"/>
      <c r="SCB54" s="172"/>
      <c r="SCC54" s="173"/>
      <c r="SCD54" s="173"/>
      <c r="SCE54" s="172"/>
      <c r="SCF54" s="173"/>
      <c r="SCG54" s="173"/>
      <c r="SCH54" s="172"/>
      <c r="SCI54" s="173"/>
      <c r="SCJ54" s="173"/>
      <c r="SCK54" s="172"/>
      <c r="SCL54" s="173"/>
      <c r="SCM54" s="173"/>
      <c r="SCN54" s="172"/>
      <c r="SCO54" s="173"/>
      <c r="SCP54" s="173"/>
      <c r="SCQ54" s="172"/>
      <c r="SCR54" s="173"/>
      <c r="SCS54" s="173"/>
      <c r="SCT54" s="172"/>
      <c r="SCU54" s="173"/>
      <c r="SCV54" s="173"/>
      <c r="SCW54" s="172"/>
      <c r="SCX54" s="173"/>
      <c r="SCY54" s="173"/>
      <c r="SCZ54" s="172"/>
      <c r="SDA54" s="173"/>
      <c r="SDB54" s="173"/>
      <c r="SDC54" s="172"/>
      <c r="SDD54" s="173"/>
      <c r="SDE54" s="173"/>
      <c r="SDF54" s="172"/>
      <c r="SDG54" s="173"/>
      <c r="SDH54" s="173"/>
      <c r="SDI54" s="172"/>
      <c r="SDJ54" s="173"/>
      <c r="SDK54" s="173"/>
      <c r="SDL54" s="172"/>
      <c r="SDM54" s="173"/>
      <c r="SDN54" s="173"/>
      <c r="SDO54" s="172"/>
      <c r="SDP54" s="173"/>
      <c r="SDQ54" s="173"/>
      <c r="SDR54" s="172"/>
      <c r="SDS54" s="173"/>
      <c r="SDT54" s="173"/>
      <c r="SDU54" s="172"/>
      <c r="SDV54" s="173"/>
      <c r="SDW54" s="173"/>
      <c r="SDX54" s="172"/>
      <c r="SDY54" s="173"/>
      <c r="SDZ54" s="173"/>
      <c r="SEA54" s="172"/>
      <c r="SEB54" s="173"/>
      <c r="SEC54" s="173"/>
      <c r="SED54" s="172"/>
      <c r="SEE54" s="173"/>
      <c r="SEF54" s="173"/>
      <c r="SEG54" s="172"/>
      <c r="SEH54" s="173"/>
      <c r="SEI54" s="173"/>
      <c r="SEJ54" s="172"/>
      <c r="SEK54" s="173"/>
      <c r="SEL54" s="173"/>
      <c r="SEM54" s="172"/>
      <c r="SEN54" s="173"/>
      <c r="SEO54" s="173"/>
      <c r="SEP54" s="172"/>
      <c r="SEQ54" s="173"/>
      <c r="SER54" s="173"/>
      <c r="SES54" s="172"/>
      <c r="SET54" s="173"/>
      <c r="SEU54" s="173"/>
      <c r="SEV54" s="172"/>
      <c r="SEW54" s="173"/>
      <c r="SEX54" s="173"/>
      <c r="SEY54" s="172"/>
      <c r="SEZ54" s="173"/>
      <c r="SFA54" s="173"/>
      <c r="SFB54" s="172"/>
      <c r="SFC54" s="173"/>
      <c r="SFD54" s="173"/>
      <c r="SFE54" s="172"/>
      <c r="SFF54" s="173"/>
      <c r="SFG54" s="173"/>
      <c r="SFH54" s="172"/>
      <c r="SFI54" s="173"/>
      <c r="SFJ54" s="173"/>
      <c r="SFK54" s="172"/>
      <c r="SFL54" s="173"/>
      <c r="SFM54" s="173"/>
      <c r="SFN54" s="172"/>
      <c r="SFO54" s="173"/>
      <c r="SFP54" s="173"/>
      <c r="SFQ54" s="172"/>
      <c r="SFR54" s="173"/>
      <c r="SFS54" s="173"/>
      <c r="SFT54" s="172"/>
      <c r="SFU54" s="173"/>
      <c r="SFV54" s="173"/>
      <c r="SFW54" s="172"/>
      <c r="SFX54" s="173"/>
      <c r="SFY54" s="173"/>
      <c r="SFZ54" s="172"/>
      <c r="SGA54" s="173"/>
      <c r="SGB54" s="173"/>
      <c r="SGC54" s="172"/>
      <c r="SGD54" s="173"/>
      <c r="SGE54" s="173"/>
      <c r="SGF54" s="172"/>
      <c r="SGG54" s="173"/>
      <c r="SGH54" s="173"/>
      <c r="SGI54" s="172"/>
      <c r="SGJ54" s="173"/>
      <c r="SGK54" s="173"/>
      <c r="SGL54" s="172"/>
      <c r="SGM54" s="173"/>
      <c r="SGN54" s="173"/>
      <c r="SGO54" s="172"/>
      <c r="SGP54" s="173"/>
      <c r="SGQ54" s="173"/>
      <c r="SGR54" s="172"/>
      <c r="SGS54" s="173"/>
      <c r="SGT54" s="173"/>
      <c r="SGU54" s="172"/>
      <c r="SGV54" s="173"/>
      <c r="SGW54" s="173"/>
      <c r="SGX54" s="172"/>
      <c r="SGY54" s="173"/>
      <c r="SGZ54" s="173"/>
      <c r="SHA54" s="172"/>
      <c r="SHB54" s="173"/>
      <c r="SHC54" s="173"/>
      <c r="SHD54" s="172"/>
      <c r="SHE54" s="173"/>
      <c r="SHF54" s="173"/>
      <c r="SHG54" s="172"/>
      <c r="SHH54" s="173"/>
      <c r="SHI54" s="173"/>
      <c r="SHJ54" s="172"/>
      <c r="SHK54" s="173"/>
      <c r="SHL54" s="173"/>
      <c r="SHM54" s="172"/>
      <c r="SHN54" s="173"/>
      <c r="SHO54" s="173"/>
      <c r="SHP54" s="172"/>
      <c r="SHQ54" s="173"/>
      <c r="SHR54" s="173"/>
      <c r="SHS54" s="172"/>
      <c r="SHT54" s="173"/>
      <c r="SHU54" s="173"/>
      <c r="SHV54" s="172"/>
      <c r="SHW54" s="173"/>
      <c r="SHX54" s="173"/>
      <c r="SHY54" s="172"/>
      <c r="SHZ54" s="173"/>
      <c r="SIA54" s="173"/>
      <c r="SIB54" s="172"/>
      <c r="SIC54" s="173"/>
      <c r="SID54" s="173"/>
      <c r="SIE54" s="172"/>
      <c r="SIF54" s="173"/>
      <c r="SIG54" s="173"/>
      <c r="SIH54" s="172"/>
      <c r="SII54" s="173"/>
      <c r="SIJ54" s="173"/>
      <c r="SIK54" s="172"/>
      <c r="SIL54" s="173"/>
      <c r="SIM54" s="173"/>
      <c r="SIN54" s="172"/>
      <c r="SIO54" s="173"/>
      <c r="SIP54" s="173"/>
      <c r="SIQ54" s="172"/>
      <c r="SIR54" s="173"/>
      <c r="SIS54" s="173"/>
      <c r="SIT54" s="172"/>
      <c r="SIU54" s="173"/>
      <c r="SIV54" s="173"/>
      <c r="SIW54" s="172"/>
      <c r="SIX54" s="173"/>
      <c r="SIY54" s="173"/>
      <c r="SIZ54" s="172"/>
      <c r="SJA54" s="173"/>
      <c r="SJB54" s="173"/>
      <c r="SJC54" s="172"/>
      <c r="SJD54" s="173"/>
      <c r="SJE54" s="173"/>
      <c r="SJF54" s="172"/>
      <c r="SJG54" s="173"/>
      <c r="SJH54" s="173"/>
      <c r="SJI54" s="172"/>
      <c r="SJJ54" s="173"/>
      <c r="SJK54" s="173"/>
      <c r="SJL54" s="172"/>
      <c r="SJM54" s="173"/>
      <c r="SJN54" s="173"/>
      <c r="SJO54" s="172"/>
      <c r="SJP54" s="173"/>
      <c r="SJQ54" s="173"/>
      <c r="SJR54" s="172"/>
      <c r="SJS54" s="173"/>
      <c r="SJT54" s="173"/>
      <c r="SJU54" s="172"/>
      <c r="SJV54" s="173"/>
      <c r="SJW54" s="173"/>
      <c r="SJX54" s="172"/>
      <c r="SJY54" s="173"/>
      <c r="SJZ54" s="173"/>
      <c r="SKA54" s="172"/>
      <c r="SKB54" s="173"/>
      <c r="SKC54" s="173"/>
      <c r="SKD54" s="172"/>
      <c r="SKE54" s="173"/>
      <c r="SKF54" s="173"/>
      <c r="SKG54" s="172"/>
      <c r="SKH54" s="173"/>
      <c r="SKI54" s="173"/>
      <c r="SKJ54" s="172"/>
      <c r="SKK54" s="173"/>
      <c r="SKL54" s="173"/>
      <c r="SKM54" s="172"/>
      <c r="SKN54" s="173"/>
      <c r="SKO54" s="173"/>
      <c r="SKP54" s="172"/>
      <c r="SKQ54" s="173"/>
      <c r="SKR54" s="173"/>
      <c r="SKS54" s="172"/>
      <c r="SKT54" s="173"/>
      <c r="SKU54" s="173"/>
      <c r="SKV54" s="172"/>
      <c r="SKW54" s="173"/>
      <c r="SKX54" s="173"/>
      <c r="SKY54" s="172"/>
      <c r="SKZ54" s="173"/>
      <c r="SLA54" s="173"/>
      <c r="SLB54" s="172"/>
      <c r="SLC54" s="173"/>
      <c r="SLD54" s="173"/>
      <c r="SLE54" s="172"/>
      <c r="SLF54" s="173"/>
      <c r="SLG54" s="173"/>
      <c r="SLH54" s="172"/>
      <c r="SLI54" s="173"/>
      <c r="SLJ54" s="173"/>
      <c r="SLK54" s="172"/>
      <c r="SLL54" s="173"/>
      <c r="SLM54" s="173"/>
      <c r="SLN54" s="172"/>
      <c r="SLO54" s="173"/>
      <c r="SLP54" s="173"/>
      <c r="SLQ54" s="172"/>
      <c r="SLR54" s="173"/>
      <c r="SLS54" s="173"/>
      <c r="SLT54" s="172"/>
      <c r="SLU54" s="173"/>
      <c r="SLV54" s="173"/>
      <c r="SLW54" s="172"/>
      <c r="SLX54" s="173"/>
      <c r="SLY54" s="173"/>
      <c r="SLZ54" s="172"/>
      <c r="SMA54" s="173"/>
      <c r="SMB54" s="173"/>
      <c r="SMC54" s="172"/>
      <c r="SMD54" s="173"/>
      <c r="SME54" s="173"/>
      <c r="SMF54" s="172"/>
      <c r="SMG54" s="173"/>
      <c r="SMH54" s="173"/>
      <c r="SMI54" s="172"/>
      <c r="SMJ54" s="173"/>
      <c r="SMK54" s="173"/>
      <c r="SML54" s="172"/>
      <c r="SMM54" s="173"/>
      <c r="SMN54" s="173"/>
      <c r="SMO54" s="172"/>
      <c r="SMP54" s="173"/>
      <c r="SMQ54" s="173"/>
      <c r="SMR54" s="172"/>
      <c r="SMS54" s="173"/>
      <c r="SMT54" s="173"/>
      <c r="SMU54" s="172"/>
      <c r="SMV54" s="173"/>
      <c r="SMW54" s="173"/>
      <c r="SMX54" s="172"/>
      <c r="SMY54" s="173"/>
      <c r="SMZ54" s="173"/>
      <c r="SNA54" s="172"/>
      <c r="SNB54" s="173"/>
      <c r="SNC54" s="173"/>
      <c r="SND54" s="172"/>
      <c r="SNE54" s="173"/>
      <c r="SNF54" s="173"/>
      <c r="SNG54" s="172"/>
      <c r="SNH54" s="173"/>
      <c r="SNI54" s="173"/>
      <c r="SNJ54" s="172"/>
      <c r="SNK54" s="173"/>
      <c r="SNL54" s="173"/>
      <c r="SNM54" s="172"/>
      <c r="SNN54" s="173"/>
      <c r="SNO54" s="173"/>
      <c r="SNP54" s="172"/>
      <c r="SNQ54" s="173"/>
      <c r="SNR54" s="173"/>
      <c r="SNS54" s="172"/>
      <c r="SNT54" s="173"/>
      <c r="SNU54" s="173"/>
      <c r="SNV54" s="172"/>
      <c r="SNW54" s="173"/>
      <c r="SNX54" s="173"/>
      <c r="SNY54" s="172"/>
      <c r="SNZ54" s="173"/>
      <c r="SOA54" s="173"/>
      <c r="SOB54" s="172"/>
      <c r="SOC54" s="173"/>
      <c r="SOD54" s="173"/>
      <c r="SOE54" s="172"/>
      <c r="SOF54" s="173"/>
      <c r="SOG54" s="173"/>
      <c r="SOH54" s="172"/>
      <c r="SOI54" s="173"/>
      <c r="SOJ54" s="173"/>
      <c r="SOK54" s="172"/>
      <c r="SOL54" s="173"/>
      <c r="SOM54" s="173"/>
      <c r="SON54" s="172"/>
      <c r="SOO54" s="173"/>
      <c r="SOP54" s="173"/>
      <c r="SOQ54" s="172"/>
      <c r="SOR54" s="173"/>
      <c r="SOS54" s="173"/>
      <c r="SOT54" s="172"/>
      <c r="SOU54" s="173"/>
      <c r="SOV54" s="173"/>
      <c r="SOW54" s="172"/>
      <c r="SOX54" s="173"/>
      <c r="SOY54" s="173"/>
      <c r="SOZ54" s="172"/>
      <c r="SPA54" s="173"/>
      <c r="SPB54" s="173"/>
      <c r="SPC54" s="172"/>
      <c r="SPD54" s="173"/>
      <c r="SPE54" s="173"/>
      <c r="SPF54" s="172"/>
      <c r="SPG54" s="173"/>
      <c r="SPH54" s="173"/>
      <c r="SPI54" s="172"/>
      <c r="SPJ54" s="173"/>
      <c r="SPK54" s="173"/>
      <c r="SPL54" s="172"/>
      <c r="SPM54" s="173"/>
      <c r="SPN54" s="173"/>
      <c r="SPO54" s="172"/>
      <c r="SPP54" s="173"/>
      <c r="SPQ54" s="173"/>
      <c r="SPR54" s="172"/>
      <c r="SPS54" s="173"/>
      <c r="SPT54" s="173"/>
      <c r="SPU54" s="172"/>
      <c r="SPV54" s="173"/>
      <c r="SPW54" s="173"/>
      <c r="SPX54" s="172"/>
      <c r="SPY54" s="173"/>
      <c r="SPZ54" s="173"/>
      <c r="SQA54" s="172"/>
      <c r="SQB54" s="173"/>
      <c r="SQC54" s="173"/>
      <c r="SQD54" s="172"/>
      <c r="SQE54" s="173"/>
      <c r="SQF54" s="173"/>
      <c r="SQG54" s="172"/>
      <c r="SQH54" s="173"/>
      <c r="SQI54" s="173"/>
      <c r="SQJ54" s="172"/>
      <c r="SQK54" s="173"/>
      <c r="SQL54" s="173"/>
      <c r="SQM54" s="172"/>
      <c r="SQN54" s="173"/>
      <c r="SQO54" s="173"/>
      <c r="SQP54" s="172"/>
      <c r="SQQ54" s="173"/>
      <c r="SQR54" s="173"/>
      <c r="SQS54" s="172"/>
      <c r="SQT54" s="173"/>
      <c r="SQU54" s="173"/>
      <c r="SQV54" s="172"/>
      <c r="SQW54" s="173"/>
      <c r="SQX54" s="173"/>
      <c r="SQY54" s="172"/>
      <c r="SQZ54" s="173"/>
      <c r="SRA54" s="173"/>
      <c r="SRB54" s="172"/>
      <c r="SRC54" s="173"/>
      <c r="SRD54" s="173"/>
      <c r="SRE54" s="172"/>
      <c r="SRF54" s="173"/>
      <c r="SRG54" s="173"/>
      <c r="SRH54" s="172"/>
      <c r="SRI54" s="173"/>
      <c r="SRJ54" s="173"/>
      <c r="SRK54" s="172"/>
      <c r="SRL54" s="173"/>
      <c r="SRM54" s="173"/>
      <c r="SRN54" s="172"/>
      <c r="SRO54" s="173"/>
      <c r="SRP54" s="173"/>
      <c r="SRQ54" s="172"/>
      <c r="SRR54" s="173"/>
      <c r="SRS54" s="173"/>
      <c r="SRT54" s="172"/>
      <c r="SRU54" s="173"/>
      <c r="SRV54" s="173"/>
      <c r="SRW54" s="172"/>
      <c r="SRX54" s="173"/>
      <c r="SRY54" s="173"/>
      <c r="SRZ54" s="172"/>
      <c r="SSA54" s="173"/>
      <c r="SSB54" s="173"/>
      <c r="SSC54" s="172"/>
      <c r="SSD54" s="173"/>
      <c r="SSE54" s="173"/>
      <c r="SSF54" s="172"/>
      <c r="SSG54" s="173"/>
      <c r="SSH54" s="173"/>
      <c r="SSI54" s="172"/>
      <c r="SSJ54" s="173"/>
      <c r="SSK54" s="173"/>
      <c r="SSL54" s="172"/>
      <c r="SSM54" s="173"/>
      <c r="SSN54" s="173"/>
      <c r="SSO54" s="172"/>
      <c r="SSP54" s="173"/>
      <c r="SSQ54" s="173"/>
      <c r="SSR54" s="172"/>
      <c r="SSS54" s="173"/>
      <c r="SST54" s="173"/>
      <c r="SSU54" s="172"/>
      <c r="SSV54" s="173"/>
      <c r="SSW54" s="173"/>
      <c r="SSX54" s="172"/>
      <c r="SSY54" s="173"/>
      <c r="SSZ54" s="173"/>
      <c r="STA54" s="172"/>
      <c r="STB54" s="173"/>
      <c r="STC54" s="173"/>
      <c r="STD54" s="172"/>
      <c r="STE54" s="173"/>
      <c r="STF54" s="173"/>
      <c r="STG54" s="172"/>
      <c r="STH54" s="173"/>
      <c r="STI54" s="173"/>
      <c r="STJ54" s="172"/>
      <c r="STK54" s="173"/>
      <c r="STL54" s="173"/>
      <c r="STM54" s="172"/>
      <c r="STN54" s="173"/>
      <c r="STO54" s="173"/>
      <c r="STP54" s="172"/>
      <c r="STQ54" s="173"/>
      <c r="STR54" s="173"/>
      <c r="STS54" s="172"/>
      <c r="STT54" s="173"/>
      <c r="STU54" s="173"/>
      <c r="STV54" s="172"/>
      <c r="STW54" s="173"/>
      <c r="STX54" s="173"/>
      <c r="STY54" s="172"/>
      <c r="STZ54" s="173"/>
      <c r="SUA54" s="173"/>
      <c r="SUB54" s="172"/>
      <c r="SUC54" s="173"/>
      <c r="SUD54" s="173"/>
      <c r="SUE54" s="172"/>
      <c r="SUF54" s="173"/>
      <c r="SUG54" s="173"/>
      <c r="SUH54" s="172"/>
      <c r="SUI54" s="173"/>
      <c r="SUJ54" s="173"/>
      <c r="SUK54" s="172"/>
      <c r="SUL54" s="173"/>
      <c r="SUM54" s="173"/>
      <c r="SUN54" s="172"/>
      <c r="SUO54" s="173"/>
      <c r="SUP54" s="173"/>
      <c r="SUQ54" s="172"/>
      <c r="SUR54" s="173"/>
      <c r="SUS54" s="173"/>
      <c r="SUT54" s="172"/>
      <c r="SUU54" s="173"/>
      <c r="SUV54" s="173"/>
      <c r="SUW54" s="172"/>
      <c r="SUX54" s="173"/>
      <c r="SUY54" s="173"/>
      <c r="SUZ54" s="172"/>
      <c r="SVA54" s="173"/>
      <c r="SVB54" s="173"/>
      <c r="SVC54" s="172"/>
      <c r="SVD54" s="173"/>
      <c r="SVE54" s="173"/>
      <c r="SVF54" s="172"/>
      <c r="SVG54" s="173"/>
      <c r="SVH54" s="173"/>
      <c r="SVI54" s="172"/>
      <c r="SVJ54" s="173"/>
      <c r="SVK54" s="173"/>
      <c r="SVL54" s="172"/>
      <c r="SVM54" s="173"/>
      <c r="SVN54" s="173"/>
      <c r="SVO54" s="172"/>
      <c r="SVP54" s="173"/>
      <c r="SVQ54" s="173"/>
      <c r="SVR54" s="172"/>
      <c r="SVS54" s="173"/>
      <c r="SVT54" s="173"/>
      <c r="SVU54" s="172"/>
      <c r="SVV54" s="173"/>
      <c r="SVW54" s="173"/>
      <c r="SVX54" s="172"/>
      <c r="SVY54" s="173"/>
      <c r="SVZ54" s="173"/>
      <c r="SWA54" s="172"/>
      <c r="SWB54" s="173"/>
      <c r="SWC54" s="173"/>
      <c r="SWD54" s="172"/>
      <c r="SWE54" s="173"/>
      <c r="SWF54" s="173"/>
      <c r="SWG54" s="172"/>
      <c r="SWH54" s="173"/>
      <c r="SWI54" s="173"/>
      <c r="SWJ54" s="172"/>
      <c r="SWK54" s="173"/>
      <c r="SWL54" s="173"/>
      <c r="SWM54" s="172"/>
      <c r="SWN54" s="173"/>
      <c r="SWO54" s="173"/>
      <c r="SWP54" s="172"/>
      <c r="SWQ54" s="173"/>
      <c r="SWR54" s="173"/>
      <c r="SWS54" s="172"/>
      <c r="SWT54" s="173"/>
      <c r="SWU54" s="173"/>
      <c r="SWV54" s="172"/>
      <c r="SWW54" s="173"/>
      <c r="SWX54" s="173"/>
      <c r="SWY54" s="172"/>
      <c r="SWZ54" s="173"/>
      <c r="SXA54" s="173"/>
      <c r="SXB54" s="172"/>
      <c r="SXC54" s="173"/>
      <c r="SXD54" s="173"/>
      <c r="SXE54" s="172"/>
      <c r="SXF54" s="173"/>
      <c r="SXG54" s="173"/>
      <c r="SXH54" s="172"/>
      <c r="SXI54" s="173"/>
      <c r="SXJ54" s="173"/>
      <c r="SXK54" s="172"/>
      <c r="SXL54" s="173"/>
      <c r="SXM54" s="173"/>
      <c r="SXN54" s="172"/>
      <c r="SXO54" s="173"/>
      <c r="SXP54" s="173"/>
      <c r="SXQ54" s="172"/>
      <c r="SXR54" s="173"/>
      <c r="SXS54" s="173"/>
      <c r="SXT54" s="172"/>
      <c r="SXU54" s="173"/>
      <c r="SXV54" s="173"/>
      <c r="SXW54" s="172"/>
      <c r="SXX54" s="173"/>
      <c r="SXY54" s="173"/>
      <c r="SXZ54" s="172"/>
      <c r="SYA54" s="173"/>
      <c r="SYB54" s="173"/>
      <c r="SYC54" s="172"/>
      <c r="SYD54" s="173"/>
      <c r="SYE54" s="173"/>
      <c r="SYF54" s="172"/>
      <c r="SYG54" s="173"/>
      <c r="SYH54" s="173"/>
      <c r="SYI54" s="172"/>
      <c r="SYJ54" s="173"/>
      <c r="SYK54" s="173"/>
      <c r="SYL54" s="172"/>
      <c r="SYM54" s="173"/>
      <c r="SYN54" s="173"/>
      <c r="SYO54" s="172"/>
      <c r="SYP54" s="173"/>
      <c r="SYQ54" s="173"/>
      <c r="SYR54" s="172"/>
      <c r="SYS54" s="173"/>
      <c r="SYT54" s="173"/>
      <c r="SYU54" s="172"/>
      <c r="SYV54" s="173"/>
      <c r="SYW54" s="173"/>
      <c r="SYX54" s="172"/>
      <c r="SYY54" s="173"/>
      <c r="SYZ54" s="173"/>
      <c r="SZA54" s="172"/>
      <c r="SZB54" s="173"/>
      <c r="SZC54" s="173"/>
      <c r="SZD54" s="172"/>
      <c r="SZE54" s="173"/>
      <c r="SZF54" s="173"/>
      <c r="SZG54" s="172"/>
      <c r="SZH54" s="173"/>
      <c r="SZI54" s="173"/>
      <c r="SZJ54" s="172"/>
      <c r="SZK54" s="173"/>
      <c r="SZL54" s="173"/>
      <c r="SZM54" s="172"/>
      <c r="SZN54" s="173"/>
      <c r="SZO54" s="173"/>
      <c r="SZP54" s="172"/>
      <c r="SZQ54" s="173"/>
      <c r="SZR54" s="173"/>
      <c r="SZS54" s="172"/>
      <c r="SZT54" s="173"/>
      <c r="SZU54" s="173"/>
      <c r="SZV54" s="172"/>
      <c r="SZW54" s="173"/>
      <c r="SZX54" s="173"/>
      <c r="SZY54" s="172"/>
      <c r="SZZ54" s="173"/>
      <c r="TAA54" s="173"/>
      <c r="TAB54" s="172"/>
      <c r="TAC54" s="173"/>
      <c r="TAD54" s="173"/>
      <c r="TAE54" s="172"/>
      <c r="TAF54" s="173"/>
      <c r="TAG54" s="173"/>
      <c r="TAH54" s="172"/>
      <c r="TAI54" s="173"/>
      <c r="TAJ54" s="173"/>
      <c r="TAK54" s="172"/>
      <c r="TAL54" s="173"/>
      <c r="TAM54" s="173"/>
      <c r="TAN54" s="172"/>
      <c r="TAO54" s="173"/>
      <c r="TAP54" s="173"/>
      <c r="TAQ54" s="172"/>
      <c r="TAR54" s="173"/>
      <c r="TAS54" s="173"/>
      <c r="TAT54" s="172"/>
      <c r="TAU54" s="173"/>
      <c r="TAV54" s="173"/>
      <c r="TAW54" s="172"/>
      <c r="TAX54" s="173"/>
      <c r="TAY54" s="173"/>
      <c r="TAZ54" s="172"/>
      <c r="TBA54" s="173"/>
      <c r="TBB54" s="173"/>
      <c r="TBC54" s="172"/>
      <c r="TBD54" s="173"/>
      <c r="TBE54" s="173"/>
      <c r="TBF54" s="172"/>
      <c r="TBG54" s="173"/>
      <c r="TBH54" s="173"/>
      <c r="TBI54" s="172"/>
      <c r="TBJ54" s="173"/>
      <c r="TBK54" s="173"/>
      <c r="TBL54" s="172"/>
      <c r="TBM54" s="173"/>
      <c r="TBN54" s="173"/>
      <c r="TBO54" s="172"/>
      <c r="TBP54" s="173"/>
      <c r="TBQ54" s="173"/>
      <c r="TBR54" s="172"/>
      <c r="TBS54" s="173"/>
      <c r="TBT54" s="173"/>
      <c r="TBU54" s="172"/>
      <c r="TBV54" s="173"/>
      <c r="TBW54" s="173"/>
      <c r="TBX54" s="172"/>
      <c r="TBY54" s="173"/>
      <c r="TBZ54" s="173"/>
      <c r="TCA54" s="172"/>
      <c r="TCB54" s="173"/>
      <c r="TCC54" s="173"/>
      <c r="TCD54" s="172"/>
      <c r="TCE54" s="173"/>
      <c r="TCF54" s="173"/>
      <c r="TCG54" s="172"/>
      <c r="TCH54" s="173"/>
      <c r="TCI54" s="173"/>
      <c r="TCJ54" s="172"/>
      <c r="TCK54" s="173"/>
      <c r="TCL54" s="173"/>
      <c r="TCM54" s="172"/>
      <c r="TCN54" s="173"/>
      <c r="TCO54" s="173"/>
      <c r="TCP54" s="172"/>
      <c r="TCQ54" s="173"/>
      <c r="TCR54" s="173"/>
      <c r="TCS54" s="172"/>
      <c r="TCT54" s="173"/>
      <c r="TCU54" s="173"/>
      <c r="TCV54" s="172"/>
      <c r="TCW54" s="173"/>
      <c r="TCX54" s="173"/>
      <c r="TCY54" s="172"/>
      <c r="TCZ54" s="173"/>
      <c r="TDA54" s="173"/>
      <c r="TDB54" s="172"/>
      <c r="TDC54" s="173"/>
      <c r="TDD54" s="173"/>
      <c r="TDE54" s="172"/>
      <c r="TDF54" s="173"/>
      <c r="TDG54" s="173"/>
      <c r="TDH54" s="172"/>
      <c r="TDI54" s="173"/>
      <c r="TDJ54" s="173"/>
      <c r="TDK54" s="172"/>
      <c r="TDL54" s="173"/>
      <c r="TDM54" s="173"/>
      <c r="TDN54" s="172"/>
      <c r="TDO54" s="173"/>
      <c r="TDP54" s="173"/>
      <c r="TDQ54" s="172"/>
      <c r="TDR54" s="173"/>
      <c r="TDS54" s="173"/>
      <c r="TDT54" s="172"/>
      <c r="TDU54" s="173"/>
      <c r="TDV54" s="173"/>
      <c r="TDW54" s="172"/>
      <c r="TDX54" s="173"/>
      <c r="TDY54" s="173"/>
      <c r="TDZ54" s="172"/>
      <c r="TEA54" s="173"/>
      <c r="TEB54" s="173"/>
      <c r="TEC54" s="172"/>
      <c r="TED54" s="173"/>
      <c r="TEE54" s="173"/>
      <c r="TEF54" s="172"/>
      <c r="TEG54" s="173"/>
      <c r="TEH54" s="173"/>
      <c r="TEI54" s="172"/>
      <c r="TEJ54" s="173"/>
      <c r="TEK54" s="173"/>
      <c r="TEL54" s="172"/>
      <c r="TEM54" s="173"/>
      <c r="TEN54" s="173"/>
      <c r="TEO54" s="172"/>
      <c r="TEP54" s="173"/>
      <c r="TEQ54" s="173"/>
      <c r="TER54" s="172"/>
      <c r="TES54" s="173"/>
      <c r="TET54" s="173"/>
      <c r="TEU54" s="172"/>
      <c r="TEV54" s="173"/>
      <c r="TEW54" s="173"/>
      <c r="TEX54" s="172"/>
      <c r="TEY54" s="173"/>
      <c r="TEZ54" s="173"/>
      <c r="TFA54" s="172"/>
      <c r="TFB54" s="173"/>
      <c r="TFC54" s="173"/>
      <c r="TFD54" s="172"/>
      <c r="TFE54" s="173"/>
      <c r="TFF54" s="173"/>
      <c r="TFG54" s="172"/>
      <c r="TFH54" s="173"/>
      <c r="TFI54" s="173"/>
      <c r="TFJ54" s="172"/>
      <c r="TFK54" s="173"/>
      <c r="TFL54" s="173"/>
      <c r="TFM54" s="172"/>
      <c r="TFN54" s="173"/>
      <c r="TFO54" s="173"/>
      <c r="TFP54" s="172"/>
      <c r="TFQ54" s="173"/>
      <c r="TFR54" s="173"/>
      <c r="TFS54" s="172"/>
      <c r="TFT54" s="173"/>
      <c r="TFU54" s="173"/>
      <c r="TFV54" s="172"/>
      <c r="TFW54" s="173"/>
      <c r="TFX54" s="173"/>
      <c r="TFY54" s="172"/>
      <c r="TFZ54" s="173"/>
      <c r="TGA54" s="173"/>
      <c r="TGB54" s="172"/>
      <c r="TGC54" s="173"/>
      <c r="TGD54" s="173"/>
      <c r="TGE54" s="172"/>
      <c r="TGF54" s="173"/>
      <c r="TGG54" s="173"/>
      <c r="TGH54" s="172"/>
      <c r="TGI54" s="173"/>
      <c r="TGJ54" s="173"/>
      <c r="TGK54" s="172"/>
      <c r="TGL54" s="173"/>
      <c r="TGM54" s="173"/>
      <c r="TGN54" s="172"/>
      <c r="TGO54" s="173"/>
      <c r="TGP54" s="173"/>
      <c r="TGQ54" s="172"/>
      <c r="TGR54" s="173"/>
      <c r="TGS54" s="173"/>
      <c r="TGT54" s="172"/>
      <c r="TGU54" s="173"/>
      <c r="TGV54" s="173"/>
      <c r="TGW54" s="172"/>
      <c r="TGX54" s="173"/>
      <c r="TGY54" s="173"/>
      <c r="TGZ54" s="172"/>
      <c r="THA54" s="173"/>
      <c r="THB54" s="173"/>
      <c r="THC54" s="172"/>
      <c r="THD54" s="173"/>
      <c r="THE54" s="173"/>
      <c r="THF54" s="172"/>
      <c r="THG54" s="173"/>
      <c r="THH54" s="173"/>
      <c r="THI54" s="172"/>
      <c r="THJ54" s="173"/>
      <c r="THK54" s="173"/>
      <c r="THL54" s="172"/>
      <c r="THM54" s="173"/>
      <c r="THN54" s="173"/>
      <c r="THO54" s="172"/>
      <c r="THP54" s="173"/>
      <c r="THQ54" s="173"/>
      <c r="THR54" s="172"/>
      <c r="THS54" s="173"/>
      <c r="THT54" s="173"/>
      <c r="THU54" s="172"/>
      <c r="THV54" s="173"/>
      <c r="THW54" s="173"/>
      <c r="THX54" s="172"/>
      <c r="THY54" s="173"/>
      <c r="THZ54" s="173"/>
      <c r="TIA54" s="172"/>
      <c r="TIB54" s="173"/>
      <c r="TIC54" s="173"/>
      <c r="TID54" s="172"/>
      <c r="TIE54" s="173"/>
      <c r="TIF54" s="173"/>
      <c r="TIG54" s="172"/>
      <c r="TIH54" s="173"/>
      <c r="TII54" s="173"/>
      <c r="TIJ54" s="172"/>
      <c r="TIK54" s="173"/>
      <c r="TIL54" s="173"/>
      <c r="TIM54" s="172"/>
      <c r="TIN54" s="173"/>
      <c r="TIO54" s="173"/>
      <c r="TIP54" s="172"/>
      <c r="TIQ54" s="173"/>
      <c r="TIR54" s="173"/>
      <c r="TIS54" s="172"/>
      <c r="TIT54" s="173"/>
      <c r="TIU54" s="173"/>
      <c r="TIV54" s="172"/>
      <c r="TIW54" s="173"/>
      <c r="TIX54" s="173"/>
      <c r="TIY54" s="172"/>
      <c r="TIZ54" s="173"/>
      <c r="TJA54" s="173"/>
      <c r="TJB54" s="172"/>
      <c r="TJC54" s="173"/>
      <c r="TJD54" s="173"/>
      <c r="TJE54" s="172"/>
      <c r="TJF54" s="173"/>
      <c r="TJG54" s="173"/>
      <c r="TJH54" s="172"/>
      <c r="TJI54" s="173"/>
      <c r="TJJ54" s="173"/>
      <c r="TJK54" s="172"/>
      <c r="TJL54" s="173"/>
      <c r="TJM54" s="173"/>
      <c r="TJN54" s="172"/>
      <c r="TJO54" s="173"/>
      <c r="TJP54" s="173"/>
      <c r="TJQ54" s="172"/>
      <c r="TJR54" s="173"/>
      <c r="TJS54" s="173"/>
      <c r="TJT54" s="172"/>
      <c r="TJU54" s="173"/>
      <c r="TJV54" s="173"/>
      <c r="TJW54" s="172"/>
      <c r="TJX54" s="173"/>
      <c r="TJY54" s="173"/>
      <c r="TJZ54" s="172"/>
      <c r="TKA54" s="173"/>
      <c r="TKB54" s="173"/>
      <c r="TKC54" s="172"/>
      <c r="TKD54" s="173"/>
      <c r="TKE54" s="173"/>
      <c r="TKF54" s="172"/>
      <c r="TKG54" s="173"/>
      <c r="TKH54" s="173"/>
      <c r="TKI54" s="172"/>
      <c r="TKJ54" s="173"/>
      <c r="TKK54" s="173"/>
      <c r="TKL54" s="172"/>
      <c r="TKM54" s="173"/>
      <c r="TKN54" s="173"/>
      <c r="TKO54" s="172"/>
      <c r="TKP54" s="173"/>
      <c r="TKQ54" s="173"/>
      <c r="TKR54" s="172"/>
      <c r="TKS54" s="173"/>
      <c r="TKT54" s="173"/>
      <c r="TKU54" s="172"/>
      <c r="TKV54" s="173"/>
      <c r="TKW54" s="173"/>
      <c r="TKX54" s="172"/>
      <c r="TKY54" s="173"/>
      <c r="TKZ54" s="173"/>
      <c r="TLA54" s="172"/>
      <c r="TLB54" s="173"/>
      <c r="TLC54" s="173"/>
      <c r="TLD54" s="172"/>
      <c r="TLE54" s="173"/>
      <c r="TLF54" s="173"/>
      <c r="TLG54" s="172"/>
      <c r="TLH54" s="173"/>
      <c r="TLI54" s="173"/>
      <c r="TLJ54" s="172"/>
      <c r="TLK54" s="173"/>
      <c r="TLL54" s="173"/>
      <c r="TLM54" s="172"/>
      <c r="TLN54" s="173"/>
      <c r="TLO54" s="173"/>
      <c r="TLP54" s="172"/>
      <c r="TLQ54" s="173"/>
      <c r="TLR54" s="173"/>
      <c r="TLS54" s="172"/>
      <c r="TLT54" s="173"/>
      <c r="TLU54" s="173"/>
      <c r="TLV54" s="172"/>
      <c r="TLW54" s="173"/>
      <c r="TLX54" s="173"/>
      <c r="TLY54" s="172"/>
      <c r="TLZ54" s="173"/>
      <c r="TMA54" s="173"/>
      <c r="TMB54" s="172"/>
      <c r="TMC54" s="173"/>
      <c r="TMD54" s="173"/>
      <c r="TME54" s="172"/>
      <c r="TMF54" s="173"/>
      <c r="TMG54" s="173"/>
      <c r="TMH54" s="172"/>
      <c r="TMI54" s="173"/>
      <c r="TMJ54" s="173"/>
      <c r="TMK54" s="172"/>
      <c r="TML54" s="173"/>
      <c r="TMM54" s="173"/>
      <c r="TMN54" s="172"/>
      <c r="TMO54" s="173"/>
      <c r="TMP54" s="173"/>
      <c r="TMQ54" s="172"/>
      <c r="TMR54" s="173"/>
      <c r="TMS54" s="173"/>
      <c r="TMT54" s="172"/>
      <c r="TMU54" s="173"/>
      <c r="TMV54" s="173"/>
      <c r="TMW54" s="172"/>
      <c r="TMX54" s="173"/>
      <c r="TMY54" s="173"/>
      <c r="TMZ54" s="172"/>
      <c r="TNA54" s="173"/>
      <c r="TNB54" s="173"/>
      <c r="TNC54" s="172"/>
      <c r="TND54" s="173"/>
      <c r="TNE54" s="173"/>
      <c r="TNF54" s="172"/>
      <c r="TNG54" s="173"/>
      <c r="TNH54" s="173"/>
      <c r="TNI54" s="172"/>
      <c r="TNJ54" s="173"/>
      <c r="TNK54" s="173"/>
      <c r="TNL54" s="172"/>
      <c r="TNM54" s="173"/>
      <c r="TNN54" s="173"/>
      <c r="TNO54" s="172"/>
      <c r="TNP54" s="173"/>
      <c r="TNQ54" s="173"/>
      <c r="TNR54" s="172"/>
      <c r="TNS54" s="173"/>
      <c r="TNT54" s="173"/>
      <c r="TNU54" s="172"/>
      <c r="TNV54" s="173"/>
      <c r="TNW54" s="173"/>
      <c r="TNX54" s="172"/>
      <c r="TNY54" s="173"/>
      <c r="TNZ54" s="173"/>
      <c r="TOA54" s="172"/>
      <c r="TOB54" s="173"/>
      <c r="TOC54" s="173"/>
      <c r="TOD54" s="172"/>
      <c r="TOE54" s="173"/>
      <c r="TOF54" s="173"/>
      <c r="TOG54" s="172"/>
      <c r="TOH54" s="173"/>
      <c r="TOI54" s="173"/>
      <c r="TOJ54" s="172"/>
      <c r="TOK54" s="173"/>
      <c r="TOL54" s="173"/>
      <c r="TOM54" s="172"/>
      <c r="TON54" s="173"/>
      <c r="TOO54" s="173"/>
      <c r="TOP54" s="172"/>
      <c r="TOQ54" s="173"/>
      <c r="TOR54" s="173"/>
      <c r="TOS54" s="172"/>
      <c r="TOT54" s="173"/>
      <c r="TOU54" s="173"/>
      <c r="TOV54" s="172"/>
      <c r="TOW54" s="173"/>
      <c r="TOX54" s="173"/>
      <c r="TOY54" s="172"/>
      <c r="TOZ54" s="173"/>
      <c r="TPA54" s="173"/>
      <c r="TPB54" s="172"/>
      <c r="TPC54" s="173"/>
      <c r="TPD54" s="173"/>
      <c r="TPE54" s="172"/>
      <c r="TPF54" s="173"/>
      <c r="TPG54" s="173"/>
      <c r="TPH54" s="172"/>
      <c r="TPI54" s="173"/>
      <c r="TPJ54" s="173"/>
      <c r="TPK54" s="172"/>
      <c r="TPL54" s="173"/>
      <c r="TPM54" s="173"/>
      <c r="TPN54" s="172"/>
      <c r="TPO54" s="173"/>
      <c r="TPP54" s="173"/>
      <c r="TPQ54" s="172"/>
      <c r="TPR54" s="173"/>
      <c r="TPS54" s="173"/>
      <c r="TPT54" s="172"/>
      <c r="TPU54" s="173"/>
      <c r="TPV54" s="173"/>
      <c r="TPW54" s="172"/>
      <c r="TPX54" s="173"/>
      <c r="TPY54" s="173"/>
      <c r="TPZ54" s="172"/>
      <c r="TQA54" s="173"/>
      <c r="TQB54" s="173"/>
      <c r="TQC54" s="172"/>
      <c r="TQD54" s="173"/>
      <c r="TQE54" s="173"/>
      <c r="TQF54" s="172"/>
      <c r="TQG54" s="173"/>
      <c r="TQH54" s="173"/>
      <c r="TQI54" s="172"/>
      <c r="TQJ54" s="173"/>
      <c r="TQK54" s="173"/>
      <c r="TQL54" s="172"/>
      <c r="TQM54" s="173"/>
      <c r="TQN54" s="173"/>
      <c r="TQO54" s="172"/>
      <c r="TQP54" s="173"/>
      <c r="TQQ54" s="173"/>
      <c r="TQR54" s="172"/>
      <c r="TQS54" s="173"/>
      <c r="TQT54" s="173"/>
      <c r="TQU54" s="172"/>
      <c r="TQV54" s="173"/>
      <c r="TQW54" s="173"/>
      <c r="TQX54" s="172"/>
      <c r="TQY54" s="173"/>
      <c r="TQZ54" s="173"/>
      <c r="TRA54" s="172"/>
      <c r="TRB54" s="173"/>
      <c r="TRC54" s="173"/>
      <c r="TRD54" s="172"/>
      <c r="TRE54" s="173"/>
      <c r="TRF54" s="173"/>
      <c r="TRG54" s="172"/>
      <c r="TRH54" s="173"/>
      <c r="TRI54" s="173"/>
      <c r="TRJ54" s="172"/>
      <c r="TRK54" s="173"/>
      <c r="TRL54" s="173"/>
      <c r="TRM54" s="172"/>
      <c r="TRN54" s="173"/>
      <c r="TRO54" s="173"/>
      <c r="TRP54" s="172"/>
      <c r="TRQ54" s="173"/>
      <c r="TRR54" s="173"/>
      <c r="TRS54" s="172"/>
      <c r="TRT54" s="173"/>
      <c r="TRU54" s="173"/>
      <c r="TRV54" s="172"/>
      <c r="TRW54" s="173"/>
      <c r="TRX54" s="173"/>
      <c r="TRY54" s="172"/>
      <c r="TRZ54" s="173"/>
      <c r="TSA54" s="173"/>
      <c r="TSB54" s="172"/>
      <c r="TSC54" s="173"/>
      <c r="TSD54" s="173"/>
      <c r="TSE54" s="172"/>
      <c r="TSF54" s="173"/>
      <c r="TSG54" s="173"/>
      <c r="TSH54" s="172"/>
      <c r="TSI54" s="173"/>
      <c r="TSJ54" s="173"/>
      <c r="TSK54" s="172"/>
      <c r="TSL54" s="173"/>
      <c r="TSM54" s="173"/>
      <c r="TSN54" s="172"/>
      <c r="TSO54" s="173"/>
      <c r="TSP54" s="173"/>
      <c r="TSQ54" s="172"/>
      <c r="TSR54" s="173"/>
      <c r="TSS54" s="173"/>
      <c r="TST54" s="172"/>
      <c r="TSU54" s="173"/>
      <c r="TSV54" s="173"/>
      <c r="TSW54" s="172"/>
      <c r="TSX54" s="173"/>
      <c r="TSY54" s="173"/>
      <c r="TSZ54" s="172"/>
      <c r="TTA54" s="173"/>
      <c r="TTB54" s="173"/>
      <c r="TTC54" s="172"/>
      <c r="TTD54" s="173"/>
      <c r="TTE54" s="173"/>
      <c r="TTF54" s="172"/>
      <c r="TTG54" s="173"/>
      <c r="TTH54" s="173"/>
      <c r="TTI54" s="172"/>
      <c r="TTJ54" s="173"/>
      <c r="TTK54" s="173"/>
      <c r="TTL54" s="172"/>
      <c r="TTM54" s="173"/>
      <c r="TTN54" s="173"/>
      <c r="TTO54" s="172"/>
      <c r="TTP54" s="173"/>
      <c r="TTQ54" s="173"/>
      <c r="TTR54" s="172"/>
      <c r="TTS54" s="173"/>
      <c r="TTT54" s="173"/>
      <c r="TTU54" s="172"/>
      <c r="TTV54" s="173"/>
      <c r="TTW54" s="173"/>
      <c r="TTX54" s="172"/>
      <c r="TTY54" s="173"/>
      <c r="TTZ54" s="173"/>
      <c r="TUA54" s="172"/>
      <c r="TUB54" s="173"/>
      <c r="TUC54" s="173"/>
      <c r="TUD54" s="172"/>
      <c r="TUE54" s="173"/>
      <c r="TUF54" s="173"/>
      <c r="TUG54" s="172"/>
      <c r="TUH54" s="173"/>
      <c r="TUI54" s="173"/>
      <c r="TUJ54" s="172"/>
      <c r="TUK54" s="173"/>
      <c r="TUL54" s="173"/>
      <c r="TUM54" s="172"/>
      <c r="TUN54" s="173"/>
      <c r="TUO54" s="173"/>
      <c r="TUP54" s="172"/>
      <c r="TUQ54" s="173"/>
      <c r="TUR54" s="173"/>
      <c r="TUS54" s="172"/>
      <c r="TUT54" s="173"/>
      <c r="TUU54" s="173"/>
      <c r="TUV54" s="172"/>
      <c r="TUW54" s="173"/>
      <c r="TUX54" s="173"/>
      <c r="TUY54" s="172"/>
      <c r="TUZ54" s="173"/>
      <c r="TVA54" s="173"/>
      <c r="TVB54" s="172"/>
      <c r="TVC54" s="173"/>
      <c r="TVD54" s="173"/>
      <c r="TVE54" s="172"/>
      <c r="TVF54" s="173"/>
      <c r="TVG54" s="173"/>
      <c r="TVH54" s="172"/>
      <c r="TVI54" s="173"/>
      <c r="TVJ54" s="173"/>
      <c r="TVK54" s="172"/>
      <c r="TVL54" s="173"/>
      <c r="TVM54" s="173"/>
      <c r="TVN54" s="172"/>
      <c r="TVO54" s="173"/>
      <c r="TVP54" s="173"/>
      <c r="TVQ54" s="172"/>
      <c r="TVR54" s="173"/>
      <c r="TVS54" s="173"/>
      <c r="TVT54" s="172"/>
      <c r="TVU54" s="173"/>
      <c r="TVV54" s="173"/>
      <c r="TVW54" s="172"/>
      <c r="TVX54" s="173"/>
      <c r="TVY54" s="173"/>
      <c r="TVZ54" s="172"/>
      <c r="TWA54" s="173"/>
      <c r="TWB54" s="173"/>
      <c r="TWC54" s="172"/>
      <c r="TWD54" s="173"/>
      <c r="TWE54" s="173"/>
      <c r="TWF54" s="172"/>
      <c r="TWG54" s="173"/>
      <c r="TWH54" s="173"/>
      <c r="TWI54" s="172"/>
      <c r="TWJ54" s="173"/>
      <c r="TWK54" s="173"/>
      <c r="TWL54" s="172"/>
      <c r="TWM54" s="173"/>
      <c r="TWN54" s="173"/>
      <c r="TWO54" s="172"/>
      <c r="TWP54" s="173"/>
      <c r="TWQ54" s="173"/>
      <c r="TWR54" s="172"/>
      <c r="TWS54" s="173"/>
      <c r="TWT54" s="173"/>
      <c r="TWU54" s="172"/>
      <c r="TWV54" s="173"/>
      <c r="TWW54" s="173"/>
      <c r="TWX54" s="172"/>
      <c r="TWY54" s="173"/>
      <c r="TWZ54" s="173"/>
      <c r="TXA54" s="172"/>
      <c r="TXB54" s="173"/>
      <c r="TXC54" s="173"/>
      <c r="TXD54" s="172"/>
      <c r="TXE54" s="173"/>
      <c r="TXF54" s="173"/>
      <c r="TXG54" s="172"/>
      <c r="TXH54" s="173"/>
      <c r="TXI54" s="173"/>
      <c r="TXJ54" s="172"/>
      <c r="TXK54" s="173"/>
      <c r="TXL54" s="173"/>
      <c r="TXM54" s="172"/>
      <c r="TXN54" s="173"/>
      <c r="TXO54" s="173"/>
      <c r="TXP54" s="172"/>
      <c r="TXQ54" s="173"/>
      <c r="TXR54" s="173"/>
      <c r="TXS54" s="172"/>
      <c r="TXT54" s="173"/>
      <c r="TXU54" s="173"/>
      <c r="TXV54" s="172"/>
      <c r="TXW54" s="173"/>
      <c r="TXX54" s="173"/>
      <c r="TXY54" s="172"/>
      <c r="TXZ54" s="173"/>
      <c r="TYA54" s="173"/>
      <c r="TYB54" s="172"/>
      <c r="TYC54" s="173"/>
      <c r="TYD54" s="173"/>
      <c r="TYE54" s="172"/>
      <c r="TYF54" s="173"/>
      <c r="TYG54" s="173"/>
      <c r="TYH54" s="172"/>
      <c r="TYI54" s="173"/>
      <c r="TYJ54" s="173"/>
      <c r="TYK54" s="172"/>
      <c r="TYL54" s="173"/>
      <c r="TYM54" s="173"/>
      <c r="TYN54" s="172"/>
      <c r="TYO54" s="173"/>
      <c r="TYP54" s="173"/>
      <c r="TYQ54" s="172"/>
      <c r="TYR54" s="173"/>
      <c r="TYS54" s="173"/>
      <c r="TYT54" s="172"/>
      <c r="TYU54" s="173"/>
      <c r="TYV54" s="173"/>
      <c r="TYW54" s="172"/>
      <c r="TYX54" s="173"/>
      <c r="TYY54" s="173"/>
      <c r="TYZ54" s="172"/>
      <c r="TZA54" s="173"/>
      <c r="TZB54" s="173"/>
      <c r="TZC54" s="172"/>
      <c r="TZD54" s="173"/>
      <c r="TZE54" s="173"/>
      <c r="TZF54" s="172"/>
      <c r="TZG54" s="173"/>
      <c r="TZH54" s="173"/>
      <c r="TZI54" s="172"/>
      <c r="TZJ54" s="173"/>
      <c r="TZK54" s="173"/>
      <c r="TZL54" s="172"/>
      <c r="TZM54" s="173"/>
      <c r="TZN54" s="173"/>
      <c r="TZO54" s="172"/>
      <c r="TZP54" s="173"/>
      <c r="TZQ54" s="173"/>
      <c r="TZR54" s="172"/>
      <c r="TZS54" s="173"/>
      <c r="TZT54" s="173"/>
      <c r="TZU54" s="172"/>
      <c r="TZV54" s="173"/>
      <c r="TZW54" s="173"/>
      <c r="TZX54" s="172"/>
      <c r="TZY54" s="173"/>
      <c r="TZZ54" s="173"/>
      <c r="UAA54" s="172"/>
      <c r="UAB54" s="173"/>
      <c r="UAC54" s="173"/>
      <c r="UAD54" s="172"/>
      <c r="UAE54" s="173"/>
      <c r="UAF54" s="173"/>
      <c r="UAG54" s="172"/>
      <c r="UAH54" s="173"/>
      <c r="UAI54" s="173"/>
      <c r="UAJ54" s="172"/>
      <c r="UAK54" s="173"/>
      <c r="UAL54" s="173"/>
      <c r="UAM54" s="172"/>
      <c r="UAN54" s="173"/>
      <c r="UAO54" s="173"/>
      <c r="UAP54" s="172"/>
      <c r="UAQ54" s="173"/>
      <c r="UAR54" s="173"/>
      <c r="UAS54" s="172"/>
      <c r="UAT54" s="173"/>
      <c r="UAU54" s="173"/>
      <c r="UAV54" s="172"/>
      <c r="UAW54" s="173"/>
      <c r="UAX54" s="173"/>
      <c r="UAY54" s="172"/>
      <c r="UAZ54" s="173"/>
      <c r="UBA54" s="173"/>
      <c r="UBB54" s="172"/>
      <c r="UBC54" s="173"/>
      <c r="UBD54" s="173"/>
      <c r="UBE54" s="172"/>
      <c r="UBF54" s="173"/>
      <c r="UBG54" s="173"/>
      <c r="UBH54" s="172"/>
      <c r="UBI54" s="173"/>
      <c r="UBJ54" s="173"/>
      <c r="UBK54" s="172"/>
      <c r="UBL54" s="173"/>
      <c r="UBM54" s="173"/>
      <c r="UBN54" s="172"/>
      <c r="UBO54" s="173"/>
      <c r="UBP54" s="173"/>
      <c r="UBQ54" s="172"/>
      <c r="UBR54" s="173"/>
      <c r="UBS54" s="173"/>
      <c r="UBT54" s="172"/>
      <c r="UBU54" s="173"/>
      <c r="UBV54" s="173"/>
      <c r="UBW54" s="172"/>
      <c r="UBX54" s="173"/>
      <c r="UBY54" s="173"/>
      <c r="UBZ54" s="172"/>
      <c r="UCA54" s="173"/>
      <c r="UCB54" s="173"/>
      <c r="UCC54" s="172"/>
      <c r="UCD54" s="173"/>
      <c r="UCE54" s="173"/>
      <c r="UCF54" s="172"/>
      <c r="UCG54" s="173"/>
      <c r="UCH54" s="173"/>
      <c r="UCI54" s="172"/>
      <c r="UCJ54" s="173"/>
      <c r="UCK54" s="173"/>
      <c r="UCL54" s="172"/>
      <c r="UCM54" s="173"/>
      <c r="UCN54" s="173"/>
      <c r="UCO54" s="172"/>
      <c r="UCP54" s="173"/>
      <c r="UCQ54" s="173"/>
      <c r="UCR54" s="172"/>
      <c r="UCS54" s="173"/>
      <c r="UCT54" s="173"/>
      <c r="UCU54" s="172"/>
      <c r="UCV54" s="173"/>
      <c r="UCW54" s="173"/>
      <c r="UCX54" s="172"/>
      <c r="UCY54" s="173"/>
      <c r="UCZ54" s="173"/>
      <c r="UDA54" s="172"/>
      <c r="UDB54" s="173"/>
      <c r="UDC54" s="173"/>
      <c r="UDD54" s="172"/>
      <c r="UDE54" s="173"/>
      <c r="UDF54" s="173"/>
      <c r="UDG54" s="172"/>
      <c r="UDH54" s="173"/>
      <c r="UDI54" s="173"/>
      <c r="UDJ54" s="172"/>
      <c r="UDK54" s="173"/>
      <c r="UDL54" s="173"/>
      <c r="UDM54" s="172"/>
      <c r="UDN54" s="173"/>
      <c r="UDO54" s="173"/>
      <c r="UDP54" s="172"/>
      <c r="UDQ54" s="173"/>
      <c r="UDR54" s="173"/>
      <c r="UDS54" s="172"/>
      <c r="UDT54" s="173"/>
      <c r="UDU54" s="173"/>
      <c r="UDV54" s="172"/>
      <c r="UDW54" s="173"/>
      <c r="UDX54" s="173"/>
      <c r="UDY54" s="172"/>
      <c r="UDZ54" s="173"/>
      <c r="UEA54" s="173"/>
      <c r="UEB54" s="172"/>
      <c r="UEC54" s="173"/>
      <c r="UED54" s="173"/>
      <c r="UEE54" s="172"/>
      <c r="UEF54" s="173"/>
      <c r="UEG54" s="173"/>
      <c r="UEH54" s="172"/>
      <c r="UEI54" s="173"/>
      <c r="UEJ54" s="173"/>
      <c r="UEK54" s="172"/>
      <c r="UEL54" s="173"/>
      <c r="UEM54" s="173"/>
      <c r="UEN54" s="172"/>
      <c r="UEO54" s="173"/>
      <c r="UEP54" s="173"/>
      <c r="UEQ54" s="172"/>
      <c r="UER54" s="173"/>
      <c r="UES54" s="173"/>
      <c r="UET54" s="172"/>
      <c r="UEU54" s="173"/>
      <c r="UEV54" s="173"/>
      <c r="UEW54" s="172"/>
      <c r="UEX54" s="173"/>
      <c r="UEY54" s="173"/>
      <c r="UEZ54" s="172"/>
      <c r="UFA54" s="173"/>
      <c r="UFB54" s="173"/>
      <c r="UFC54" s="172"/>
      <c r="UFD54" s="173"/>
      <c r="UFE54" s="173"/>
      <c r="UFF54" s="172"/>
      <c r="UFG54" s="173"/>
      <c r="UFH54" s="173"/>
      <c r="UFI54" s="172"/>
      <c r="UFJ54" s="173"/>
      <c r="UFK54" s="173"/>
      <c r="UFL54" s="172"/>
      <c r="UFM54" s="173"/>
      <c r="UFN54" s="173"/>
      <c r="UFO54" s="172"/>
      <c r="UFP54" s="173"/>
      <c r="UFQ54" s="173"/>
      <c r="UFR54" s="172"/>
      <c r="UFS54" s="173"/>
      <c r="UFT54" s="173"/>
      <c r="UFU54" s="172"/>
      <c r="UFV54" s="173"/>
      <c r="UFW54" s="173"/>
      <c r="UFX54" s="172"/>
      <c r="UFY54" s="173"/>
      <c r="UFZ54" s="173"/>
      <c r="UGA54" s="172"/>
      <c r="UGB54" s="173"/>
      <c r="UGC54" s="173"/>
      <c r="UGD54" s="172"/>
      <c r="UGE54" s="173"/>
      <c r="UGF54" s="173"/>
      <c r="UGG54" s="172"/>
      <c r="UGH54" s="173"/>
      <c r="UGI54" s="173"/>
      <c r="UGJ54" s="172"/>
      <c r="UGK54" s="173"/>
      <c r="UGL54" s="173"/>
      <c r="UGM54" s="172"/>
      <c r="UGN54" s="173"/>
      <c r="UGO54" s="173"/>
      <c r="UGP54" s="172"/>
      <c r="UGQ54" s="173"/>
      <c r="UGR54" s="173"/>
      <c r="UGS54" s="172"/>
      <c r="UGT54" s="173"/>
      <c r="UGU54" s="173"/>
      <c r="UGV54" s="172"/>
      <c r="UGW54" s="173"/>
      <c r="UGX54" s="173"/>
      <c r="UGY54" s="172"/>
      <c r="UGZ54" s="173"/>
      <c r="UHA54" s="173"/>
      <c r="UHB54" s="172"/>
      <c r="UHC54" s="173"/>
      <c r="UHD54" s="173"/>
      <c r="UHE54" s="172"/>
      <c r="UHF54" s="173"/>
      <c r="UHG54" s="173"/>
      <c r="UHH54" s="172"/>
      <c r="UHI54" s="173"/>
      <c r="UHJ54" s="173"/>
      <c r="UHK54" s="172"/>
      <c r="UHL54" s="173"/>
      <c r="UHM54" s="173"/>
      <c r="UHN54" s="172"/>
      <c r="UHO54" s="173"/>
      <c r="UHP54" s="173"/>
      <c r="UHQ54" s="172"/>
      <c r="UHR54" s="173"/>
      <c r="UHS54" s="173"/>
      <c r="UHT54" s="172"/>
      <c r="UHU54" s="173"/>
      <c r="UHV54" s="173"/>
      <c r="UHW54" s="172"/>
      <c r="UHX54" s="173"/>
      <c r="UHY54" s="173"/>
      <c r="UHZ54" s="172"/>
      <c r="UIA54" s="173"/>
      <c r="UIB54" s="173"/>
      <c r="UIC54" s="172"/>
      <c r="UID54" s="173"/>
      <c r="UIE54" s="173"/>
      <c r="UIF54" s="172"/>
      <c r="UIG54" s="173"/>
      <c r="UIH54" s="173"/>
      <c r="UII54" s="172"/>
      <c r="UIJ54" s="173"/>
      <c r="UIK54" s="173"/>
      <c r="UIL54" s="172"/>
      <c r="UIM54" s="173"/>
      <c r="UIN54" s="173"/>
      <c r="UIO54" s="172"/>
      <c r="UIP54" s="173"/>
      <c r="UIQ54" s="173"/>
      <c r="UIR54" s="172"/>
      <c r="UIS54" s="173"/>
      <c r="UIT54" s="173"/>
      <c r="UIU54" s="172"/>
      <c r="UIV54" s="173"/>
      <c r="UIW54" s="173"/>
      <c r="UIX54" s="172"/>
      <c r="UIY54" s="173"/>
      <c r="UIZ54" s="173"/>
      <c r="UJA54" s="172"/>
      <c r="UJB54" s="173"/>
      <c r="UJC54" s="173"/>
      <c r="UJD54" s="172"/>
      <c r="UJE54" s="173"/>
      <c r="UJF54" s="173"/>
      <c r="UJG54" s="172"/>
      <c r="UJH54" s="173"/>
      <c r="UJI54" s="173"/>
      <c r="UJJ54" s="172"/>
      <c r="UJK54" s="173"/>
      <c r="UJL54" s="173"/>
      <c r="UJM54" s="172"/>
      <c r="UJN54" s="173"/>
      <c r="UJO54" s="173"/>
      <c r="UJP54" s="172"/>
      <c r="UJQ54" s="173"/>
      <c r="UJR54" s="173"/>
      <c r="UJS54" s="172"/>
      <c r="UJT54" s="173"/>
      <c r="UJU54" s="173"/>
      <c r="UJV54" s="172"/>
      <c r="UJW54" s="173"/>
      <c r="UJX54" s="173"/>
      <c r="UJY54" s="172"/>
      <c r="UJZ54" s="173"/>
      <c r="UKA54" s="173"/>
      <c r="UKB54" s="172"/>
      <c r="UKC54" s="173"/>
      <c r="UKD54" s="173"/>
      <c r="UKE54" s="172"/>
      <c r="UKF54" s="173"/>
      <c r="UKG54" s="173"/>
      <c r="UKH54" s="172"/>
      <c r="UKI54" s="173"/>
      <c r="UKJ54" s="173"/>
      <c r="UKK54" s="172"/>
      <c r="UKL54" s="173"/>
      <c r="UKM54" s="173"/>
      <c r="UKN54" s="172"/>
      <c r="UKO54" s="173"/>
      <c r="UKP54" s="173"/>
      <c r="UKQ54" s="172"/>
      <c r="UKR54" s="173"/>
      <c r="UKS54" s="173"/>
      <c r="UKT54" s="172"/>
      <c r="UKU54" s="173"/>
      <c r="UKV54" s="173"/>
      <c r="UKW54" s="172"/>
      <c r="UKX54" s="173"/>
      <c r="UKY54" s="173"/>
      <c r="UKZ54" s="172"/>
      <c r="ULA54" s="173"/>
      <c r="ULB54" s="173"/>
      <c r="ULC54" s="172"/>
      <c r="ULD54" s="173"/>
      <c r="ULE54" s="173"/>
      <c r="ULF54" s="172"/>
      <c r="ULG54" s="173"/>
      <c r="ULH54" s="173"/>
      <c r="ULI54" s="172"/>
      <c r="ULJ54" s="173"/>
      <c r="ULK54" s="173"/>
      <c r="ULL54" s="172"/>
      <c r="ULM54" s="173"/>
      <c r="ULN54" s="173"/>
      <c r="ULO54" s="172"/>
      <c r="ULP54" s="173"/>
      <c r="ULQ54" s="173"/>
      <c r="ULR54" s="172"/>
      <c r="ULS54" s="173"/>
      <c r="ULT54" s="173"/>
      <c r="ULU54" s="172"/>
      <c r="ULV54" s="173"/>
      <c r="ULW54" s="173"/>
      <c r="ULX54" s="172"/>
      <c r="ULY54" s="173"/>
      <c r="ULZ54" s="173"/>
      <c r="UMA54" s="172"/>
      <c r="UMB54" s="173"/>
      <c r="UMC54" s="173"/>
      <c r="UMD54" s="172"/>
      <c r="UME54" s="173"/>
      <c r="UMF54" s="173"/>
      <c r="UMG54" s="172"/>
      <c r="UMH54" s="173"/>
      <c r="UMI54" s="173"/>
      <c r="UMJ54" s="172"/>
      <c r="UMK54" s="173"/>
      <c r="UML54" s="173"/>
      <c r="UMM54" s="172"/>
      <c r="UMN54" s="173"/>
      <c r="UMO54" s="173"/>
      <c r="UMP54" s="172"/>
      <c r="UMQ54" s="173"/>
      <c r="UMR54" s="173"/>
      <c r="UMS54" s="172"/>
      <c r="UMT54" s="173"/>
      <c r="UMU54" s="173"/>
      <c r="UMV54" s="172"/>
      <c r="UMW54" s="173"/>
      <c r="UMX54" s="173"/>
      <c r="UMY54" s="172"/>
      <c r="UMZ54" s="173"/>
      <c r="UNA54" s="173"/>
      <c r="UNB54" s="172"/>
      <c r="UNC54" s="173"/>
      <c r="UND54" s="173"/>
      <c r="UNE54" s="172"/>
      <c r="UNF54" s="173"/>
      <c r="UNG54" s="173"/>
      <c r="UNH54" s="172"/>
      <c r="UNI54" s="173"/>
      <c r="UNJ54" s="173"/>
      <c r="UNK54" s="172"/>
      <c r="UNL54" s="173"/>
      <c r="UNM54" s="173"/>
      <c r="UNN54" s="172"/>
      <c r="UNO54" s="173"/>
      <c r="UNP54" s="173"/>
      <c r="UNQ54" s="172"/>
      <c r="UNR54" s="173"/>
      <c r="UNS54" s="173"/>
      <c r="UNT54" s="172"/>
      <c r="UNU54" s="173"/>
      <c r="UNV54" s="173"/>
      <c r="UNW54" s="172"/>
      <c r="UNX54" s="173"/>
      <c r="UNY54" s="173"/>
      <c r="UNZ54" s="172"/>
      <c r="UOA54" s="173"/>
      <c r="UOB54" s="173"/>
      <c r="UOC54" s="172"/>
      <c r="UOD54" s="173"/>
      <c r="UOE54" s="173"/>
      <c r="UOF54" s="172"/>
      <c r="UOG54" s="173"/>
      <c r="UOH54" s="173"/>
      <c r="UOI54" s="172"/>
      <c r="UOJ54" s="173"/>
      <c r="UOK54" s="173"/>
      <c r="UOL54" s="172"/>
      <c r="UOM54" s="173"/>
      <c r="UON54" s="173"/>
      <c r="UOO54" s="172"/>
      <c r="UOP54" s="173"/>
      <c r="UOQ54" s="173"/>
      <c r="UOR54" s="172"/>
      <c r="UOS54" s="173"/>
      <c r="UOT54" s="173"/>
      <c r="UOU54" s="172"/>
      <c r="UOV54" s="173"/>
      <c r="UOW54" s="173"/>
      <c r="UOX54" s="172"/>
      <c r="UOY54" s="173"/>
      <c r="UOZ54" s="173"/>
      <c r="UPA54" s="172"/>
      <c r="UPB54" s="173"/>
      <c r="UPC54" s="173"/>
      <c r="UPD54" s="172"/>
      <c r="UPE54" s="173"/>
      <c r="UPF54" s="173"/>
      <c r="UPG54" s="172"/>
      <c r="UPH54" s="173"/>
      <c r="UPI54" s="173"/>
      <c r="UPJ54" s="172"/>
      <c r="UPK54" s="173"/>
      <c r="UPL54" s="173"/>
      <c r="UPM54" s="172"/>
      <c r="UPN54" s="173"/>
      <c r="UPO54" s="173"/>
      <c r="UPP54" s="172"/>
      <c r="UPQ54" s="173"/>
      <c r="UPR54" s="173"/>
      <c r="UPS54" s="172"/>
      <c r="UPT54" s="173"/>
      <c r="UPU54" s="173"/>
      <c r="UPV54" s="172"/>
      <c r="UPW54" s="173"/>
      <c r="UPX54" s="173"/>
      <c r="UPY54" s="172"/>
      <c r="UPZ54" s="173"/>
      <c r="UQA54" s="173"/>
      <c r="UQB54" s="172"/>
      <c r="UQC54" s="173"/>
      <c r="UQD54" s="173"/>
      <c r="UQE54" s="172"/>
      <c r="UQF54" s="173"/>
      <c r="UQG54" s="173"/>
      <c r="UQH54" s="172"/>
      <c r="UQI54" s="173"/>
      <c r="UQJ54" s="173"/>
      <c r="UQK54" s="172"/>
      <c r="UQL54" s="173"/>
      <c r="UQM54" s="173"/>
      <c r="UQN54" s="172"/>
      <c r="UQO54" s="173"/>
      <c r="UQP54" s="173"/>
      <c r="UQQ54" s="172"/>
      <c r="UQR54" s="173"/>
      <c r="UQS54" s="173"/>
      <c r="UQT54" s="172"/>
      <c r="UQU54" s="173"/>
      <c r="UQV54" s="173"/>
      <c r="UQW54" s="172"/>
      <c r="UQX54" s="173"/>
      <c r="UQY54" s="173"/>
      <c r="UQZ54" s="172"/>
      <c r="URA54" s="173"/>
      <c r="URB54" s="173"/>
      <c r="URC54" s="172"/>
      <c r="URD54" s="173"/>
      <c r="URE54" s="173"/>
      <c r="URF54" s="172"/>
      <c r="URG54" s="173"/>
      <c r="URH54" s="173"/>
      <c r="URI54" s="172"/>
      <c r="URJ54" s="173"/>
      <c r="URK54" s="173"/>
      <c r="URL54" s="172"/>
      <c r="URM54" s="173"/>
      <c r="URN54" s="173"/>
      <c r="URO54" s="172"/>
      <c r="URP54" s="173"/>
      <c r="URQ54" s="173"/>
      <c r="URR54" s="172"/>
      <c r="URS54" s="173"/>
      <c r="URT54" s="173"/>
      <c r="URU54" s="172"/>
      <c r="URV54" s="173"/>
      <c r="URW54" s="173"/>
      <c r="URX54" s="172"/>
      <c r="URY54" s="173"/>
      <c r="URZ54" s="173"/>
      <c r="USA54" s="172"/>
      <c r="USB54" s="173"/>
      <c r="USC54" s="173"/>
      <c r="USD54" s="172"/>
      <c r="USE54" s="173"/>
      <c r="USF54" s="173"/>
      <c r="USG54" s="172"/>
      <c r="USH54" s="173"/>
      <c r="USI54" s="173"/>
      <c r="USJ54" s="172"/>
      <c r="USK54" s="173"/>
      <c r="USL54" s="173"/>
      <c r="USM54" s="172"/>
      <c r="USN54" s="173"/>
      <c r="USO54" s="173"/>
      <c r="USP54" s="172"/>
      <c r="USQ54" s="173"/>
      <c r="USR54" s="173"/>
      <c r="USS54" s="172"/>
      <c r="UST54" s="173"/>
      <c r="USU54" s="173"/>
      <c r="USV54" s="172"/>
      <c r="USW54" s="173"/>
      <c r="USX54" s="173"/>
      <c r="USY54" s="172"/>
      <c r="USZ54" s="173"/>
      <c r="UTA54" s="173"/>
      <c r="UTB54" s="172"/>
      <c r="UTC54" s="173"/>
      <c r="UTD54" s="173"/>
      <c r="UTE54" s="172"/>
      <c r="UTF54" s="173"/>
      <c r="UTG54" s="173"/>
      <c r="UTH54" s="172"/>
      <c r="UTI54" s="173"/>
      <c r="UTJ54" s="173"/>
      <c r="UTK54" s="172"/>
      <c r="UTL54" s="173"/>
      <c r="UTM54" s="173"/>
      <c r="UTN54" s="172"/>
      <c r="UTO54" s="173"/>
      <c r="UTP54" s="173"/>
      <c r="UTQ54" s="172"/>
      <c r="UTR54" s="173"/>
      <c r="UTS54" s="173"/>
      <c r="UTT54" s="172"/>
      <c r="UTU54" s="173"/>
      <c r="UTV54" s="173"/>
      <c r="UTW54" s="172"/>
      <c r="UTX54" s="173"/>
      <c r="UTY54" s="173"/>
      <c r="UTZ54" s="172"/>
      <c r="UUA54" s="173"/>
      <c r="UUB54" s="173"/>
      <c r="UUC54" s="172"/>
      <c r="UUD54" s="173"/>
      <c r="UUE54" s="173"/>
      <c r="UUF54" s="172"/>
      <c r="UUG54" s="173"/>
      <c r="UUH54" s="173"/>
      <c r="UUI54" s="172"/>
      <c r="UUJ54" s="173"/>
      <c r="UUK54" s="173"/>
      <c r="UUL54" s="172"/>
      <c r="UUM54" s="173"/>
      <c r="UUN54" s="173"/>
      <c r="UUO54" s="172"/>
      <c r="UUP54" s="173"/>
      <c r="UUQ54" s="173"/>
      <c r="UUR54" s="172"/>
      <c r="UUS54" s="173"/>
      <c r="UUT54" s="173"/>
      <c r="UUU54" s="172"/>
      <c r="UUV54" s="173"/>
      <c r="UUW54" s="173"/>
      <c r="UUX54" s="172"/>
      <c r="UUY54" s="173"/>
      <c r="UUZ54" s="173"/>
      <c r="UVA54" s="172"/>
      <c r="UVB54" s="173"/>
      <c r="UVC54" s="173"/>
      <c r="UVD54" s="172"/>
      <c r="UVE54" s="173"/>
      <c r="UVF54" s="173"/>
      <c r="UVG54" s="172"/>
      <c r="UVH54" s="173"/>
      <c r="UVI54" s="173"/>
      <c r="UVJ54" s="172"/>
      <c r="UVK54" s="173"/>
      <c r="UVL54" s="173"/>
      <c r="UVM54" s="172"/>
      <c r="UVN54" s="173"/>
      <c r="UVO54" s="173"/>
      <c r="UVP54" s="172"/>
      <c r="UVQ54" s="173"/>
      <c r="UVR54" s="173"/>
      <c r="UVS54" s="172"/>
      <c r="UVT54" s="173"/>
      <c r="UVU54" s="173"/>
      <c r="UVV54" s="172"/>
      <c r="UVW54" s="173"/>
      <c r="UVX54" s="173"/>
      <c r="UVY54" s="172"/>
      <c r="UVZ54" s="173"/>
      <c r="UWA54" s="173"/>
      <c r="UWB54" s="172"/>
      <c r="UWC54" s="173"/>
      <c r="UWD54" s="173"/>
      <c r="UWE54" s="172"/>
      <c r="UWF54" s="173"/>
      <c r="UWG54" s="173"/>
      <c r="UWH54" s="172"/>
      <c r="UWI54" s="173"/>
      <c r="UWJ54" s="173"/>
      <c r="UWK54" s="172"/>
      <c r="UWL54" s="173"/>
      <c r="UWM54" s="173"/>
      <c r="UWN54" s="172"/>
      <c r="UWO54" s="173"/>
      <c r="UWP54" s="173"/>
      <c r="UWQ54" s="172"/>
      <c r="UWR54" s="173"/>
      <c r="UWS54" s="173"/>
      <c r="UWT54" s="172"/>
      <c r="UWU54" s="173"/>
      <c r="UWV54" s="173"/>
      <c r="UWW54" s="172"/>
      <c r="UWX54" s="173"/>
      <c r="UWY54" s="173"/>
      <c r="UWZ54" s="172"/>
      <c r="UXA54" s="173"/>
      <c r="UXB54" s="173"/>
      <c r="UXC54" s="172"/>
      <c r="UXD54" s="173"/>
      <c r="UXE54" s="173"/>
      <c r="UXF54" s="172"/>
      <c r="UXG54" s="173"/>
      <c r="UXH54" s="173"/>
      <c r="UXI54" s="172"/>
      <c r="UXJ54" s="173"/>
      <c r="UXK54" s="173"/>
      <c r="UXL54" s="172"/>
      <c r="UXM54" s="173"/>
      <c r="UXN54" s="173"/>
      <c r="UXO54" s="172"/>
      <c r="UXP54" s="173"/>
      <c r="UXQ54" s="173"/>
      <c r="UXR54" s="172"/>
      <c r="UXS54" s="173"/>
      <c r="UXT54" s="173"/>
      <c r="UXU54" s="172"/>
      <c r="UXV54" s="173"/>
      <c r="UXW54" s="173"/>
      <c r="UXX54" s="172"/>
      <c r="UXY54" s="173"/>
      <c r="UXZ54" s="173"/>
      <c r="UYA54" s="172"/>
      <c r="UYB54" s="173"/>
      <c r="UYC54" s="173"/>
      <c r="UYD54" s="172"/>
      <c r="UYE54" s="173"/>
      <c r="UYF54" s="173"/>
      <c r="UYG54" s="172"/>
      <c r="UYH54" s="173"/>
      <c r="UYI54" s="173"/>
      <c r="UYJ54" s="172"/>
      <c r="UYK54" s="173"/>
      <c r="UYL54" s="173"/>
      <c r="UYM54" s="172"/>
      <c r="UYN54" s="173"/>
      <c r="UYO54" s="173"/>
      <c r="UYP54" s="172"/>
      <c r="UYQ54" s="173"/>
      <c r="UYR54" s="173"/>
      <c r="UYS54" s="172"/>
      <c r="UYT54" s="173"/>
      <c r="UYU54" s="173"/>
      <c r="UYV54" s="172"/>
      <c r="UYW54" s="173"/>
      <c r="UYX54" s="173"/>
      <c r="UYY54" s="172"/>
      <c r="UYZ54" s="173"/>
      <c r="UZA54" s="173"/>
      <c r="UZB54" s="172"/>
      <c r="UZC54" s="173"/>
      <c r="UZD54" s="173"/>
      <c r="UZE54" s="172"/>
      <c r="UZF54" s="173"/>
      <c r="UZG54" s="173"/>
      <c r="UZH54" s="172"/>
      <c r="UZI54" s="173"/>
      <c r="UZJ54" s="173"/>
      <c r="UZK54" s="172"/>
      <c r="UZL54" s="173"/>
      <c r="UZM54" s="173"/>
      <c r="UZN54" s="172"/>
      <c r="UZO54" s="173"/>
      <c r="UZP54" s="173"/>
      <c r="UZQ54" s="172"/>
      <c r="UZR54" s="173"/>
      <c r="UZS54" s="173"/>
      <c r="UZT54" s="172"/>
      <c r="UZU54" s="173"/>
      <c r="UZV54" s="173"/>
      <c r="UZW54" s="172"/>
      <c r="UZX54" s="173"/>
      <c r="UZY54" s="173"/>
      <c r="UZZ54" s="172"/>
      <c r="VAA54" s="173"/>
      <c r="VAB54" s="173"/>
      <c r="VAC54" s="172"/>
      <c r="VAD54" s="173"/>
      <c r="VAE54" s="173"/>
      <c r="VAF54" s="172"/>
      <c r="VAG54" s="173"/>
      <c r="VAH54" s="173"/>
      <c r="VAI54" s="172"/>
      <c r="VAJ54" s="173"/>
      <c r="VAK54" s="173"/>
      <c r="VAL54" s="172"/>
      <c r="VAM54" s="173"/>
      <c r="VAN54" s="173"/>
      <c r="VAO54" s="172"/>
      <c r="VAP54" s="173"/>
      <c r="VAQ54" s="173"/>
      <c r="VAR54" s="172"/>
      <c r="VAS54" s="173"/>
      <c r="VAT54" s="173"/>
      <c r="VAU54" s="172"/>
      <c r="VAV54" s="173"/>
      <c r="VAW54" s="173"/>
      <c r="VAX54" s="172"/>
      <c r="VAY54" s="173"/>
      <c r="VAZ54" s="173"/>
      <c r="VBA54" s="172"/>
      <c r="VBB54" s="173"/>
      <c r="VBC54" s="173"/>
      <c r="VBD54" s="172"/>
      <c r="VBE54" s="173"/>
      <c r="VBF54" s="173"/>
      <c r="VBG54" s="172"/>
      <c r="VBH54" s="173"/>
      <c r="VBI54" s="173"/>
      <c r="VBJ54" s="172"/>
      <c r="VBK54" s="173"/>
      <c r="VBL54" s="173"/>
      <c r="VBM54" s="172"/>
      <c r="VBN54" s="173"/>
      <c r="VBO54" s="173"/>
      <c r="VBP54" s="172"/>
      <c r="VBQ54" s="173"/>
      <c r="VBR54" s="173"/>
      <c r="VBS54" s="172"/>
      <c r="VBT54" s="173"/>
      <c r="VBU54" s="173"/>
      <c r="VBV54" s="172"/>
      <c r="VBW54" s="173"/>
      <c r="VBX54" s="173"/>
      <c r="VBY54" s="172"/>
      <c r="VBZ54" s="173"/>
      <c r="VCA54" s="173"/>
      <c r="VCB54" s="172"/>
      <c r="VCC54" s="173"/>
      <c r="VCD54" s="173"/>
      <c r="VCE54" s="172"/>
      <c r="VCF54" s="173"/>
      <c r="VCG54" s="173"/>
      <c r="VCH54" s="172"/>
      <c r="VCI54" s="173"/>
      <c r="VCJ54" s="173"/>
      <c r="VCK54" s="172"/>
      <c r="VCL54" s="173"/>
      <c r="VCM54" s="173"/>
      <c r="VCN54" s="172"/>
      <c r="VCO54" s="173"/>
      <c r="VCP54" s="173"/>
      <c r="VCQ54" s="172"/>
      <c r="VCR54" s="173"/>
      <c r="VCS54" s="173"/>
      <c r="VCT54" s="172"/>
      <c r="VCU54" s="173"/>
      <c r="VCV54" s="173"/>
      <c r="VCW54" s="172"/>
      <c r="VCX54" s="173"/>
      <c r="VCY54" s="173"/>
      <c r="VCZ54" s="172"/>
      <c r="VDA54" s="173"/>
      <c r="VDB54" s="173"/>
      <c r="VDC54" s="172"/>
      <c r="VDD54" s="173"/>
      <c r="VDE54" s="173"/>
      <c r="VDF54" s="172"/>
      <c r="VDG54" s="173"/>
      <c r="VDH54" s="173"/>
      <c r="VDI54" s="172"/>
      <c r="VDJ54" s="173"/>
      <c r="VDK54" s="173"/>
      <c r="VDL54" s="172"/>
      <c r="VDM54" s="173"/>
      <c r="VDN54" s="173"/>
      <c r="VDO54" s="172"/>
      <c r="VDP54" s="173"/>
      <c r="VDQ54" s="173"/>
      <c r="VDR54" s="172"/>
      <c r="VDS54" s="173"/>
      <c r="VDT54" s="173"/>
      <c r="VDU54" s="172"/>
      <c r="VDV54" s="173"/>
      <c r="VDW54" s="173"/>
      <c r="VDX54" s="172"/>
      <c r="VDY54" s="173"/>
      <c r="VDZ54" s="173"/>
      <c r="VEA54" s="172"/>
      <c r="VEB54" s="173"/>
      <c r="VEC54" s="173"/>
      <c r="VED54" s="172"/>
      <c r="VEE54" s="173"/>
      <c r="VEF54" s="173"/>
      <c r="VEG54" s="172"/>
      <c r="VEH54" s="173"/>
      <c r="VEI54" s="173"/>
      <c r="VEJ54" s="172"/>
      <c r="VEK54" s="173"/>
      <c r="VEL54" s="173"/>
      <c r="VEM54" s="172"/>
      <c r="VEN54" s="173"/>
      <c r="VEO54" s="173"/>
      <c r="VEP54" s="172"/>
      <c r="VEQ54" s="173"/>
      <c r="VER54" s="173"/>
      <c r="VES54" s="172"/>
      <c r="VET54" s="173"/>
      <c r="VEU54" s="173"/>
      <c r="VEV54" s="172"/>
      <c r="VEW54" s="173"/>
      <c r="VEX54" s="173"/>
      <c r="VEY54" s="172"/>
      <c r="VEZ54" s="173"/>
      <c r="VFA54" s="173"/>
      <c r="VFB54" s="172"/>
      <c r="VFC54" s="173"/>
      <c r="VFD54" s="173"/>
      <c r="VFE54" s="172"/>
      <c r="VFF54" s="173"/>
      <c r="VFG54" s="173"/>
      <c r="VFH54" s="172"/>
      <c r="VFI54" s="173"/>
      <c r="VFJ54" s="173"/>
      <c r="VFK54" s="172"/>
      <c r="VFL54" s="173"/>
      <c r="VFM54" s="173"/>
      <c r="VFN54" s="172"/>
      <c r="VFO54" s="173"/>
      <c r="VFP54" s="173"/>
      <c r="VFQ54" s="172"/>
      <c r="VFR54" s="173"/>
      <c r="VFS54" s="173"/>
      <c r="VFT54" s="172"/>
      <c r="VFU54" s="173"/>
      <c r="VFV54" s="173"/>
      <c r="VFW54" s="172"/>
      <c r="VFX54" s="173"/>
      <c r="VFY54" s="173"/>
      <c r="VFZ54" s="172"/>
      <c r="VGA54" s="173"/>
      <c r="VGB54" s="173"/>
      <c r="VGC54" s="172"/>
      <c r="VGD54" s="173"/>
      <c r="VGE54" s="173"/>
      <c r="VGF54" s="172"/>
      <c r="VGG54" s="173"/>
      <c r="VGH54" s="173"/>
      <c r="VGI54" s="172"/>
      <c r="VGJ54" s="173"/>
      <c r="VGK54" s="173"/>
      <c r="VGL54" s="172"/>
      <c r="VGM54" s="173"/>
      <c r="VGN54" s="173"/>
      <c r="VGO54" s="172"/>
      <c r="VGP54" s="173"/>
      <c r="VGQ54" s="173"/>
      <c r="VGR54" s="172"/>
      <c r="VGS54" s="173"/>
      <c r="VGT54" s="173"/>
      <c r="VGU54" s="172"/>
      <c r="VGV54" s="173"/>
      <c r="VGW54" s="173"/>
      <c r="VGX54" s="172"/>
      <c r="VGY54" s="173"/>
      <c r="VGZ54" s="173"/>
      <c r="VHA54" s="172"/>
      <c r="VHB54" s="173"/>
      <c r="VHC54" s="173"/>
      <c r="VHD54" s="172"/>
      <c r="VHE54" s="173"/>
      <c r="VHF54" s="173"/>
      <c r="VHG54" s="172"/>
      <c r="VHH54" s="173"/>
      <c r="VHI54" s="173"/>
      <c r="VHJ54" s="172"/>
      <c r="VHK54" s="173"/>
      <c r="VHL54" s="173"/>
      <c r="VHM54" s="172"/>
      <c r="VHN54" s="173"/>
      <c r="VHO54" s="173"/>
      <c r="VHP54" s="172"/>
      <c r="VHQ54" s="173"/>
      <c r="VHR54" s="173"/>
      <c r="VHS54" s="172"/>
      <c r="VHT54" s="173"/>
      <c r="VHU54" s="173"/>
      <c r="VHV54" s="172"/>
      <c r="VHW54" s="173"/>
      <c r="VHX54" s="173"/>
      <c r="VHY54" s="172"/>
      <c r="VHZ54" s="173"/>
      <c r="VIA54" s="173"/>
      <c r="VIB54" s="172"/>
      <c r="VIC54" s="173"/>
      <c r="VID54" s="173"/>
      <c r="VIE54" s="172"/>
      <c r="VIF54" s="173"/>
      <c r="VIG54" s="173"/>
      <c r="VIH54" s="172"/>
      <c r="VII54" s="173"/>
      <c r="VIJ54" s="173"/>
      <c r="VIK54" s="172"/>
      <c r="VIL54" s="173"/>
      <c r="VIM54" s="173"/>
      <c r="VIN54" s="172"/>
      <c r="VIO54" s="173"/>
      <c r="VIP54" s="173"/>
      <c r="VIQ54" s="172"/>
      <c r="VIR54" s="173"/>
      <c r="VIS54" s="173"/>
      <c r="VIT54" s="172"/>
      <c r="VIU54" s="173"/>
      <c r="VIV54" s="173"/>
      <c r="VIW54" s="172"/>
      <c r="VIX54" s="173"/>
      <c r="VIY54" s="173"/>
      <c r="VIZ54" s="172"/>
      <c r="VJA54" s="173"/>
      <c r="VJB54" s="173"/>
      <c r="VJC54" s="172"/>
      <c r="VJD54" s="173"/>
      <c r="VJE54" s="173"/>
      <c r="VJF54" s="172"/>
      <c r="VJG54" s="173"/>
      <c r="VJH54" s="173"/>
      <c r="VJI54" s="172"/>
      <c r="VJJ54" s="173"/>
      <c r="VJK54" s="173"/>
      <c r="VJL54" s="172"/>
      <c r="VJM54" s="173"/>
      <c r="VJN54" s="173"/>
      <c r="VJO54" s="172"/>
      <c r="VJP54" s="173"/>
      <c r="VJQ54" s="173"/>
      <c r="VJR54" s="172"/>
      <c r="VJS54" s="173"/>
      <c r="VJT54" s="173"/>
      <c r="VJU54" s="172"/>
      <c r="VJV54" s="173"/>
      <c r="VJW54" s="173"/>
      <c r="VJX54" s="172"/>
      <c r="VJY54" s="173"/>
      <c r="VJZ54" s="173"/>
      <c r="VKA54" s="172"/>
      <c r="VKB54" s="173"/>
      <c r="VKC54" s="173"/>
      <c r="VKD54" s="172"/>
      <c r="VKE54" s="173"/>
      <c r="VKF54" s="173"/>
      <c r="VKG54" s="172"/>
      <c r="VKH54" s="173"/>
      <c r="VKI54" s="173"/>
      <c r="VKJ54" s="172"/>
      <c r="VKK54" s="173"/>
      <c r="VKL54" s="173"/>
      <c r="VKM54" s="172"/>
      <c r="VKN54" s="173"/>
      <c r="VKO54" s="173"/>
      <c r="VKP54" s="172"/>
      <c r="VKQ54" s="173"/>
      <c r="VKR54" s="173"/>
      <c r="VKS54" s="172"/>
      <c r="VKT54" s="173"/>
      <c r="VKU54" s="173"/>
      <c r="VKV54" s="172"/>
      <c r="VKW54" s="173"/>
      <c r="VKX54" s="173"/>
      <c r="VKY54" s="172"/>
      <c r="VKZ54" s="173"/>
      <c r="VLA54" s="173"/>
      <c r="VLB54" s="172"/>
      <c r="VLC54" s="173"/>
      <c r="VLD54" s="173"/>
      <c r="VLE54" s="172"/>
      <c r="VLF54" s="173"/>
      <c r="VLG54" s="173"/>
      <c r="VLH54" s="172"/>
      <c r="VLI54" s="173"/>
      <c r="VLJ54" s="173"/>
      <c r="VLK54" s="172"/>
      <c r="VLL54" s="173"/>
      <c r="VLM54" s="173"/>
      <c r="VLN54" s="172"/>
      <c r="VLO54" s="173"/>
      <c r="VLP54" s="173"/>
      <c r="VLQ54" s="172"/>
      <c r="VLR54" s="173"/>
      <c r="VLS54" s="173"/>
      <c r="VLT54" s="172"/>
      <c r="VLU54" s="173"/>
      <c r="VLV54" s="173"/>
      <c r="VLW54" s="172"/>
      <c r="VLX54" s="173"/>
      <c r="VLY54" s="173"/>
      <c r="VLZ54" s="172"/>
      <c r="VMA54" s="173"/>
      <c r="VMB54" s="173"/>
      <c r="VMC54" s="172"/>
      <c r="VMD54" s="173"/>
      <c r="VME54" s="173"/>
      <c r="VMF54" s="172"/>
      <c r="VMG54" s="173"/>
      <c r="VMH54" s="173"/>
      <c r="VMI54" s="172"/>
      <c r="VMJ54" s="173"/>
      <c r="VMK54" s="173"/>
      <c r="VML54" s="172"/>
      <c r="VMM54" s="173"/>
      <c r="VMN54" s="173"/>
      <c r="VMO54" s="172"/>
      <c r="VMP54" s="173"/>
      <c r="VMQ54" s="173"/>
      <c r="VMR54" s="172"/>
      <c r="VMS54" s="173"/>
      <c r="VMT54" s="173"/>
      <c r="VMU54" s="172"/>
      <c r="VMV54" s="173"/>
      <c r="VMW54" s="173"/>
      <c r="VMX54" s="172"/>
      <c r="VMY54" s="173"/>
      <c r="VMZ54" s="173"/>
      <c r="VNA54" s="172"/>
      <c r="VNB54" s="173"/>
      <c r="VNC54" s="173"/>
      <c r="VND54" s="172"/>
      <c r="VNE54" s="173"/>
      <c r="VNF54" s="173"/>
      <c r="VNG54" s="172"/>
      <c r="VNH54" s="173"/>
      <c r="VNI54" s="173"/>
      <c r="VNJ54" s="172"/>
      <c r="VNK54" s="173"/>
      <c r="VNL54" s="173"/>
      <c r="VNM54" s="172"/>
      <c r="VNN54" s="173"/>
      <c r="VNO54" s="173"/>
      <c r="VNP54" s="172"/>
      <c r="VNQ54" s="173"/>
      <c r="VNR54" s="173"/>
      <c r="VNS54" s="172"/>
      <c r="VNT54" s="173"/>
      <c r="VNU54" s="173"/>
      <c r="VNV54" s="172"/>
      <c r="VNW54" s="173"/>
      <c r="VNX54" s="173"/>
      <c r="VNY54" s="172"/>
      <c r="VNZ54" s="173"/>
      <c r="VOA54" s="173"/>
      <c r="VOB54" s="172"/>
      <c r="VOC54" s="173"/>
      <c r="VOD54" s="173"/>
      <c r="VOE54" s="172"/>
      <c r="VOF54" s="173"/>
      <c r="VOG54" s="173"/>
      <c r="VOH54" s="172"/>
      <c r="VOI54" s="173"/>
      <c r="VOJ54" s="173"/>
      <c r="VOK54" s="172"/>
      <c r="VOL54" s="173"/>
      <c r="VOM54" s="173"/>
      <c r="VON54" s="172"/>
      <c r="VOO54" s="173"/>
      <c r="VOP54" s="173"/>
      <c r="VOQ54" s="172"/>
      <c r="VOR54" s="173"/>
      <c r="VOS54" s="173"/>
      <c r="VOT54" s="172"/>
      <c r="VOU54" s="173"/>
      <c r="VOV54" s="173"/>
      <c r="VOW54" s="172"/>
      <c r="VOX54" s="173"/>
      <c r="VOY54" s="173"/>
      <c r="VOZ54" s="172"/>
      <c r="VPA54" s="173"/>
      <c r="VPB54" s="173"/>
      <c r="VPC54" s="172"/>
      <c r="VPD54" s="173"/>
      <c r="VPE54" s="173"/>
      <c r="VPF54" s="172"/>
      <c r="VPG54" s="173"/>
      <c r="VPH54" s="173"/>
      <c r="VPI54" s="172"/>
      <c r="VPJ54" s="173"/>
      <c r="VPK54" s="173"/>
      <c r="VPL54" s="172"/>
      <c r="VPM54" s="173"/>
      <c r="VPN54" s="173"/>
      <c r="VPO54" s="172"/>
      <c r="VPP54" s="173"/>
      <c r="VPQ54" s="173"/>
      <c r="VPR54" s="172"/>
      <c r="VPS54" s="173"/>
      <c r="VPT54" s="173"/>
      <c r="VPU54" s="172"/>
      <c r="VPV54" s="173"/>
      <c r="VPW54" s="173"/>
      <c r="VPX54" s="172"/>
      <c r="VPY54" s="173"/>
      <c r="VPZ54" s="173"/>
      <c r="VQA54" s="172"/>
      <c r="VQB54" s="173"/>
      <c r="VQC54" s="173"/>
      <c r="VQD54" s="172"/>
      <c r="VQE54" s="173"/>
      <c r="VQF54" s="173"/>
      <c r="VQG54" s="172"/>
      <c r="VQH54" s="173"/>
      <c r="VQI54" s="173"/>
      <c r="VQJ54" s="172"/>
      <c r="VQK54" s="173"/>
      <c r="VQL54" s="173"/>
      <c r="VQM54" s="172"/>
      <c r="VQN54" s="173"/>
      <c r="VQO54" s="173"/>
      <c r="VQP54" s="172"/>
      <c r="VQQ54" s="173"/>
      <c r="VQR54" s="173"/>
      <c r="VQS54" s="172"/>
      <c r="VQT54" s="173"/>
      <c r="VQU54" s="173"/>
      <c r="VQV54" s="172"/>
      <c r="VQW54" s="173"/>
      <c r="VQX54" s="173"/>
      <c r="VQY54" s="172"/>
      <c r="VQZ54" s="173"/>
      <c r="VRA54" s="173"/>
      <c r="VRB54" s="172"/>
      <c r="VRC54" s="173"/>
      <c r="VRD54" s="173"/>
      <c r="VRE54" s="172"/>
      <c r="VRF54" s="173"/>
      <c r="VRG54" s="173"/>
      <c r="VRH54" s="172"/>
      <c r="VRI54" s="173"/>
      <c r="VRJ54" s="173"/>
      <c r="VRK54" s="172"/>
      <c r="VRL54" s="173"/>
      <c r="VRM54" s="173"/>
      <c r="VRN54" s="172"/>
      <c r="VRO54" s="173"/>
      <c r="VRP54" s="173"/>
      <c r="VRQ54" s="172"/>
      <c r="VRR54" s="173"/>
      <c r="VRS54" s="173"/>
      <c r="VRT54" s="172"/>
      <c r="VRU54" s="173"/>
      <c r="VRV54" s="173"/>
      <c r="VRW54" s="172"/>
      <c r="VRX54" s="173"/>
      <c r="VRY54" s="173"/>
      <c r="VRZ54" s="172"/>
      <c r="VSA54" s="173"/>
      <c r="VSB54" s="173"/>
      <c r="VSC54" s="172"/>
      <c r="VSD54" s="173"/>
      <c r="VSE54" s="173"/>
      <c r="VSF54" s="172"/>
      <c r="VSG54" s="173"/>
      <c r="VSH54" s="173"/>
      <c r="VSI54" s="172"/>
      <c r="VSJ54" s="173"/>
      <c r="VSK54" s="173"/>
      <c r="VSL54" s="172"/>
      <c r="VSM54" s="173"/>
      <c r="VSN54" s="173"/>
      <c r="VSO54" s="172"/>
      <c r="VSP54" s="173"/>
      <c r="VSQ54" s="173"/>
      <c r="VSR54" s="172"/>
      <c r="VSS54" s="173"/>
      <c r="VST54" s="173"/>
      <c r="VSU54" s="172"/>
      <c r="VSV54" s="173"/>
      <c r="VSW54" s="173"/>
      <c r="VSX54" s="172"/>
      <c r="VSY54" s="173"/>
      <c r="VSZ54" s="173"/>
      <c r="VTA54" s="172"/>
      <c r="VTB54" s="173"/>
      <c r="VTC54" s="173"/>
      <c r="VTD54" s="172"/>
      <c r="VTE54" s="173"/>
      <c r="VTF54" s="173"/>
      <c r="VTG54" s="172"/>
      <c r="VTH54" s="173"/>
      <c r="VTI54" s="173"/>
      <c r="VTJ54" s="172"/>
      <c r="VTK54" s="173"/>
      <c r="VTL54" s="173"/>
      <c r="VTM54" s="172"/>
      <c r="VTN54" s="173"/>
      <c r="VTO54" s="173"/>
      <c r="VTP54" s="172"/>
      <c r="VTQ54" s="173"/>
      <c r="VTR54" s="173"/>
      <c r="VTS54" s="172"/>
      <c r="VTT54" s="173"/>
      <c r="VTU54" s="173"/>
      <c r="VTV54" s="172"/>
      <c r="VTW54" s="173"/>
      <c r="VTX54" s="173"/>
      <c r="VTY54" s="172"/>
      <c r="VTZ54" s="173"/>
      <c r="VUA54" s="173"/>
      <c r="VUB54" s="172"/>
      <c r="VUC54" s="173"/>
      <c r="VUD54" s="173"/>
      <c r="VUE54" s="172"/>
      <c r="VUF54" s="173"/>
      <c r="VUG54" s="173"/>
      <c r="VUH54" s="172"/>
      <c r="VUI54" s="173"/>
      <c r="VUJ54" s="173"/>
      <c r="VUK54" s="172"/>
      <c r="VUL54" s="173"/>
      <c r="VUM54" s="173"/>
      <c r="VUN54" s="172"/>
      <c r="VUO54" s="173"/>
      <c r="VUP54" s="173"/>
      <c r="VUQ54" s="172"/>
      <c r="VUR54" s="173"/>
      <c r="VUS54" s="173"/>
      <c r="VUT54" s="172"/>
      <c r="VUU54" s="173"/>
      <c r="VUV54" s="173"/>
      <c r="VUW54" s="172"/>
      <c r="VUX54" s="173"/>
      <c r="VUY54" s="173"/>
      <c r="VUZ54" s="172"/>
      <c r="VVA54" s="173"/>
      <c r="VVB54" s="173"/>
      <c r="VVC54" s="172"/>
      <c r="VVD54" s="173"/>
      <c r="VVE54" s="173"/>
      <c r="VVF54" s="172"/>
      <c r="VVG54" s="173"/>
      <c r="VVH54" s="173"/>
      <c r="VVI54" s="172"/>
      <c r="VVJ54" s="173"/>
      <c r="VVK54" s="173"/>
      <c r="VVL54" s="172"/>
      <c r="VVM54" s="173"/>
      <c r="VVN54" s="173"/>
      <c r="VVO54" s="172"/>
      <c r="VVP54" s="173"/>
      <c r="VVQ54" s="173"/>
      <c r="VVR54" s="172"/>
      <c r="VVS54" s="173"/>
      <c r="VVT54" s="173"/>
      <c r="VVU54" s="172"/>
      <c r="VVV54" s="173"/>
      <c r="VVW54" s="173"/>
      <c r="VVX54" s="172"/>
      <c r="VVY54" s="173"/>
      <c r="VVZ54" s="173"/>
      <c r="VWA54" s="172"/>
      <c r="VWB54" s="173"/>
      <c r="VWC54" s="173"/>
      <c r="VWD54" s="172"/>
      <c r="VWE54" s="173"/>
      <c r="VWF54" s="173"/>
      <c r="VWG54" s="172"/>
      <c r="VWH54" s="173"/>
      <c r="VWI54" s="173"/>
      <c r="VWJ54" s="172"/>
      <c r="VWK54" s="173"/>
      <c r="VWL54" s="173"/>
      <c r="VWM54" s="172"/>
      <c r="VWN54" s="173"/>
      <c r="VWO54" s="173"/>
      <c r="VWP54" s="172"/>
      <c r="VWQ54" s="173"/>
      <c r="VWR54" s="173"/>
      <c r="VWS54" s="172"/>
      <c r="VWT54" s="173"/>
      <c r="VWU54" s="173"/>
      <c r="VWV54" s="172"/>
      <c r="VWW54" s="173"/>
      <c r="VWX54" s="173"/>
      <c r="VWY54" s="172"/>
      <c r="VWZ54" s="173"/>
      <c r="VXA54" s="173"/>
      <c r="VXB54" s="172"/>
      <c r="VXC54" s="173"/>
      <c r="VXD54" s="173"/>
      <c r="VXE54" s="172"/>
      <c r="VXF54" s="173"/>
      <c r="VXG54" s="173"/>
      <c r="VXH54" s="172"/>
      <c r="VXI54" s="173"/>
      <c r="VXJ54" s="173"/>
      <c r="VXK54" s="172"/>
      <c r="VXL54" s="173"/>
      <c r="VXM54" s="173"/>
      <c r="VXN54" s="172"/>
      <c r="VXO54" s="173"/>
      <c r="VXP54" s="173"/>
      <c r="VXQ54" s="172"/>
      <c r="VXR54" s="173"/>
      <c r="VXS54" s="173"/>
      <c r="VXT54" s="172"/>
      <c r="VXU54" s="173"/>
      <c r="VXV54" s="173"/>
      <c r="VXW54" s="172"/>
      <c r="VXX54" s="173"/>
      <c r="VXY54" s="173"/>
      <c r="VXZ54" s="172"/>
      <c r="VYA54" s="173"/>
      <c r="VYB54" s="173"/>
      <c r="VYC54" s="172"/>
      <c r="VYD54" s="173"/>
      <c r="VYE54" s="173"/>
      <c r="VYF54" s="172"/>
      <c r="VYG54" s="173"/>
      <c r="VYH54" s="173"/>
      <c r="VYI54" s="172"/>
      <c r="VYJ54" s="173"/>
      <c r="VYK54" s="173"/>
      <c r="VYL54" s="172"/>
      <c r="VYM54" s="173"/>
      <c r="VYN54" s="173"/>
      <c r="VYO54" s="172"/>
      <c r="VYP54" s="173"/>
      <c r="VYQ54" s="173"/>
      <c r="VYR54" s="172"/>
      <c r="VYS54" s="173"/>
      <c r="VYT54" s="173"/>
      <c r="VYU54" s="172"/>
      <c r="VYV54" s="173"/>
      <c r="VYW54" s="173"/>
      <c r="VYX54" s="172"/>
      <c r="VYY54" s="173"/>
      <c r="VYZ54" s="173"/>
      <c r="VZA54" s="172"/>
      <c r="VZB54" s="173"/>
      <c r="VZC54" s="173"/>
      <c r="VZD54" s="172"/>
      <c r="VZE54" s="173"/>
      <c r="VZF54" s="173"/>
      <c r="VZG54" s="172"/>
      <c r="VZH54" s="173"/>
      <c r="VZI54" s="173"/>
      <c r="VZJ54" s="172"/>
      <c r="VZK54" s="173"/>
      <c r="VZL54" s="173"/>
      <c r="VZM54" s="172"/>
      <c r="VZN54" s="173"/>
      <c r="VZO54" s="173"/>
      <c r="VZP54" s="172"/>
      <c r="VZQ54" s="173"/>
      <c r="VZR54" s="173"/>
      <c r="VZS54" s="172"/>
      <c r="VZT54" s="173"/>
      <c r="VZU54" s="173"/>
      <c r="VZV54" s="172"/>
      <c r="VZW54" s="173"/>
      <c r="VZX54" s="173"/>
      <c r="VZY54" s="172"/>
      <c r="VZZ54" s="173"/>
      <c r="WAA54" s="173"/>
      <c r="WAB54" s="172"/>
      <c r="WAC54" s="173"/>
      <c r="WAD54" s="173"/>
      <c r="WAE54" s="172"/>
      <c r="WAF54" s="173"/>
      <c r="WAG54" s="173"/>
      <c r="WAH54" s="172"/>
      <c r="WAI54" s="173"/>
      <c r="WAJ54" s="173"/>
      <c r="WAK54" s="172"/>
      <c r="WAL54" s="173"/>
      <c r="WAM54" s="173"/>
      <c r="WAN54" s="172"/>
      <c r="WAO54" s="173"/>
      <c r="WAP54" s="173"/>
      <c r="WAQ54" s="172"/>
      <c r="WAR54" s="173"/>
      <c r="WAS54" s="173"/>
      <c r="WAT54" s="172"/>
      <c r="WAU54" s="173"/>
      <c r="WAV54" s="173"/>
      <c r="WAW54" s="172"/>
      <c r="WAX54" s="173"/>
      <c r="WAY54" s="173"/>
      <c r="WAZ54" s="172"/>
      <c r="WBA54" s="173"/>
      <c r="WBB54" s="173"/>
      <c r="WBC54" s="172"/>
      <c r="WBD54" s="173"/>
      <c r="WBE54" s="173"/>
      <c r="WBF54" s="172"/>
      <c r="WBG54" s="173"/>
      <c r="WBH54" s="173"/>
      <c r="WBI54" s="172"/>
      <c r="WBJ54" s="173"/>
      <c r="WBK54" s="173"/>
      <c r="WBL54" s="172"/>
      <c r="WBM54" s="173"/>
      <c r="WBN54" s="173"/>
      <c r="WBO54" s="172"/>
      <c r="WBP54" s="173"/>
      <c r="WBQ54" s="173"/>
      <c r="WBR54" s="172"/>
      <c r="WBS54" s="173"/>
      <c r="WBT54" s="173"/>
      <c r="WBU54" s="172"/>
      <c r="WBV54" s="173"/>
      <c r="WBW54" s="173"/>
      <c r="WBX54" s="172"/>
      <c r="WBY54" s="173"/>
      <c r="WBZ54" s="173"/>
      <c r="WCA54" s="172"/>
      <c r="WCB54" s="173"/>
      <c r="WCC54" s="173"/>
      <c r="WCD54" s="172"/>
      <c r="WCE54" s="173"/>
      <c r="WCF54" s="173"/>
      <c r="WCG54" s="172"/>
      <c r="WCH54" s="173"/>
      <c r="WCI54" s="173"/>
      <c r="WCJ54" s="172"/>
      <c r="WCK54" s="173"/>
      <c r="WCL54" s="173"/>
      <c r="WCM54" s="172"/>
      <c r="WCN54" s="173"/>
      <c r="WCO54" s="173"/>
      <c r="WCP54" s="172"/>
      <c r="WCQ54" s="173"/>
      <c r="WCR54" s="173"/>
      <c r="WCS54" s="172"/>
      <c r="WCT54" s="173"/>
      <c r="WCU54" s="173"/>
      <c r="WCV54" s="172"/>
      <c r="WCW54" s="173"/>
      <c r="WCX54" s="173"/>
      <c r="WCY54" s="172"/>
      <c r="WCZ54" s="173"/>
      <c r="WDA54" s="173"/>
      <c r="WDB54" s="172"/>
      <c r="WDC54" s="173"/>
      <c r="WDD54" s="173"/>
      <c r="WDE54" s="172"/>
      <c r="WDF54" s="173"/>
      <c r="WDG54" s="173"/>
      <c r="WDH54" s="172"/>
      <c r="WDI54" s="173"/>
      <c r="WDJ54" s="173"/>
      <c r="WDK54" s="172"/>
      <c r="WDL54" s="173"/>
      <c r="WDM54" s="173"/>
      <c r="WDN54" s="172"/>
      <c r="WDO54" s="173"/>
      <c r="WDP54" s="173"/>
      <c r="WDQ54" s="172"/>
      <c r="WDR54" s="173"/>
      <c r="WDS54" s="173"/>
      <c r="WDT54" s="172"/>
      <c r="WDU54" s="173"/>
      <c r="WDV54" s="173"/>
      <c r="WDW54" s="172"/>
      <c r="WDX54" s="173"/>
      <c r="WDY54" s="173"/>
      <c r="WDZ54" s="172"/>
      <c r="WEA54" s="173"/>
      <c r="WEB54" s="173"/>
      <c r="WEC54" s="172"/>
      <c r="WED54" s="173"/>
      <c r="WEE54" s="173"/>
      <c r="WEF54" s="172"/>
      <c r="WEG54" s="173"/>
      <c r="WEH54" s="173"/>
      <c r="WEI54" s="172"/>
      <c r="WEJ54" s="173"/>
      <c r="WEK54" s="173"/>
      <c r="WEL54" s="172"/>
      <c r="WEM54" s="173"/>
      <c r="WEN54" s="173"/>
      <c r="WEO54" s="172"/>
      <c r="WEP54" s="173"/>
      <c r="WEQ54" s="173"/>
      <c r="WER54" s="172"/>
      <c r="WES54" s="173"/>
      <c r="WET54" s="173"/>
      <c r="WEU54" s="172"/>
      <c r="WEV54" s="173"/>
      <c r="WEW54" s="173"/>
      <c r="WEX54" s="172"/>
      <c r="WEY54" s="173"/>
      <c r="WEZ54" s="173"/>
      <c r="WFA54" s="172"/>
      <c r="WFB54" s="173"/>
      <c r="WFC54" s="173"/>
      <c r="WFD54" s="172"/>
      <c r="WFE54" s="173"/>
      <c r="WFF54" s="173"/>
      <c r="WFG54" s="172"/>
      <c r="WFH54" s="173"/>
      <c r="WFI54" s="173"/>
      <c r="WFJ54" s="172"/>
      <c r="WFK54" s="173"/>
      <c r="WFL54" s="173"/>
      <c r="WFM54" s="172"/>
      <c r="WFN54" s="173"/>
      <c r="WFO54" s="173"/>
      <c r="WFP54" s="172"/>
      <c r="WFQ54" s="173"/>
      <c r="WFR54" s="173"/>
      <c r="WFS54" s="172"/>
      <c r="WFT54" s="173"/>
      <c r="WFU54" s="173"/>
      <c r="WFV54" s="172"/>
      <c r="WFW54" s="173"/>
      <c r="WFX54" s="173"/>
      <c r="WFY54" s="172"/>
      <c r="WFZ54" s="173"/>
      <c r="WGA54" s="173"/>
      <c r="WGB54" s="172"/>
      <c r="WGC54" s="173"/>
      <c r="WGD54" s="173"/>
      <c r="WGE54" s="172"/>
      <c r="WGF54" s="173"/>
      <c r="WGG54" s="173"/>
      <c r="WGH54" s="172"/>
      <c r="WGI54" s="173"/>
      <c r="WGJ54" s="173"/>
      <c r="WGK54" s="172"/>
      <c r="WGL54" s="173"/>
      <c r="WGM54" s="173"/>
      <c r="WGN54" s="172"/>
      <c r="WGO54" s="173"/>
      <c r="WGP54" s="173"/>
      <c r="WGQ54" s="172"/>
      <c r="WGR54" s="173"/>
      <c r="WGS54" s="173"/>
      <c r="WGT54" s="172"/>
      <c r="WGU54" s="173"/>
      <c r="WGV54" s="173"/>
      <c r="WGW54" s="172"/>
      <c r="WGX54" s="173"/>
      <c r="WGY54" s="173"/>
      <c r="WGZ54" s="172"/>
      <c r="WHA54" s="173"/>
      <c r="WHB54" s="173"/>
      <c r="WHC54" s="172"/>
      <c r="WHD54" s="173"/>
      <c r="WHE54" s="173"/>
      <c r="WHF54" s="172"/>
      <c r="WHG54" s="173"/>
      <c r="WHH54" s="173"/>
      <c r="WHI54" s="172"/>
      <c r="WHJ54" s="173"/>
      <c r="WHK54" s="173"/>
      <c r="WHL54" s="172"/>
      <c r="WHM54" s="173"/>
      <c r="WHN54" s="173"/>
      <c r="WHO54" s="172"/>
      <c r="WHP54" s="173"/>
      <c r="WHQ54" s="173"/>
      <c r="WHR54" s="172"/>
      <c r="WHS54" s="173"/>
      <c r="WHT54" s="173"/>
      <c r="WHU54" s="172"/>
      <c r="WHV54" s="173"/>
      <c r="WHW54" s="173"/>
      <c r="WHX54" s="172"/>
      <c r="WHY54" s="173"/>
      <c r="WHZ54" s="173"/>
      <c r="WIA54" s="172"/>
      <c r="WIB54" s="173"/>
      <c r="WIC54" s="173"/>
      <c r="WID54" s="172"/>
      <c r="WIE54" s="173"/>
      <c r="WIF54" s="173"/>
      <c r="WIG54" s="172"/>
      <c r="WIH54" s="173"/>
      <c r="WII54" s="173"/>
      <c r="WIJ54" s="172"/>
      <c r="WIK54" s="173"/>
      <c r="WIL54" s="173"/>
      <c r="WIM54" s="172"/>
      <c r="WIN54" s="173"/>
      <c r="WIO54" s="173"/>
      <c r="WIP54" s="172"/>
      <c r="WIQ54" s="173"/>
      <c r="WIR54" s="173"/>
      <c r="WIS54" s="172"/>
      <c r="WIT54" s="173"/>
      <c r="WIU54" s="173"/>
      <c r="WIV54" s="172"/>
      <c r="WIW54" s="173"/>
      <c r="WIX54" s="173"/>
      <c r="WIY54" s="172"/>
      <c r="WIZ54" s="173"/>
      <c r="WJA54" s="173"/>
      <c r="WJB54" s="172"/>
      <c r="WJC54" s="173"/>
      <c r="WJD54" s="173"/>
      <c r="WJE54" s="172"/>
      <c r="WJF54" s="173"/>
      <c r="WJG54" s="173"/>
      <c r="WJH54" s="172"/>
      <c r="WJI54" s="173"/>
      <c r="WJJ54" s="173"/>
      <c r="WJK54" s="172"/>
      <c r="WJL54" s="173"/>
      <c r="WJM54" s="173"/>
      <c r="WJN54" s="172"/>
      <c r="WJO54" s="173"/>
      <c r="WJP54" s="173"/>
      <c r="WJQ54" s="172"/>
      <c r="WJR54" s="173"/>
      <c r="WJS54" s="173"/>
      <c r="WJT54" s="172"/>
      <c r="WJU54" s="173"/>
      <c r="WJV54" s="173"/>
      <c r="WJW54" s="172"/>
      <c r="WJX54" s="173"/>
      <c r="WJY54" s="173"/>
      <c r="WJZ54" s="172"/>
      <c r="WKA54" s="173"/>
      <c r="WKB54" s="173"/>
      <c r="WKC54" s="172"/>
      <c r="WKD54" s="173"/>
      <c r="WKE54" s="173"/>
      <c r="WKF54" s="172"/>
      <c r="WKG54" s="173"/>
      <c r="WKH54" s="173"/>
      <c r="WKI54" s="172"/>
      <c r="WKJ54" s="173"/>
      <c r="WKK54" s="173"/>
      <c r="WKL54" s="172"/>
      <c r="WKM54" s="173"/>
      <c r="WKN54" s="173"/>
      <c r="WKO54" s="172"/>
      <c r="WKP54" s="173"/>
      <c r="WKQ54" s="173"/>
      <c r="WKR54" s="172"/>
      <c r="WKS54" s="173"/>
      <c r="WKT54" s="173"/>
      <c r="WKU54" s="172"/>
      <c r="WKV54" s="173"/>
      <c r="WKW54" s="173"/>
      <c r="WKX54" s="172"/>
      <c r="WKY54" s="173"/>
      <c r="WKZ54" s="173"/>
      <c r="WLA54" s="172"/>
      <c r="WLB54" s="173"/>
      <c r="WLC54" s="173"/>
      <c r="WLD54" s="172"/>
      <c r="WLE54" s="173"/>
      <c r="WLF54" s="173"/>
      <c r="WLG54" s="172"/>
      <c r="WLH54" s="173"/>
      <c r="WLI54" s="173"/>
      <c r="WLJ54" s="172"/>
      <c r="WLK54" s="173"/>
      <c r="WLL54" s="173"/>
      <c r="WLM54" s="172"/>
      <c r="WLN54" s="173"/>
      <c r="WLO54" s="173"/>
      <c r="WLP54" s="172"/>
      <c r="WLQ54" s="173"/>
      <c r="WLR54" s="173"/>
      <c r="WLS54" s="172"/>
      <c r="WLT54" s="173"/>
      <c r="WLU54" s="173"/>
      <c r="WLV54" s="172"/>
      <c r="WLW54" s="173"/>
      <c r="WLX54" s="173"/>
      <c r="WLY54" s="172"/>
      <c r="WLZ54" s="173"/>
      <c r="WMA54" s="173"/>
      <c r="WMB54" s="172"/>
      <c r="WMC54" s="173"/>
      <c r="WMD54" s="173"/>
      <c r="WME54" s="172"/>
      <c r="WMF54" s="173"/>
      <c r="WMG54" s="173"/>
      <c r="WMH54" s="172"/>
      <c r="WMI54" s="173"/>
      <c r="WMJ54" s="173"/>
      <c r="WMK54" s="172"/>
      <c r="WML54" s="173"/>
      <c r="WMM54" s="173"/>
      <c r="WMN54" s="172"/>
      <c r="WMO54" s="173"/>
      <c r="WMP54" s="173"/>
      <c r="WMQ54" s="172"/>
      <c r="WMR54" s="173"/>
      <c r="WMS54" s="173"/>
      <c r="WMT54" s="172"/>
      <c r="WMU54" s="173"/>
      <c r="WMV54" s="173"/>
      <c r="WMW54" s="172"/>
      <c r="WMX54" s="173"/>
      <c r="WMY54" s="173"/>
      <c r="WMZ54" s="172"/>
      <c r="WNA54" s="173"/>
      <c r="WNB54" s="173"/>
      <c r="WNC54" s="172"/>
      <c r="WND54" s="173"/>
      <c r="WNE54" s="173"/>
      <c r="WNF54" s="172"/>
      <c r="WNG54" s="173"/>
      <c r="WNH54" s="173"/>
      <c r="WNI54" s="172"/>
      <c r="WNJ54" s="173"/>
      <c r="WNK54" s="173"/>
      <c r="WNL54" s="172"/>
      <c r="WNM54" s="173"/>
      <c r="WNN54" s="173"/>
      <c r="WNO54" s="172"/>
      <c r="WNP54" s="173"/>
      <c r="WNQ54" s="173"/>
      <c r="WNR54" s="172"/>
      <c r="WNS54" s="173"/>
      <c r="WNT54" s="173"/>
      <c r="WNU54" s="172"/>
      <c r="WNV54" s="173"/>
      <c r="WNW54" s="173"/>
      <c r="WNX54" s="172"/>
      <c r="WNY54" s="173"/>
      <c r="WNZ54" s="173"/>
      <c r="WOA54" s="172"/>
      <c r="WOB54" s="173"/>
      <c r="WOC54" s="173"/>
      <c r="WOD54" s="172"/>
      <c r="WOE54" s="173"/>
      <c r="WOF54" s="173"/>
      <c r="WOG54" s="172"/>
      <c r="WOH54" s="173"/>
      <c r="WOI54" s="173"/>
      <c r="WOJ54" s="172"/>
      <c r="WOK54" s="173"/>
      <c r="WOL54" s="173"/>
      <c r="WOM54" s="172"/>
      <c r="WON54" s="173"/>
      <c r="WOO54" s="173"/>
      <c r="WOP54" s="172"/>
      <c r="WOQ54" s="173"/>
      <c r="WOR54" s="173"/>
      <c r="WOS54" s="172"/>
      <c r="WOT54" s="173"/>
      <c r="WOU54" s="173"/>
      <c r="WOV54" s="172"/>
      <c r="WOW54" s="173"/>
      <c r="WOX54" s="173"/>
      <c r="WOY54" s="172"/>
      <c r="WOZ54" s="173"/>
      <c r="WPA54" s="173"/>
      <c r="WPB54" s="172"/>
      <c r="WPC54" s="173"/>
      <c r="WPD54" s="173"/>
      <c r="WPE54" s="172"/>
      <c r="WPF54" s="173"/>
      <c r="WPG54" s="173"/>
      <c r="WPH54" s="172"/>
      <c r="WPI54" s="173"/>
      <c r="WPJ54" s="173"/>
      <c r="WPK54" s="172"/>
      <c r="WPL54" s="173"/>
      <c r="WPM54" s="173"/>
      <c r="WPN54" s="172"/>
      <c r="WPO54" s="173"/>
      <c r="WPP54" s="173"/>
      <c r="WPQ54" s="172"/>
      <c r="WPR54" s="173"/>
      <c r="WPS54" s="173"/>
      <c r="WPT54" s="172"/>
      <c r="WPU54" s="173"/>
      <c r="WPV54" s="173"/>
      <c r="WPW54" s="172"/>
      <c r="WPX54" s="173"/>
      <c r="WPY54" s="173"/>
      <c r="WPZ54" s="172"/>
      <c r="WQA54" s="173"/>
      <c r="WQB54" s="173"/>
      <c r="WQC54" s="172"/>
      <c r="WQD54" s="173"/>
      <c r="WQE54" s="173"/>
      <c r="WQF54" s="172"/>
      <c r="WQG54" s="173"/>
      <c r="WQH54" s="173"/>
      <c r="WQI54" s="172"/>
      <c r="WQJ54" s="173"/>
      <c r="WQK54" s="173"/>
      <c r="WQL54" s="172"/>
      <c r="WQM54" s="173"/>
      <c r="WQN54" s="173"/>
      <c r="WQO54" s="172"/>
      <c r="WQP54" s="173"/>
      <c r="WQQ54" s="173"/>
      <c r="WQR54" s="172"/>
      <c r="WQS54" s="173"/>
      <c r="WQT54" s="173"/>
      <c r="WQU54" s="172"/>
      <c r="WQV54" s="173"/>
      <c r="WQW54" s="173"/>
      <c r="WQX54" s="172"/>
      <c r="WQY54" s="173"/>
      <c r="WQZ54" s="173"/>
      <c r="WRA54" s="172"/>
      <c r="WRB54" s="173"/>
      <c r="WRC54" s="173"/>
      <c r="WRD54" s="172"/>
      <c r="WRE54" s="173"/>
      <c r="WRF54" s="173"/>
      <c r="WRG54" s="172"/>
      <c r="WRH54" s="173"/>
      <c r="WRI54" s="173"/>
      <c r="WRJ54" s="172"/>
      <c r="WRK54" s="173"/>
      <c r="WRL54" s="173"/>
      <c r="WRM54" s="172"/>
      <c r="WRN54" s="173"/>
      <c r="WRO54" s="173"/>
      <c r="WRP54" s="172"/>
      <c r="WRQ54" s="173"/>
      <c r="WRR54" s="173"/>
      <c r="WRS54" s="172"/>
      <c r="WRT54" s="173"/>
      <c r="WRU54" s="173"/>
      <c r="WRV54" s="172"/>
      <c r="WRW54" s="173"/>
      <c r="WRX54" s="173"/>
      <c r="WRY54" s="172"/>
      <c r="WRZ54" s="173"/>
      <c r="WSA54" s="173"/>
      <c r="WSB54" s="172"/>
      <c r="WSC54" s="173"/>
      <c r="WSD54" s="173"/>
      <c r="WSE54" s="172"/>
      <c r="WSF54" s="173"/>
      <c r="WSG54" s="173"/>
      <c r="WSH54" s="172"/>
      <c r="WSI54" s="173"/>
      <c r="WSJ54" s="173"/>
      <c r="WSK54" s="172"/>
      <c r="WSL54" s="173"/>
      <c r="WSM54" s="173"/>
      <c r="WSN54" s="172"/>
      <c r="WSO54" s="173"/>
      <c r="WSP54" s="173"/>
      <c r="WSQ54" s="172"/>
      <c r="WSR54" s="173"/>
      <c r="WSS54" s="173"/>
      <c r="WST54" s="172"/>
      <c r="WSU54" s="173"/>
      <c r="WSV54" s="173"/>
      <c r="WSW54" s="172"/>
      <c r="WSX54" s="173"/>
      <c r="WSY54" s="173"/>
      <c r="WSZ54" s="172"/>
      <c r="WTA54" s="173"/>
      <c r="WTB54" s="173"/>
      <c r="WTC54" s="172"/>
      <c r="WTD54" s="173"/>
      <c r="WTE54" s="173"/>
      <c r="WTF54" s="172"/>
      <c r="WTG54" s="173"/>
      <c r="WTH54" s="173"/>
      <c r="WTI54" s="172"/>
      <c r="WTJ54" s="173"/>
      <c r="WTK54" s="173"/>
      <c r="WTL54" s="172"/>
      <c r="WTM54" s="173"/>
      <c r="WTN54" s="173"/>
      <c r="WTO54" s="172"/>
      <c r="WTP54" s="173"/>
      <c r="WTQ54" s="173"/>
      <c r="WTR54" s="172"/>
      <c r="WTS54" s="173"/>
      <c r="WTT54" s="173"/>
      <c r="WTU54" s="172"/>
      <c r="WTV54" s="173"/>
      <c r="WTW54" s="173"/>
      <c r="WTX54" s="172"/>
      <c r="WTY54" s="173"/>
      <c r="WTZ54" s="173"/>
      <c r="WUA54" s="172"/>
      <c r="WUB54" s="173"/>
      <c r="WUC54" s="173"/>
      <c r="WUD54" s="172"/>
      <c r="WUE54" s="173"/>
      <c r="WUF54" s="173"/>
      <c r="WUG54" s="172"/>
      <c r="WUH54" s="173"/>
      <c r="WUI54" s="173"/>
      <c r="WUJ54" s="172"/>
      <c r="WUK54" s="173"/>
      <c r="WUL54" s="173"/>
      <c r="WUM54" s="172"/>
      <c r="WUN54" s="173"/>
      <c r="WUO54" s="173"/>
      <c r="WUP54" s="172"/>
      <c r="WUQ54" s="173"/>
      <c r="WUR54" s="173"/>
      <c r="WUS54" s="172"/>
      <c r="WUT54" s="173"/>
      <c r="WUU54" s="173"/>
      <c r="WUV54" s="172"/>
      <c r="WUW54" s="173"/>
      <c r="WUX54" s="173"/>
      <c r="WUY54" s="172"/>
      <c r="WUZ54" s="173"/>
      <c r="WVA54" s="173"/>
      <c r="WVB54" s="172"/>
      <c r="WVC54" s="173"/>
      <c r="WVD54" s="173"/>
      <c r="WVE54" s="172"/>
      <c r="WVF54" s="173"/>
      <c r="WVG54" s="173"/>
      <c r="WVH54" s="172"/>
      <c r="WVI54" s="173"/>
      <c r="WVJ54" s="173"/>
      <c r="WVK54" s="172"/>
      <c r="WVL54" s="173"/>
      <c r="WVM54" s="173"/>
      <c r="WVN54" s="172"/>
      <c r="WVO54" s="173"/>
      <c r="WVP54" s="173"/>
      <c r="WVQ54" s="172"/>
      <c r="WVR54" s="173"/>
      <c r="WVS54" s="173"/>
      <c r="WVT54" s="172"/>
      <c r="WVU54" s="173"/>
      <c r="WVV54" s="173"/>
      <c r="WVW54" s="172"/>
      <c r="WVX54" s="173"/>
      <c r="WVY54" s="173"/>
      <c r="WVZ54" s="172"/>
      <c r="WWA54" s="173"/>
      <c r="WWB54" s="173"/>
      <c r="WWC54" s="172"/>
      <c r="WWD54" s="173"/>
      <c r="WWE54" s="173"/>
      <c r="WWF54" s="172"/>
      <c r="WWG54" s="173"/>
      <c r="WWH54" s="173"/>
      <c r="WWI54" s="172"/>
      <c r="WWJ54" s="173"/>
      <c r="WWK54" s="173"/>
      <c r="WWL54" s="172"/>
      <c r="WWM54" s="173"/>
      <c r="WWN54" s="173"/>
      <c r="WWO54" s="172"/>
      <c r="WWP54" s="173"/>
      <c r="WWQ54" s="173"/>
      <c r="WWR54" s="172"/>
      <c r="WWS54" s="173"/>
      <c r="WWT54" s="173"/>
      <c r="WWU54" s="172"/>
      <c r="WWV54" s="173"/>
      <c r="WWW54" s="173"/>
      <c r="WWX54" s="172"/>
      <c r="WWY54" s="173"/>
      <c r="WWZ54" s="173"/>
      <c r="WXA54" s="172"/>
      <c r="WXB54" s="173"/>
      <c r="WXC54" s="173"/>
      <c r="WXD54" s="172"/>
      <c r="WXE54" s="173"/>
      <c r="WXF54" s="173"/>
      <c r="WXG54" s="172"/>
      <c r="WXH54" s="173"/>
      <c r="WXI54" s="173"/>
      <c r="WXJ54" s="172"/>
      <c r="WXK54" s="173"/>
      <c r="WXL54" s="173"/>
      <c r="WXM54" s="172"/>
      <c r="WXN54" s="173"/>
      <c r="WXO54" s="173"/>
      <c r="WXP54" s="172"/>
      <c r="WXQ54" s="173"/>
      <c r="WXR54" s="173"/>
      <c r="WXS54" s="172"/>
      <c r="WXT54" s="173"/>
      <c r="WXU54" s="173"/>
      <c r="WXV54" s="172"/>
      <c r="WXW54" s="173"/>
      <c r="WXX54" s="173"/>
      <c r="WXY54" s="172"/>
      <c r="WXZ54" s="173"/>
      <c r="WYA54" s="173"/>
      <c r="WYB54" s="172"/>
      <c r="WYC54" s="173"/>
      <c r="WYD54" s="173"/>
      <c r="WYE54" s="172"/>
      <c r="WYF54" s="173"/>
      <c r="WYG54" s="173"/>
      <c r="WYH54" s="172"/>
      <c r="WYI54" s="173"/>
      <c r="WYJ54" s="173"/>
      <c r="WYK54" s="172"/>
      <c r="WYL54" s="173"/>
      <c r="WYM54" s="173"/>
      <c r="WYN54" s="172"/>
      <c r="WYO54" s="173"/>
      <c r="WYP54" s="173"/>
      <c r="WYQ54" s="172"/>
      <c r="WYR54" s="173"/>
      <c r="WYS54" s="173"/>
      <c r="WYT54" s="172"/>
      <c r="WYU54" s="173"/>
      <c r="WYV54" s="173"/>
      <c r="WYW54" s="172"/>
      <c r="WYX54" s="173"/>
      <c r="WYY54" s="173"/>
      <c r="WYZ54" s="172"/>
      <c r="WZA54" s="173"/>
      <c r="WZB54" s="173"/>
      <c r="WZC54" s="172"/>
      <c r="WZD54" s="173"/>
      <c r="WZE54" s="173"/>
      <c r="WZF54" s="172"/>
      <c r="WZG54" s="173"/>
      <c r="WZH54" s="173"/>
      <c r="WZI54" s="172"/>
      <c r="WZJ54" s="173"/>
      <c r="WZK54" s="173"/>
      <c r="WZL54" s="172"/>
      <c r="WZM54" s="173"/>
      <c r="WZN54" s="173"/>
      <c r="WZO54" s="172"/>
      <c r="WZP54" s="173"/>
      <c r="WZQ54" s="173"/>
      <c r="WZR54" s="172"/>
      <c r="WZS54" s="173"/>
      <c r="WZT54" s="173"/>
      <c r="WZU54" s="172"/>
      <c r="WZV54" s="173"/>
      <c r="WZW54" s="173"/>
      <c r="WZX54" s="172"/>
      <c r="WZY54" s="173"/>
      <c r="WZZ54" s="173"/>
      <c r="XAA54" s="172"/>
      <c r="XAB54" s="173"/>
      <c r="XAC54" s="173"/>
      <c r="XAD54" s="172"/>
      <c r="XAE54" s="173"/>
      <c r="XAF54" s="173"/>
      <c r="XAG54" s="172"/>
      <c r="XAH54" s="173"/>
      <c r="XAI54" s="173"/>
      <c r="XAJ54" s="172"/>
      <c r="XAK54" s="173"/>
      <c r="XAL54" s="173"/>
      <c r="XAM54" s="172"/>
      <c r="XAN54" s="173"/>
      <c r="XAO54" s="173"/>
      <c r="XAP54" s="172"/>
      <c r="XAQ54" s="173"/>
      <c r="XAR54" s="173"/>
      <c r="XAS54" s="172"/>
      <c r="XAT54" s="173"/>
      <c r="XAU54" s="173"/>
      <c r="XAV54" s="172"/>
      <c r="XAW54" s="173"/>
      <c r="XAX54" s="173"/>
      <c r="XAY54" s="172"/>
      <c r="XAZ54" s="173"/>
      <c r="XBA54" s="173"/>
      <c r="XBB54" s="172"/>
      <c r="XBC54" s="173"/>
      <c r="XBD54" s="173"/>
      <c r="XBE54" s="172"/>
      <c r="XBF54" s="173"/>
      <c r="XBG54" s="173"/>
      <c r="XBH54" s="172"/>
      <c r="XBI54" s="173"/>
      <c r="XBJ54" s="173"/>
      <c r="XBK54" s="172"/>
      <c r="XBL54" s="173"/>
      <c r="XBM54" s="173"/>
      <c r="XBN54" s="172"/>
      <c r="XBO54" s="173"/>
      <c r="XBP54" s="173"/>
      <c r="XBQ54" s="172"/>
      <c r="XBR54" s="173"/>
      <c r="XBS54" s="173"/>
      <c r="XBT54" s="172"/>
      <c r="XBU54" s="173"/>
      <c r="XBV54" s="173"/>
      <c r="XBW54" s="172"/>
      <c r="XBX54" s="173"/>
      <c r="XBY54" s="173"/>
      <c r="XBZ54" s="172"/>
      <c r="XCA54" s="173"/>
      <c r="XCB54" s="173"/>
      <c r="XCC54" s="172"/>
      <c r="XCD54" s="173"/>
      <c r="XCE54" s="173"/>
      <c r="XCF54" s="172"/>
      <c r="XCG54" s="173"/>
      <c r="XCH54" s="173"/>
      <c r="XCI54" s="172"/>
      <c r="XCJ54" s="173"/>
      <c r="XCK54" s="173"/>
      <c r="XCL54" s="172"/>
      <c r="XCM54" s="173"/>
      <c r="XCN54" s="173"/>
      <c r="XCO54" s="172"/>
      <c r="XCP54" s="173"/>
      <c r="XCQ54" s="173"/>
      <c r="XCR54" s="172"/>
      <c r="XCS54" s="173"/>
      <c r="XCT54" s="173"/>
      <c r="XCU54" s="172"/>
      <c r="XCV54" s="173"/>
      <c r="XCW54" s="173"/>
      <c r="XCX54" s="172"/>
      <c r="XCY54" s="173"/>
      <c r="XCZ54" s="173"/>
      <c r="XDA54" s="172"/>
      <c r="XDB54" s="173"/>
      <c r="XDC54" s="173"/>
      <c r="XDD54" s="172"/>
      <c r="XDE54" s="173"/>
      <c r="XDF54" s="173"/>
      <c r="XDG54" s="172"/>
      <c r="XDH54" s="173"/>
      <c r="XDI54" s="173"/>
      <c r="XDJ54" s="172"/>
      <c r="XDK54" s="173"/>
      <c r="XDL54" s="173"/>
      <c r="XDM54" s="172"/>
      <c r="XDN54" s="173"/>
      <c r="XDO54" s="173"/>
      <c r="XDP54" s="172"/>
      <c r="XDQ54" s="173"/>
      <c r="XDR54" s="173"/>
      <c r="XDS54" s="172"/>
      <c r="XDT54" s="173"/>
      <c r="XDU54" s="173"/>
      <c r="XDV54" s="172"/>
      <c r="XDW54" s="173"/>
      <c r="XDX54" s="173"/>
      <c r="XDY54" s="172"/>
      <c r="XDZ54" s="173"/>
      <c r="XEA54" s="173"/>
      <c r="XEB54" s="172"/>
      <c r="XEC54" s="173"/>
      <c r="XED54" s="173"/>
      <c r="XEE54" s="172"/>
      <c r="XEF54" s="173"/>
      <c r="XEG54" s="173"/>
      <c r="XEH54" s="172"/>
      <c r="XEI54" s="173"/>
      <c r="XEJ54" s="173"/>
      <c r="XEK54" s="172"/>
      <c r="XEL54" s="173"/>
      <c r="XEM54" s="173"/>
      <c r="XEN54" s="172"/>
      <c r="XEO54" s="173"/>
      <c r="XEP54" s="173"/>
      <c r="XEQ54" s="172"/>
      <c r="XER54" s="173"/>
      <c r="XES54" s="173"/>
      <c r="XET54" s="172"/>
      <c r="XEU54" s="173"/>
      <c r="XEV54" s="173"/>
      <c r="XEW54" s="172"/>
      <c r="XEX54" s="173"/>
      <c r="XEY54" s="173"/>
      <c r="XEZ54" s="172"/>
    </row>
    <row r="55" spans="1:16380" x14ac:dyDescent="0.25">
      <c r="A55" s="195"/>
      <c r="B55" s="173"/>
      <c r="C55" s="170"/>
      <c r="D55" s="184"/>
      <c r="E55" s="184"/>
      <c r="F55" s="184"/>
      <c r="G55" s="184"/>
      <c r="H55" s="170"/>
      <c r="K55" s="170"/>
    </row>
    <row r="56" spans="1:16380" ht="20.25" customHeight="1" x14ac:dyDescent="0.25">
      <c r="A56" s="138" t="s">
        <v>285</v>
      </c>
      <c r="B56" s="170" t="s">
        <v>286</v>
      </c>
      <c r="C56" s="170"/>
      <c r="D56" s="184"/>
      <c r="E56" s="184"/>
      <c r="F56" s="184"/>
      <c r="G56" s="184"/>
      <c r="H56" s="170"/>
      <c r="K56" s="170"/>
    </row>
    <row r="57" spans="1:16380" ht="24.95" customHeight="1" x14ac:dyDescent="0.25">
      <c r="A57" s="172"/>
      <c r="B57" s="196"/>
      <c r="C57" s="197"/>
      <c r="D57" s="197"/>
      <c r="E57" s="197"/>
      <c r="F57" s="197"/>
      <c r="G57" s="197"/>
      <c r="H57" s="197"/>
      <c r="K57" s="197"/>
    </row>
    <row r="58" spans="1:16380" x14ac:dyDescent="0.25">
      <c r="A58" s="172" t="s">
        <v>294</v>
      </c>
      <c r="B58" s="35"/>
      <c r="J58" s="50"/>
    </row>
    <row r="59" spans="1:16380" ht="31.5" customHeight="1" x14ac:dyDescent="0.25">
      <c r="A59" s="478"/>
      <c r="B59" s="478"/>
      <c r="C59" s="478"/>
      <c r="D59" s="478"/>
      <c r="E59" s="478"/>
      <c r="F59" s="478"/>
      <c r="G59" s="478"/>
      <c r="H59" s="478"/>
      <c r="I59" s="478"/>
      <c r="J59" s="478"/>
      <c r="K59" s="478"/>
    </row>
    <row r="60" spans="1:16380" ht="35.25" customHeight="1" x14ac:dyDescent="0.25"/>
    <row r="61" spans="1:16380" x14ac:dyDescent="0.25">
      <c r="A61" s="188"/>
      <c r="B61" s="159"/>
      <c r="C61" s="159"/>
      <c r="D61" s="159"/>
      <c r="E61" s="159"/>
      <c r="F61" s="159"/>
      <c r="G61" s="159"/>
      <c r="H61" s="159"/>
      <c r="K61" s="159"/>
    </row>
    <row r="62" spans="1:16380" x14ac:dyDescent="0.25">
      <c r="A62" s="172"/>
      <c r="B62" s="173"/>
      <c r="C62" s="172"/>
      <c r="D62" s="172"/>
      <c r="E62" s="172"/>
      <c r="F62" s="172"/>
      <c r="G62" s="172"/>
      <c r="H62" s="173"/>
      <c r="K62" s="173"/>
    </row>
    <row r="63" spans="1:16380" x14ac:dyDescent="0.25">
      <c r="A63" s="172"/>
      <c r="B63" s="173"/>
      <c r="C63" s="172"/>
      <c r="D63" s="172"/>
      <c r="E63" s="172"/>
      <c r="F63" s="172"/>
      <c r="G63" s="172"/>
      <c r="H63" s="173"/>
      <c r="K63" s="173"/>
    </row>
    <row r="64" spans="1:16380" x14ac:dyDescent="0.25">
      <c r="A64" s="172"/>
      <c r="B64" s="198"/>
      <c r="C64" s="172"/>
      <c r="D64" s="172"/>
      <c r="E64" s="172"/>
      <c r="F64" s="172"/>
      <c r="G64" s="172"/>
      <c r="H64" s="173"/>
      <c r="K64" s="198"/>
    </row>
    <row r="65" spans="1:11" x14ac:dyDescent="0.25">
      <c r="A65" s="172"/>
      <c r="B65" s="198"/>
      <c r="C65" s="172"/>
      <c r="D65" s="172"/>
      <c r="E65" s="172"/>
      <c r="F65" s="172"/>
      <c r="G65" s="172"/>
      <c r="K65" s="198"/>
    </row>
    <row r="68" spans="1:11" x14ac:dyDescent="0.25">
      <c r="A68" s="2"/>
    </row>
    <row r="69" spans="1:11" x14ac:dyDescent="0.25">
      <c r="A69" s="2"/>
    </row>
    <row r="70" spans="1:11" x14ac:dyDescent="0.25">
      <c r="A70" s="2"/>
    </row>
    <row r="71" spans="1:11" x14ac:dyDescent="0.25">
      <c r="A71" s="2"/>
    </row>
    <row r="72" spans="1:11" x14ac:dyDescent="0.25">
      <c r="A72" s="2"/>
    </row>
    <row r="73" spans="1:11" x14ac:dyDescent="0.25">
      <c r="A73" s="2"/>
    </row>
    <row r="74" spans="1:11" x14ac:dyDescent="0.25">
      <c r="A74" s="2"/>
    </row>
    <row r="75" spans="1:11" x14ac:dyDescent="0.25">
      <c r="A75" s="2"/>
    </row>
  </sheetData>
  <sheetProtection password="FA05" sheet="1" selectLockedCells="1"/>
  <mergeCells count="6">
    <mergeCell ref="H11:I11"/>
    <mergeCell ref="A9:B10"/>
    <mergeCell ref="A59:K59"/>
    <mergeCell ref="E6:F6"/>
    <mergeCell ref="J11:K11"/>
    <mergeCell ref="H10:K10"/>
  </mergeCells>
  <printOptions horizontalCentered="1"/>
  <pageMargins left="0.59055118110236227" right="0.59055118110236227" top="0.78740157480314965" bottom="0.78740157480314965" header="0.31496062992125984" footer="0.31496062992125984"/>
  <pageSetup paperSize="9" scale="66" orientation="portrait" r:id="rId1"/>
  <headerFooter>
    <oddFooter>&amp;L&amp;D&amp;R&amp;F/&amp;A</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5">
    <tabColor rgb="FF92D050"/>
    <pageSetUpPr fitToPage="1"/>
  </sheetPr>
  <dimension ref="A1:XFC45"/>
  <sheetViews>
    <sheetView topLeftCell="A13" zoomScale="145" zoomScaleNormal="145" zoomScaleSheetLayoutView="115" workbookViewId="0">
      <selection activeCell="C22" sqref="C22"/>
    </sheetView>
  </sheetViews>
  <sheetFormatPr baseColWidth="10" defaultRowHeight="15" x14ac:dyDescent="0.25"/>
  <cols>
    <col min="1" max="1" width="51.7109375" style="404" customWidth="1"/>
    <col min="2" max="2" width="19" style="404" customWidth="1"/>
    <col min="3" max="3" width="16.42578125" style="407" customWidth="1"/>
    <col min="4" max="4" width="4" style="404" customWidth="1"/>
    <col min="5" max="5" width="31.28515625" style="404" customWidth="1"/>
    <col min="6" max="6" width="20.28515625" style="404" customWidth="1"/>
    <col min="7" max="7" width="13.85546875" style="404" customWidth="1"/>
    <col min="8" max="16384" width="11.42578125" style="404"/>
  </cols>
  <sheetData>
    <row r="1" spans="1:16383" x14ac:dyDescent="0.25">
      <c r="A1" s="404" t="s">
        <v>0</v>
      </c>
      <c r="C1" s="405" t="s">
        <v>217</v>
      </c>
    </row>
    <row r="3" spans="1:16383" ht="23.25" x14ac:dyDescent="0.35">
      <c r="A3" s="406" t="s">
        <v>141</v>
      </c>
    </row>
    <row r="4" spans="1:16383" ht="23.25" x14ac:dyDescent="0.35">
      <c r="A4" s="406"/>
      <c r="C4" s="408" t="str">
        <f>Version</f>
        <v>Version 2025/2</v>
      </c>
    </row>
    <row r="5" spans="1:16383" ht="18.75" x14ac:dyDescent="0.3">
      <c r="A5" s="409" t="s">
        <v>10</v>
      </c>
      <c r="B5" s="409"/>
      <c r="C5" s="410" t="str">
        <f>'A_ Personal'!D8</f>
        <v>Name</v>
      </c>
      <c r="D5" s="411"/>
    </row>
    <row r="6" spans="1:16383" ht="18.75" x14ac:dyDescent="0.3">
      <c r="A6" s="409" t="s">
        <v>11</v>
      </c>
      <c r="B6" s="409"/>
      <c r="C6" s="452">
        <f>akjahr</f>
        <v>2025</v>
      </c>
      <c r="D6" s="411"/>
    </row>
    <row r="8" spans="1:16383" s="415" customFormat="1" ht="23.25" x14ac:dyDescent="0.35">
      <c r="A8" s="412" t="s">
        <v>220</v>
      </c>
      <c r="B8" s="413"/>
      <c r="C8" s="414"/>
      <c r="H8" s="416"/>
      <c r="I8" s="416"/>
      <c r="J8" s="416"/>
      <c r="K8" s="416"/>
      <c r="L8" s="416"/>
      <c r="M8" s="416"/>
    </row>
    <row r="10" spans="1:16383" s="405" customFormat="1" ht="18.75" x14ac:dyDescent="0.3">
      <c r="A10" s="417" t="s">
        <v>129</v>
      </c>
      <c r="B10" s="418"/>
      <c r="C10" s="419"/>
      <c r="H10" s="420"/>
      <c r="I10" s="420"/>
      <c r="J10" s="420"/>
      <c r="K10" s="420"/>
      <c r="L10" s="420"/>
      <c r="M10" s="420"/>
    </row>
    <row r="12" spans="1:16383" s="424" customFormat="1" ht="30.75" customHeight="1" x14ac:dyDescent="0.25">
      <c r="A12" s="421" t="s">
        <v>115</v>
      </c>
      <c r="B12" s="422" t="s">
        <v>216</v>
      </c>
      <c r="C12" s="423" t="s">
        <v>218</v>
      </c>
      <c r="D12" s="420"/>
      <c r="I12" s="425"/>
      <c r="J12" s="425"/>
      <c r="K12" s="425"/>
      <c r="L12" s="425"/>
      <c r="M12" s="425"/>
      <c r="N12" s="425"/>
      <c r="O12" s="425"/>
      <c r="P12" s="425"/>
      <c r="Q12" s="425"/>
      <c r="R12" s="425"/>
      <c r="S12" s="425"/>
      <c r="T12" s="425"/>
      <c r="U12" s="425"/>
      <c r="V12" s="425"/>
      <c r="W12" s="425"/>
      <c r="X12" s="425"/>
      <c r="Y12" s="425"/>
      <c r="Z12" s="425"/>
      <c r="AA12" s="425"/>
      <c r="AB12" s="425"/>
      <c r="AC12" s="425"/>
      <c r="AD12" s="425"/>
      <c r="AE12" s="425"/>
      <c r="AF12" s="425"/>
      <c r="AG12" s="425"/>
      <c r="AH12" s="425"/>
      <c r="AI12" s="425"/>
      <c r="AJ12" s="425"/>
      <c r="AK12" s="425"/>
      <c r="AL12" s="425"/>
      <c r="AM12" s="425"/>
      <c r="AN12" s="425"/>
      <c r="AO12" s="425"/>
      <c r="AP12" s="425"/>
      <c r="AQ12" s="425"/>
      <c r="AR12" s="425"/>
      <c r="AS12" s="425"/>
      <c r="AT12" s="425"/>
      <c r="AU12" s="425"/>
      <c r="AV12" s="425"/>
      <c r="AW12" s="425"/>
      <c r="AX12" s="425"/>
      <c r="AY12" s="425"/>
      <c r="AZ12" s="425"/>
      <c r="BA12" s="425"/>
      <c r="BB12" s="425"/>
      <c r="BC12" s="425"/>
      <c r="BD12" s="425"/>
      <c r="BE12" s="425"/>
      <c r="BF12" s="425"/>
      <c r="BG12" s="425"/>
      <c r="BH12" s="425"/>
      <c r="BI12" s="425"/>
      <c r="BJ12" s="425"/>
      <c r="BK12" s="425"/>
      <c r="BL12" s="425"/>
      <c r="BM12" s="425"/>
      <c r="BN12" s="425"/>
      <c r="BO12" s="425"/>
      <c r="BP12" s="425"/>
      <c r="BQ12" s="425"/>
      <c r="BR12" s="425"/>
      <c r="BS12" s="425"/>
      <c r="BT12" s="425"/>
      <c r="BU12" s="425"/>
      <c r="BV12" s="425"/>
      <c r="BW12" s="425"/>
      <c r="BX12" s="425"/>
      <c r="BY12" s="425"/>
      <c r="BZ12" s="425"/>
      <c r="CA12" s="425"/>
      <c r="CB12" s="425"/>
      <c r="CC12" s="425"/>
      <c r="CD12" s="425"/>
      <c r="CE12" s="425"/>
      <c r="CF12" s="425"/>
      <c r="CG12" s="425"/>
      <c r="CH12" s="425"/>
      <c r="CI12" s="425"/>
      <c r="CJ12" s="425"/>
      <c r="CK12" s="425"/>
      <c r="CL12" s="425"/>
      <c r="CM12" s="425"/>
      <c r="CN12" s="425"/>
      <c r="CO12" s="425"/>
      <c r="CP12" s="425"/>
      <c r="CQ12" s="425"/>
      <c r="CR12" s="425"/>
      <c r="CS12" s="425"/>
      <c r="CT12" s="425"/>
      <c r="CU12" s="425"/>
      <c r="CV12" s="425"/>
      <c r="CW12" s="425"/>
      <c r="CX12" s="425"/>
      <c r="CY12" s="425"/>
      <c r="CZ12" s="425"/>
      <c r="DA12" s="425"/>
      <c r="DB12" s="425"/>
      <c r="DC12" s="425"/>
      <c r="DD12" s="425"/>
      <c r="DE12" s="425"/>
      <c r="DF12" s="425"/>
      <c r="DG12" s="425"/>
      <c r="DH12" s="425"/>
      <c r="DI12" s="425"/>
      <c r="DJ12" s="425"/>
      <c r="DK12" s="425"/>
      <c r="DL12" s="425"/>
      <c r="DM12" s="425"/>
      <c r="DN12" s="425"/>
      <c r="DO12" s="425"/>
      <c r="DP12" s="425"/>
      <c r="DQ12" s="425"/>
      <c r="DR12" s="425"/>
      <c r="DS12" s="425"/>
      <c r="DT12" s="425"/>
      <c r="DU12" s="425"/>
      <c r="DV12" s="425"/>
      <c r="DW12" s="425"/>
      <c r="DX12" s="425"/>
      <c r="DY12" s="425"/>
      <c r="DZ12" s="425"/>
      <c r="EA12" s="425"/>
      <c r="EB12" s="425"/>
      <c r="EC12" s="425"/>
      <c r="ED12" s="425"/>
      <c r="EE12" s="425"/>
      <c r="EF12" s="425"/>
      <c r="EG12" s="425"/>
      <c r="EH12" s="425"/>
      <c r="EI12" s="425"/>
      <c r="EJ12" s="425"/>
      <c r="EK12" s="425"/>
      <c r="EL12" s="425"/>
      <c r="EM12" s="425"/>
      <c r="EN12" s="425"/>
      <c r="EO12" s="425"/>
      <c r="EP12" s="425"/>
      <c r="EQ12" s="425"/>
      <c r="ER12" s="425"/>
      <c r="ES12" s="425"/>
      <c r="ET12" s="425"/>
      <c r="EU12" s="425"/>
      <c r="EV12" s="425"/>
      <c r="EW12" s="425"/>
      <c r="EX12" s="425"/>
      <c r="EY12" s="425"/>
      <c r="EZ12" s="425"/>
      <c r="FA12" s="425"/>
      <c r="FB12" s="425"/>
      <c r="FC12" s="425"/>
      <c r="FD12" s="425"/>
      <c r="FE12" s="425"/>
      <c r="FF12" s="425"/>
      <c r="FG12" s="425"/>
      <c r="FH12" s="425"/>
      <c r="FI12" s="425"/>
      <c r="FJ12" s="425"/>
      <c r="FK12" s="425"/>
      <c r="FL12" s="425"/>
      <c r="FM12" s="425"/>
      <c r="FN12" s="425"/>
      <c r="FO12" s="425"/>
      <c r="FP12" s="425"/>
      <c r="FQ12" s="425"/>
      <c r="FR12" s="425"/>
      <c r="FS12" s="425"/>
      <c r="FT12" s="425"/>
      <c r="FU12" s="425"/>
      <c r="FV12" s="425"/>
      <c r="FW12" s="425"/>
      <c r="FX12" s="425"/>
      <c r="FY12" s="425"/>
      <c r="FZ12" s="425"/>
      <c r="GA12" s="425"/>
      <c r="GB12" s="425"/>
      <c r="GC12" s="425"/>
      <c r="GD12" s="425"/>
      <c r="GE12" s="425"/>
      <c r="GF12" s="425"/>
      <c r="GG12" s="425"/>
      <c r="GH12" s="425"/>
      <c r="GI12" s="425"/>
      <c r="GJ12" s="425"/>
      <c r="GK12" s="425"/>
      <c r="GL12" s="425"/>
      <c r="GM12" s="425"/>
      <c r="GN12" s="425"/>
      <c r="GO12" s="425"/>
      <c r="GP12" s="425"/>
      <c r="GQ12" s="425"/>
      <c r="GR12" s="425"/>
      <c r="GS12" s="425"/>
      <c r="GT12" s="425"/>
      <c r="GU12" s="425"/>
      <c r="GV12" s="425"/>
      <c r="GW12" s="425"/>
      <c r="GX12" s="425"/>
      <c r="GY12" s="425"/>
      <c r="GZ12" s="425"/>
      <c r="HA12" s="425"/>
      <c r="HB12" s="425"/>
      <c r="HC12" s="425"/>
      <c r="HD12" s="425"/>
      <c r="HE12" s="425"/>
      <c r="HF12" s="425"/>
      <c r="HG12" s="425"/>
      <c r="HH12" s="425"/>
      <c r="HI12" s="425"/>
      <c r="HJ12" s="425"/>
      <c r="HK12" s="425"/>
      <c r="HL12" s="425"/>
      <c r="HM12" s="425"/>
      <c r="HN12" s="425"/>
      <c r="HO12" s="425"/>
      <c r="HP12" s="425"/>
      <c r="HQ12" s="425"/>
      <c r="HR12" s="425"/>
      <c r="HS12" s="425"/>
      <c r="HT12" s="425"/>
      <c r="HU12" s="425"/>
      <c r="HV12" s="425"/>
      <c r="HW12" s="425"/>
      <c r="HX12" s="425"/>
      <c r="HY12" s="425"/>
      <c r="HZ12" s="425"/>
      <c r="IA12" s="425"/>
      <c r="IB12" s="425"/>
      <c r="IC12" s="425"/>
      <c r="ID12" s="425"/>
      <c r="IE12" s="425"/>
      <c r="IF12" s="425"/>
      <c r="IG12" s="425"/>
      <c r="IH12" s="425"/>
      <c r="II12" s="425"/>
      <c r="IJ12" s="425"/>
      <c r="IK12" s="425"/>
      <c r="IL12" s="425"/>
      <c r="IM12" s="425"/>
      <c r="IN12" s="425"/>
      <c r="IO12" s="425"/>
      <c r="IP12" s="425"/>
      <c r="IQ12" s="425"/>
      <c r="IR12" s="425"/>
      <c r="IS12" s="425"/>
      <c r="IT12" s="425"/>
      <c r="IU12" s="425"/>
      <c r="IV12" s="425"/>
      <c r="IW12" s="425"/>
      <c r="IX12" s="425"/>
      <c r="IY12" s="425"/>
      <c r="IZ12" s="425"/>
      <c r="JA12" s="425"/>
      <c r="JB12" s="425"/>
      <c r="JC12" s="425"/>
      <c r="JD12" s="425"/>
      <c r="JE12" s="425"/>
      <c r="JF12" s="425"/>
      <c r="JG12" s="425"/>
      <c r="JH12" s="425"/>
      <c r="JI12" s="425"/>
      <c r="JJ12" s="425"/>
      <c r="JK12" s="425"/>
      <c r="JL12" s="425"/>
      <c r="JM12" s="425"/>
      <c r="JN12" s="425"/>
      <c r="JO12" s="425"/>
      <c r="JP12" s="425"/>
      <c r="JQ12" s="425"/>
      <c r="JR12" s="425"/>
      <c r="JS12" s="425"/>
      <c r="JT12" s="425"/>
      <c r="JU12" s="425"/>
      <c r="JV12" s="425"/>
      <c r="JW12" s="425"/>
      <c r="JX12" s="425"/>
      <c r="JY12" s="425"/>
      <c r="JZ12" s="425"/>
      <c r="KA12" s="425"/>
      <c r="KB12" s="425"/>
      <c r="KC12" s="425"/>
      <c r="KD12" s="425"/>
      <c r="KE12" s="425"/>
      <c r="KF12" s="425"/>
      <c r="KG12" s="425"/>
      <c r="KH12" s="425"/>
      <c r="KI12" s="425"/>
      <c r="KJ12" s="425"/>
      <c r="KK12" s="425"/>
      <c r="KL12" s="425"/>
      <c r="KM12" s="425"/>
      <c r="KN12" s="425"/>
      <c r="KO12" s="425"/>
      <c r="KP12" s="425"/>
      <c r="KQ12" s="425"/>
      <c r="KR12" s="425"/>
      <c r="KS12" s="425"/>
      <c r="KT12" s="425"/>
      <c r="KU12" s="425"/>
      <c r="KV12" s="425"/>
      <c r="KW12" s="425"/>
      <c r="KX12" s="425"/>
      <c r="KY12" s="425"/>
      <c r="KZ12" s="425"/>
      <c r="LA12" s="425"/>
      <c r="LB12" s="425"/>
      <c r="LC12" s="425"/>
      <c r="LD12" s="425"/>
      <c r="LE12" s="425"/>
      <c r="LF12" s="425"/>
      <c r="LG12" s="425"/>
      <c r="LH12" s="425"/>
      <c r="LI12" s="425"/>
      <c r="LJ12" s="425"/>
      <c r="LK12" s="425"/>
      <c r="LL12" s="425"/>
      <c r="LM12" s="425"/>
      <c r="LN12" s="425"/>
      <c r="LO12" s="425"/>
      <c r="LP12" s="425"/>
      <c r="LQ12" s="425"/>
      <c r="LR12" s="425"/>
      <c r="LS12" s="425"/>
      <c r="LT12" s="425"/>
      <c r="LU12" s="425"/>
      <c r="LV12" s="425"/>
      <c r="LW12" s="425"/>
      <c r="LX12" s="425"/>
      <c r="LY12" s="425"/>
      <c r="LZ12" s="425"/>
      <c r="MA12" s="425"/>
      <c r="MB12" s="425"/>
      <c r="MC12" s="425"/>
      <c r="MD12" s="425"/>
      <c r="ME12" s="425"/>
      <c r="MF12" s="425"/>
      <c r="MG12" s="425"/>
      <c r="MH12" s="425"/>
      <c r="MI12" s="425"/>
      <c r="MJ12" s="425"/>
      <c r="MK12" s="425"/>
      <c r="ML12" s="425"/>
      <c r="MM12" s="425"/>
      <c r="MN12" s="425"/>
      <c r="MO12" s="425"/>
      <c r="MP12" s="425"/>
      <c r="MQ12" s="425"/>
      <c r="MR12" s="425"/>
      <c r="MS12" s="425"/>
      <c r="MT12" s="425"/>
      <c r="MU12" s="425"/>
      <c r="MV12" s="425"/>
      <c r="MW12" s="425"/>
      <c r="MX12" s="425"/>
      <c r="MY12" s="425"/>
      <c r="MZ12" s="425"/>
      <c r="NA12" s="425"/>
      <c r="NB12" s="425"/>
      <c r="NC12" s="425"/>
      <c r="ND12" s="425"/>
      <c r="NE12" s="425"/>
      <c r="NF12" s="425"/>
      <c r="NG12" s="425"/>
      <c r="NH12" s="425"/>
      <c r="NI12" s="425"/>
      <c r="NJ12" s="425"/>
      <c r="NK12" s="425"/>
      <c r="NL12" s="425"/>
      <c r="NM12" s="425"/>
      <c r="NN12" s="425"/>
      <c r="NO12" s="425"/>
      <c r="NP12" s="425"/>
      <c r="NQ12" s="425"/>
      <c r="NR12" s="425"/>
      <c r="NS12" s="425"/>
      <c r="NT12" s="425"/>
      <c r="NU12" s="425"/>
      <c r="NV12" s="425"/>
      <c r="NW12" s="425"/>
      <c r="NX12" s="425"/>
      <c r="NY12" s="425"/>
      <c r="NZ12" s="425"/>
      <c r="OA12" s="425"/>
      <c r="OB12" s="425"/>
      <c r="OC12" s="425"/>
      <c r="OD12" s="425"/>
      <c r="OE12" s="425"/>
      <c r="OF12" s="425"/>
      <c r="OG12" s="425"/>
      <c r="OH12" s="425"/>
      <c r="OI12" s="425"/>
      <c r="OJ12" s="425"/>
      <c r="OK12" s="425"/>
      <c r="OL12" s="425"/>
      <c r="OM12" s="425"/>
      <c r="ON12" s="425"/>
      <c r="OO12" s="425"/>
      <c r="OP12" s="425"/>
      <c r="OQ12" s="425"/>
      <c r="OR12" s="425"/>
      <c r="OS12" s="425"/>
      <c r="OT12" s="425"/>
      <c r="OU12" s="425"/>
      <c r="OV12" s="425"/>
      <c r="OW12" s="425"/>
      <c r="OX12" s="425"/>
      <c r="OY12" s="425"/>
      <c r="OZ12" s="425"/>
      <c r="PA12" s="425"/>
      <c r="PB12" s="425"/>
      <c r="PC12" s="425"/>
      <c r="PD12" s="425"/>
      <c r="PE12" s="425"/>
      <c r="PF12" s="425"/>
      <c r="PG12" s="425"/>
      <c r="PH12" s="425"/>
      <c r="PI12" s="425"/>
      <c r="PJ12" s="425"/>
      <c r="PK12" s="425"/>
      <c r="PL12" s="425"/>
      <c r="PM12" s="425"/>
      <c r="PN12" s="425"/>
      <c r="PO12" s="425"/>
      <c r="PP12" s="425"/>
      <c r="PQ12" s="425"/>
      <c r="PR12" s="425"/>
      <c r="PS12" s="425"/>
      <c r="PT12" s="425"/>
      <c r="PU12" s="425"/>
      <c r="PV12" s="425"/>
      <c r="PW12" s="425"/>
      <c r="PX12" s="425"/>
      <c r="PY12" s="425"/>
      <c r="PZ12" s="425"/>
      <c r="QA12" s="425"/>
      <c r="QB12" s="425"/>
      <c r="QC12" s="425"/>
      <c r="QD12" s="425"/>
      <c r="QE12" s="425"/>
      <c r="QF12" s="425"/>
      <c r="QG12" s="425"/>
      <c r="QH12" s="425"/>
      <c r="QI12" s="425"/>
      <c r="QJ12" s="425"/>
      <c r="QK12" s="425"/>
      <c r="QL12" s="425"/>
      <c r="QM12" s="425"/>
      <c r="QN12" s="425"/>
      <c r="QO12" s="425"/>
      <c r="QP12" s="425"/>
      <c r="QQ12" s="425"/>
      <c r="QR12" s="425"/>
      <c r="QS12" s="425"/>
      <c r="QT12" s="425"/>
      <c r="QU12" s="425"/>
      <c r="QV12" s="425"/>
      <c r="QW12" s="425"/>
      <c r="QX12" s="425"/>
      <c r="QY12" s="425"/>
      <c r="QZ12" s="425"/>
      <c r="RA12" s="425"/>
      <c r="RB12" s="425"/>
      <c r="RC12" s="425"/>
      <c r="RD12" s="425"/>
      <c r="RE12" s="425"/>
      <c r="RF12" s="425"/>
      <c r="RG12" s="425"/>
      <c r="RH12" s="425"/>
      <c r="RI12" s="425"/>
      <c r="RJ12" s="425"/>
      <c r="RK12" s="425"/>
      <c r="RL12" s="425"/>
      <c r="RM12" s="425"/>
      <c r="RN12" s="425"/>
      <c r="RO12" s="425"/>
      <c r="RP12" s="425"/>
      <c r="RQ12" s="425"/>
      <c r="RR12" s="425"/>
      <c r="RS12" s="425"/>
      <c r="RT12" s="425"/>
      <c r="RU12" s="425"/>
      <c r="RV12" s="425"/>
      <c r="RW12" s="425"/>
      <c r="RX12" s="425"/>
      <c r="RY12" s="425"/>
      <c r="RZ12" s="425"/>
      <c r="SA12" s="425"/>
      <c r="SB12" s="425"/>
      <c r="SC12" s="425"/>
      <c r="SD12" s="425"/>
      <c r="SE12" s="425"/>
      <c r="SF12" s="425"/>
      <c r="SG12" s="425"/>
      <c r="SH12" s="425"/>
      <c r="SI12" s="425"/>
      <c r="SJ12" s="425"/>
      <c r="SK12" s="425"/>
      <c r="SL12" s="425"/>
      <c r="SM12" s="425"/>
      <c r="SN12" s="425"/>
      <c r="SO12" s="425"/>
      <c r="SP12" s="425"/>
      <c r="SQ12" s="425"/>
      <c r="SR12" s="425"/>
      <c r="SS12" s="425"/>
      <c r="ST12" s="425"/>
      <c r="SU12" s="425"/>
      <c r="SV12" s="425"/>
      <c r="SW12" s="425"/>
      <c r="SX12" s="425"/>
      <c r="SY12" s="425"/>
      <c r="SZ12" s="425"/>
      <c r="TA12" s="425"/>
      <c r="TB12" s="425"/>
      <c r="TC12" s="425"/>
      <c r="TD12" s="425"/>
      <c r="TE12" s="425"/>
      <c r="TF12" s="425"/>
      <c r="TG12" s="425"/>
      <c r="TH12" s="425"/>
      <c r="TI12" s="425"/>
      <c r="TJ12" s="425"/>
      <c r="TK12" s="425"/>
      <c r="TL12" s="425"/>
      <c r="TM12" s="425"/>
      <c r="TN12" s="425"/>
      <c r="TO12" s="425"/>
      <c r="TP12" s="425"/>
      <c r="TQ12" s="425"/>
      <c r="TR12" s="425"/>
      <c r="TS12" s="425"/>
      <c r="TT12" s="425"/>
      <c r="TU12" s="425"/>
      <c r="TV12" s="425"/>
      <c r="TW12" s="425"/>
      <c r="TX12" s="425"/>
      <c r="TY12" s="425"/>
      <c r="TZ12" s="425"/>
      <c r="UA12" s="425"/>
      <c r="UB12" s="425"/>
      <c r="UC12" s="425"/>
      <c r="UD12" s="425"/>
      <c r="UE12" s="425"/>
      <c r="UF12" s="425"/>
      <c r="UG12" s="425"/>
      <c r="UH12" s="425"/>
      <c r="UI12" s="425"/>
      <c r="UJ12" s="425"/>
      <c r="UK12" s="425"/>
      <c r="UL12" s="425"/>
      <c r="UM12" s="425"/>
      <c r="UN12" s="425"/>
      <c r="UO12" s="425"/>
      <c r="UP12" s="425"/>
      <c r="UQ12" s="425"/>
      <c r="UR12" s="425"/>
      <c r="US12" s="425"/>
      <c r="UT12" s="425"/>
      <c r="UU12" s="425"/>
      <c r="UV12" s="425"/>
      <c r="UW12" s="425"/>
      <c r="UX12" s="425"/>
      <c r="UY12" s="425"/>
      <c r="UZ12" s="425"/>
      <c r="VA12" s="425"/>
      <c r="VB12" s="425"/>
      <c r="VC12" s="425"/>
      <c r="VD12" s="425"/>
      <c r="VE12" s="425"/>
      <c r="VF12" s="425"/>
      <c r="VG12" s="425"/>
      <c r="VH12" s="425"/>
      <c r="VI12" s="425"/>
      <c r="VJ12" s="425"/>
      <c r="VK12" s="425"/>
      <c r="VL12" s="425"/>
      <c r="VM12" s="425"/>
      <c r="VN12" s="425"/>
      <c r="VO12" s="425"/>
      <c r="VP12" s="425"/>
      <c r="VQ12" s="425"/>
      <c r="VR12" s="425"/>
      <c r="VS12" s="425"/>
      <c r="VT12" s="425"/>
      <c r="VU12" s="425"/>
      <c r="VV12" s="425"/>
      <c r="VW12" s="425"/>
      <c r="VX12" s="425"/>
      <c r="VY12" s="425"/>
      <c r="VZ12" s="425"/>
      <c r="WA12" s="425"/>
      <c r="WB12" s="425"/>
      <c r="WC12" s="425"/>
      <c r="WD12" s="425"/>
      <c r="WE12" s="425"/>
      <c r="WF12" s="425"/>
      <c r="WG12" s="425"/>
      <c r="WH12" s="425"/>
      <c r="WI12" s="425"/>
      <c r="WJ12" s="425"/>
      <c r="WK12" s="425"/>
      <c r="WL12" s="425"/>
      <c r="WM12" s="425"/>
      <c r="WN12" s="425"/>
      <c r="WO12" s="425"/>
      <c r="WP12" s="425"/>
      <c r="WQ12" s="425"/>
      <c r="WR12" s="425"/>
      <c r="WS12" s="425"/>
      <c r="WT12" s="425"/>
      <c r="WU12" s="425"/>
      <c r="WV12" s="425"/>
      <c r="WW12" s="425"/>
      <c r="WX12" s="425"/>
      <c r="WY12" s="425"/>
      <c r="WZ12" s="425"/>
      <c r="XA12" s="425"/>
      <c r="XB12" s="425"/>
      <c r="XC12" s="425"/>
      <c r="XD12" s="425"/>
      <c r="XE12" s="425"/>
      <c r="XF12" s="425"/>
      <c r="XG12" s="425"/>
      <c r="XH12" s="425"/>
      <c r="XI12" s="425"/>
      <c r="XJ12" s="425"/>
      <c r="XK12" s="425"/>
      <c r="XL12" s="425"/>
      <c r="XM12" s="425"/>
      <c r="XN12" s="425"/>
      <c r="XO12" s="425"/>
      <c r="XP12" s="425"/>
      <c r="XQ12" s="425"/>
      <c r="XR12" s="425"/>
      <c r="XS12" s="425"/>
      <c r="XT12" s="425"/>
      <c r="XU12" s="425"/>
      <c r="XV12" s="425"/>
      <c r="XW12" s="425"/>
      <c r="XX12" s="425"/>
      <c r="XY12" s="425"/>
      <c r="XZ12" s="425"/>
      <c r="YA12" s="425"/>
      <c r="YB12" s="425"/>
      <c r="YC12" s="425"/>
      <c r="YD12" s="425"/>
      <c r="YE12" s="425"/>
      <c r="YF12" s="425"/>
      <c r="YG12" s="425"/>
      <c r="YH12" s="425"/>
      <c r="YI12" s="425"/>
      <c r="YJ12" s="425"/>
      <c r="YK12" s="425"/>
      <c r="YL12" s="425"/>
      <c r="YM12" s="425"/>
      <c r="YN12" s="425"/>
      <c r="YO12" s="425"/>
      <c r="YP12" s="425"/>
      <c r="YQ12" s="425"/>
      <c r="YR12" s="425"/>
      <c r="YS12" s="425"/>
      <c r="YT12" s="425"/>
      <c r="YU12" s="425"/>
      <c r="YV12" s="425"/>
      <c r="YW12" s="425"/>
      <c r="YX12" s="425"/>
      <c r="YY12" s="425"/>
      <c r="YZ12" s="425"/>
      <c r="ZA12" s="425"/>
      <c r="ZB12" s="425"/>
      <c r="ZC12" s="425"/>
      <c r="ZD12" s="425"/>
      <c r="ZE12" s="425"/>
      <c r="ZF12" s="425"/>
      <c r="ZG12" s="425"/>
      <c r="ZH12" s="425"/>
      <c r="ZI12" s="425"/>
      <c r="ZJ12" s="425"/>
      <c r="ZK12" s="425"/>
      <c r="ZL12" s="425"/>
      <c r="ZM12" s="425"/>
      <c r="ZN12" s="425"/>
      <c r="ZO12" s="425"/>
      <c r="ZP12" s="425"/>
      <c r="ZQ12" s="425"/>
      <c r="ZR12" s="425"/>
      <c r="ZS12" s="425"/>
      <c r="ZT12" s="425"/>
      <c r="ZU12" s="425"/>
      <c r="ZV12" s="425"/>
      <c r="ZW12" s="425"/>
      <c r="ZX12" s="425"/>
      <c r="ZY12" s="425"/>
      <c r="ZZ12" s="425"/>
      <c r="AAA12" s="425"/>
      <c r="AAB12" s="425"/>
      <c r="AAC12" s="425"/>
      <c r="AAD12" s="425"/>
      <c r="AAE12" s="425"/>
      <c r="AAF12" s="425"/>
      <c r="AAG12" s="425"/>
      <c r="AAH12" s="425"/>
      <c r="AAI12" s="425"/>
      <c r="AAJ12" s="425"/>
      <c r="AAK12" s="425"/>
      <c r="AAL12" s="425"/>
      <c r="AAM12" s="425"/>
      <c r="AAN12" s="425"/>
      <c r="AAO12" s="425"/>
      <c r="AAP12" s="425"/>
      <c r="AAQ12" s="425"/>
      <c r="AAR12" s="425"/>
      <c r="AAS12" s="425"/>
      <c r="AAT12" s="425"/>
      <c r="AAU12" s="425"/>
      <c r="AAV12" s="425"/>
      <c r="AAW12" s="425"/>
      <c r="AAX12" s="425"/>
      <c r="AAY12" s="425"/>
      <c r="AAZ12" s="425"/>
      <c r="ABA12" s="425"/>
      <c r="ABB12" s="425"/>
      <c r="ABC12" s="425"/>
      <c r="ABD12" s="425"/>
      <c r="ABE12" s="425"/>
      <c r="ABF12" s="425"/>
      <c r="ABG12" s="425"/>
      <c r="ABH12" s="425"/>
      <c r="ABI12" s="425"/>
      <c r="ABJ12" s="425"/>
      <c r="ABK12" s="425"/>
      <c r="ABL12" s="425"/>
      <c r="ABM12" s="425"/>
      <c r="ABN12" s="425"/>
      <c r="ABO12" s="425"/>
      <c r="ABP12" s="425"/>
      <c r="ABQ12" s="425"/>
      <c r="ABR12" s="425"/>
      <c r="ABS12" s="425"/>
      <c r="ABT12" s="425"/>
      <c r="ABU12" s="425"/>
      <c r="ABV12" s="425"/>
      <c r="ABW12" s="425"/>
      <c r="ABX12" s="425"/>
      <c r="ABY12" s="425"/>
      <c r="ABZ12" s="425"/>
      <c r="ACA12" s="425"/>
      <c r="ACB12" s="425"/>
      <c r="ACC12" s="425"/>
      <c r="ACD12" s="425"/>
      <c r="ACE12" s="425"/>
      <c r="ACF12" s="425"/>
      <c r="ACG12" s="425"/>
      <c r="ACH12" s="425"/>
      <c r="ACI12" s="425"/>
      <c r="ACJ12" s="425"/>
      <c r="ACK12" s="425"/>
      <c r="ACL12" s="425"/>
      <c r="ACM12" s="425"/>
      <c r="ACN12" s="425"/>
      <c r="ACO12" s="425"/>
      <c r="ACP12" s="425"/>
      <c r="ACQ12" s="425"/>
      <c r="ACR12" s="425"/>
      <c r="ACS12" s="425"/>
      <c r="ACT12" s="425"/>
      <c r="ACU12" s="425"/>
      <c r="ACV12" s="425"/>
      <c r="ACW12" s="425"/>
      <c r="ACX12" s="425"/>
      <c r="ACY12" s="425"/>
      <c r="ACZ12" s="425"/>
      <c r="ADA12" s="425"/>
      <c r="ADB12" s="425"/>
      <c r="ADC12" s="425"/>
      <c r="ADD12" s="425"/>
      <c r="ADE12" s="425"/>
      <c r="ADF12" s="425"/>
      <c r="ADG12" s="425"/>
      <c r="ADH12" s="425"/>
      <c r="ADI12" s="425"/>
      <c r="ADJ12" s="425"/>
      <c r="ADK12" s="425"/>
      <c r="ADL12" s="425"/>
      <c r="ADM12" s="425"/>
      <c r="ADN12" s="425"/>
      <c r="ADO12" s="425"/>
      <c r="ADP12" s="425"/>
      <c r="ADQ12" s="425"/>
      <c r="ADR12" s="425"/>
      <c r="ADS12" s="425"/>
      <c r="ADT12" s="425"/>
      <c r="ADU12" s="425"/>
      <c r="ADV12" s="425"/>
      <c r="ADW12" s="425"/>
      <c r="ADX12" s="425"/>
      <c r="ADY12" s="425"/>
      <c r="ADZ12" s="425"/>
      <c r="AEA12" s="425"/>
      <c r="AEB12" s="425"/>
      <c r="AEC12" s="425"/>
      <c r="AED12" s="425"/>
      <c r="AEE12" s="425"/>
      <c r="AEF12" s="425"/>
      <c r="AEG12" s="425"/>
      <c r="AEH12" s="425"/>
      <c r="AEI12" s="425"/>
      <c r="AEJ12" s="425"/>
      <c r="AEK12" s="425"/>
      <c r="AEL12" s="425"/>
      <c r="AEM12" s="425"/>
      <c r="AEN12" s="425"/>
      <c r="AEO12" s="425"/>
      <c r="AEP12" s="425"/>
      <c r="AEQ12" s="425"/>
      <c r="AER12" s="425"/>
      <c r="AES12" s="425"/>
      <c r="AET12" s="425"/>
      <c r="AEU12" s="425"/>
      <c r="AEV12" s="425"/>
      <c r="AEW12" s="425"/>
      <c r="AEX12" s="425"/>
      <c r="AEY12" s="425"/>
      <c r="AEZ12" s="425"/>
      <c r="AFA12" s="425"/>
      <c r="AFB12" s="425"/>
      <c r="AFC12" s="425"/>
      <c r="AFD12" s="425"/>
      <c r="AFE12" s="425"/>
      <c r="AFF12" s="425"/>
      <c r="AFG12" s="425"/>
      <c r="AFH12" s="425"/>
      <c r="AFI12" s="425"/>
      <c r="AFJ12" s="425"/>
      <c r="AFK12" s="425"/>
      <c r="AFL12" s="425"/>
      <c r="AFM12" s="425"/>
      <c r="AFN12" s="425"/>
      <c r="AFO12" s="425"/>
      <c r="AFP12" s="425"/>
      <c r="AFQ12" s="425"/>
      <c r="AFR12" s="425"/>
      <c r="AFS12" s="425"/>
      <c r="AFT12" s="425"/>
      <c r="AFU12" s="425"/>
      <c r="AFV12" s="425"/>
      <c r="AFW12" s="425"/>
      <c r="AFX12" s="425"/>
      <c r="AFY12" s="425"/>
      <c r="AFZ12" s="425"/>
      <c r="AGA12" s="425"/>
      <c r="AGB12" s="425"/>
      <c r="AGC12" s="425"/>
      <c r="AGD12" s="425"/>
      <c r="AGE12" s="425"/>
      <c r="AGF12" s="425"/>
      <c r="AGG12" s="425"/>
      <c r="AGH12" s="425"/>
      <c r="AGI12" s="425"/>
      <c r="AGJ12" s="425"/>
      <c r="AGK12" s="425"/>
      <c r="AGL12" s="425"/>
      <c r="AGM12" s="425"/>
      <c r="AGN12" s="425"/>
      <c r="AGO12" s="425"/>
      <c r="AGP12" s="425"/>
      <c r="AGQ12" s="425"/>
      <c r="AGR12" s="425"/>
      <c r="AGS12" s="425"/>
      <c r="AGT12" s="425"/>
      <c r="AGU12" s="425"/>
      <c r="AGV12" s="425"/>
      <c r="AGW12" s="425"/>
      <c r="AGX12" s="425"/>
      <c r="AGY12" s="425"/>
      <c r="AGZ12" s="425"/>
      <c r="AHA12" s="425"/>
      <c r="AHB12" s="425"/>
      <c r="AHC12" s="425"/>
      <c r="AHD12" s="425"/>
      <c r="AHE12" s="425"/>
      <c r="AHF12" s="425"/>
      <c r="AHG12" s="425"/>
      <c r="AHH12" s="425"/>
      <c r="AHI12" s="425"/>
      <c r="AHJ12" s="425"/>
      <c r="AHK12" s="425"/>
      <c r="AHL12" s="425"/>
      <c r="AHM12" s="425"/>
      <c r="AHN12" s="425"/>
      <c r="AHO12" s="425"/>
      <c r="AHP12" s="425"/>
      <c r="AHQ12" s="425"/>
      <c r="AHR12" s="425"/>
      <c r="AHS12" s="425"/>
      <c r="AHT12" s="425"/>
      <c r="AHU12" s="425"/>
      <c r="AHV12" s="425"/>
      <c r="AHW12" s="425"/>
      <c r="AHX12" s="425"/>
      <c r="AHY12" s="425"/>
      <c r="AHZ12" s="425"/>
      <c r="AIA12" s="425"/>
      <c r="AIB12" s="425"/>
      <c r="AIC12" s="425"/>
      <c r="AID12" s="425"/>
      <c r="AIE12" s="425"/>
      <c r="AIF12" s="425"/>
      <c r="AIG12" s="425"/>
      <c r="AIH12" s="425"/>
      <c r="AII12" s="425"/>
      <c r="AIJ12" s="425"/>
      <c r="AIK12" s="425"/>
      <c r="AIL12" s="425"/>
      <c r="AIM12" s="425"/>
      <c r="AIN12" s="425"/>
      <c r="AIO12" s="425"/>
      <c r="AIP12" s="425"/>
      <c r="AIQ12" s="425"/>
      <c r="AIR12" s="425"/>
      <c r="AIS12" s="425"/>
      <c r="AIT12" s="425"/>
      <c r="AIU12" s="425"/>
      <c r="AIV12" s="425"/>
      <c r="AIW12" s="425"/>
      <c r="AIX12" s="425"/>
      <c r="AIY12" s="425"/>
      <c r="AIZ12" s="425"/>
      <c r="AJA12" s="425"/>
      <c r="AJB12" s="425"/>
      <c r="AJC12" s="425"/>
      <c r="AJD12" s="425"/>
      <c r="AJE12" s="425"/>
      <c r="AJF12" s="425"/>
      <c r="AJG12" s="425"/>
      <c r="AJH12" s="425"/>
      <c r="AJI12" s="425"/>
      <c r="AJJ12" s="425"/>
      <c r="AJK12" s="425"/>
      <c r="AJL12" s="425"/>
      <c r="AJM12" s="425"/>
      <c r="AJN12" s="425"/>
      <c r="AJO12" s="425"/>
      <c r="AJP12" s="425"/>
      <c r="AJQ12" s="425"/>
      <c r="AJR12" s="425"/>
      <c r="AJS12" s="425"/>
      <c r="AJT12" s="425"/>
      <c r="AJU12" s="425"/>
      <c r="AJV12" s="425"/>
      <c r="AJW12" s="425"/>
      <c r="AJX12" s="425"/>
      <c r="AJY12" s="425"/>
      <c r="AJZ12" s="425"/>
      <c r="AKA12" s="425"/>
      <c r="AKB12" s="425"/>
      <c r="AKC12" s="425"/>
      <c r="AKD12" s="425"/>
      <c r="AKE12" s="425"/>
      <c r="AKF12" s="425"/>
      <c r="AKG12" s="425"/>
      <c r="AKH12" s="425"/>
      <c r="AKI12" s="425"/>
      <c r="AKJ12" s="425"/>
      <c r="AKK12" s="425"/>
      <c r="AKL12" s="425"/>
      <c r="AKM12" s="425"/>
      <c r="AKN12" s="425"/>
      <c r="AKO12" s="425"/>
      <c r="AKP12" s="425"/>
      <c r="AKQ12" s="425"/>
      <c r="AKR12" s="425"/>
      <c r="AKS12" s="425"/>
      <c r="AKT12" s="425"/>
      <c r="AKU12" s="425"/>
      <c r="AKV12" s="425"/>
      <c r="AKW12" s="425"/>
      <c r="AKX12" s="425"/>
      <c r="AKY12" s="425"/>
      <c r="AKZ12" s="425"/>
      <c r="ALA12" s="425"/>
      <c r="ALB12" s="425"/>
      <c r="ALC12" s="425"/>
      <c r="ALD12" s="425"/>
      <c r="ALE12" s="425"/>
      <c r="ALF12" s="425"/>
      <c r="ALG12" s="425"/>
      <c r="ALH12" s="425"/>
      <c r="ALI12" s="425"/>
      <c r="ALJ12" s="425"/>
      <c r="ALK12" s="425"/>
      <c r="ALL12" s="425"/>
      <c r="ALM12" s="425"/>
      <c r="ALN12" s="425"/>
      <c r="ALO12" s="425"/>
      <c r="ALP12" s="425"/>
      <c r="ALQ12" s="425"/>
      <c r="ALR12" s="425"/>
      <c r="ALS12" s="425"/>
      <c r="ALT12" s="425"/>
      <c r="ALU12" s="425"/>
      <c r="ALV12" s="425"/>
      <c r="ALW12" s="425"/>
      <c r="ALX12" s="425"/>
      <c r="ALY12" s="425"/>
      <c r="ALZ12" s="425"/>
      <c r="AMA12" s="425"/>
      <c r="AMB12" s="425"/>
      <c r="AMC12" s="425"/>
      <c r="AMD12" s="425"/>
      <c r="AME12" s="425"/>
      <c r="AMF12" s="425"/>
      <c r="AMG12" s="425"/>
      <c r="AMH12" s="425"/>
      <c r="AMI12" s="425"/>
      <c r="AMJ12" s="425"/>
      <c r="AMK12" s="425"/>
      <c r="AML12" s="425"/>
      <c r="AMM12" s="425"/>
      <c r="AMN12" s="425"/>
      <c r="AMO12" s="425"/>
      <c r="AMP12" s="425"/>
      <c r="AMQ12" s="425"/>
      <c r="AMR12" s="425"/>
      <c r="AMS12" s="425"/>
      <c r="AMT12" s="425"/>
      <c r="AMU12" s="425"/>
      <c r="AMV12" s="425"/>
      <c r="AMW12" s="425"/>
      <c r="AMX12" s="425"/>
      <c r="AMY12" s="425"/>
      <c r="AMZ12" s="425"/>
      <c r="ANA12" s="425"/>
      <c r="ANB12" s="425"/>
      <c r="ANC12" s="425"/>
      <c r="AND12" s="425"/>
      <c r="ANE12" s="425"/>
      <c r="ANF12" s="425"/>
      <c r="ANG12" s="425"/>
      <c r="ANH12" s="425"/>
      <c r="ANI12" s="425"/>
      <c r="ANJ12" s="425"/>
      <c r="ANK12" s="425"/>
      <c r="ANL12" s="425"/>
      <c r="ANM12" s="425"/>
      <c r="ANN12" s="425"/>
      <c r="ANO12" s="425"/>
      <c r="ANP12" s="425"/>
      <c r="ANQ12" s="425"/>
      <c r="ANR12" s="425"/>
      <c r="ANS12" s="425"/>
      <c r="ANT12" s="425"/>
      <c r="ANU12" s="425"/>
      <c r="ANV12" s="425"/>
      <c r="ANW12" s="425"/>
      <c r="ANX12" s="425"/>
      <c r="ANY12" s="425"/>
      <c r="ANZ12" s="425"/>
      <c r="AOA12" s="425"/>
      <c r="AOB12" s="425"/>
      <c r="AOC12" s="425"/>
      <c r="AOD12" s="425"/>
      <c r="AOE12" s="425"/>
      <c r="AOF12" s="425"/>
      <c r="AOG12" s="425"/>
      <c r="AOH12" s="425"/>
      <c r="AOI12" s="425"/>
      <c r="AOJ12" s="425"/>
      <c r="AOK12" s="425"/>
      <c r="AOL12" s="425"/>
      <c r="AOM12" s="425"/>
      <c r="AON12" s="425"/>
      <c r="AOO12" s="425"/>
      <c r="AOP12" s="425"/>
      <c r="AOQ12" s="425"/>
      <c r="AOR12" s="425"/>
      <c r="AOS12" s="425"/>
      <c r="AOT12" s="425"/>
      <c r="AOU12" s="425"/>
      <c r="AOV12" s="425"/>
      <c r="AOW12" s="425"/>
      <c r="AOX12" s="425"/>
      <c r="AOY12" s="425"/>
      <c r="AOZ12" s="425"/>
      <c r="APA12" s="425"/>
      <c r="APB12" s="425"/>
      <c r="APC12" s="425"/>
      <c r="APD12" s="425"/>
      <c r="APE12" s="425"/>
      <c r="APF12" s="425"/>
      <c r="APG12" s="425"/>
      <c r="APH12" s="425"/>
      <c r="API12" s="425"/>
      <c r="APJ12" s="425"/>
      <c r="APK12" s="425"/>
      <c r="APL12" s="425"/>
      <c r="APM12" s="425"/>
      <c r="APN12" s="425"/>
      <c r="APO12" s="425"/>
      <c r="APP12" s="425"/>
      <c r="APQ12" s="425"/>
      <c r="APR12" s="425"/>
      <c r="APS12" s="425"/>
      <c r="APT12" s="425"/>
      <c r="APU12" s="425"/>
      <c r="APV12" s="425"/>
      <c r="APW12" s="425"/>
      <c r="APX12" s="425"/>
      <c r="APY12" s="425"/>
      <c r="APZ12" s="425"/>
      <c r="AQA12" s="425"/>
      <c r="AQB12" s="425"/>
      <c r="AQC12" s="425"/>
      <c r="AQD12" s="425"/>
      <c r="AQE12" s="425"/>
      <c r="AQF12" s="425"/>
      <c r="AQG12" s="425"/>
      <c r="AQH12" s="425"/>
      <c r="AQI12" s="425"/>
      <c r="AQJ12" s="425"/>
      <c r="AQK12" s="425"/>
      <c r="AQL12" s="425"/>
      <c r="AQM12" s="425"/>
      <c r="AQN12" s="425"/>
      <c r="AQO12" s="425"/>
      <c r="AQP12" s="425"/>
      <c r="AQQ12" s="425"/>
      <c r="AQR12" s="425"/>
      <c r="AQS12" s="425"/>
      <c r="AQT12" s="425"/>
      <c r="AQU12" s="425"/>
      <c r="AQV12" s="425"/>
      <c r="AQW12" s="425"/>
      <c r="AQX12" s="425"/>
      <c r="AQY12" s="425"/>
      <c r="AQZ12" s="425"/>
      <c r="ARA12" s="425"/>
      <c r="ARB12" s="425"/>
      <c r="ARC12" s="425"/>
      <c r="ARD12" s="425"/>
      <c r="ARE12" s="425"/>
      <c r="ARF12" s="425"/>
      <c r="ARG12" s="425"/>
      <c r="ARH12" s="425"/>
      <c r="ARI12" s="425"/>
      <c r="ARJ12" s="425"/>
      <c r="ARK12" s="425"/>
      <c r="ARL12" s="425"/>
      <c r="ARM12" s="425"/>
      <c r="ARN12" s="425"/>
      <c r="ARO12" s="425"/>
      <c r="ARP12" s="425"/>
      <c r="ARQ12" s="425"/>
      <c r="ARR12" s="425"/>
      <c r="ARS12" s="425"/>
      <c r="ART12" s="425"/>
      <c r="ARU12" s="425"/>
      <c r="ARV12" s="425"/>
      <c r="ARW12" s="425"/>
      <c r="ARX12" s="425"/>
      <c r="ARY12" s="425"/>
      <c r="ARZ12" s="425"/>
      <c r="ASA12" s="425"/>
      <c r="ASB12" s="425"/>
      <c r="ASC12" s="425"/>
      <c r="ASD12" s="425"/>
      <c r="ASE12" s="425"/>
      <c r="ASF12" s="425"/>
      <c r="ASG12" s="425"/>
      <c r="ASH12" s="425"/>
      <c r="ASI12" s="425"/>
      <c r="ASJ12" s="425"/>
      <c r="ASK12" s="425"/>
      <c r="ASL12" s="425"/>
      <c r="ASM12" s="425"/>
      <c r="ASN12" s="425"/>
      <c r="ASO12" s="425"/>
      <c r="ASP12" s="425"/>
      <c r="ASQ12" s="425"/>
      <c r="ASR12" s="425"/>
      <c r="ASS12" s="425"/>
      <c r="AST12" s="425"/>
      <c r="ASU12" s="425"/>
      <c r="ASV12" s="425"/>
      <c r="ASW12" s="425"/>
      <c r="ASX12" s="425"/>
      <c r="ASY12" s="425"/>
      <c r="ASZ12" s="425"/>
      <c r="ATA12" s="425"/>
      <c r="ATB12" s="425"/>
      <c r="ATC12" s="425"/>
      <c r="ATD12" s="425"/>
      <c r="ATE12" s="425"/>
      <c r="ATF12" s="425"/>
      <c r="ATG12" s="425"/>
      <c r="ATH12" s="425"/>
      <c r="ATI12" s="425"/>
      <c r="ATJ12" s="425"/>
      <c r="ATK12" s="425"/>
      <c r="ATL12" s="425"/>
      <c r="ATM12" s="425"/>
      <c r="ATN12" s="425"/>
      <c r="ATO12" s="425"/>
      <c r="ATP12" s="425"/>
      <c r="ATQ12" s="425"/>
      <c r="ATR12" s="425"/>
      <c r="ATS12" s="425"/>
      <c r="ATT12" s="425"/>
      <c r="ATU12" s="425"/>
      <c r="ATV12" s="425"/>
      <c r="ATW12" s="425"/>
      <c r="ATX12" s="425"/>
      <c r="ATY12" s="425"/>
      <c r="ATZ12" s="425"/>
      <c r="AUA12" s="425"/>
      <c r="AUB12" s="425"/>
      <c r="AUC12" s="425"/>
      <c r="AUD12" s="425"/>
      <c r="AUE12" s="425"/>
      <c r="AUF12" s="425"/>
      <c r="AUG12" s="425"/>
      <c r="AUH12" s="425"/>
      <c r="AUI12" s="425"/>
      <c r="AUJ12" s="425"/>
      <c r="AUK12" s="425"/>
      <c r="AUL12" s="425"/>
      <c r="AUM12" s="425"/>
      <c r="AUN12" s="425"/>
      <c r="AUO12" s="425"/>
      <c r="AUP12" s="425"/>
      <c r="AUQ12" s="425"/>
      <c r="AUR12" s="425"/>
      <c r="AUS12" s="425"/>
      <c r="AUT12" s="425"/>
      <c r="AUU12" s="425"/>
      <c r="AUV12" s="425"/>
      <c r="AUW12" s="425"/>
      <c r="AUX12" s="425"/>
      <c r="AUY12" s="425"/>
      <c r="AUZ12" s="425"/>
      <c r="AVA12" s="425"/>
      <c r="AVB12" s="425"/>
      <c r="AVC12" s="425"/>
      <c r="AVD12" s="425"/>
      <c r="AVE12" s="425"/>
      <c r="AVF12" s="425"/>
      <c r="AVG12" s="425"/>
      <c r="AVH12" s="425"/>
      <c r="AVI12" s="425"/>
      <c r="AVJ12" s="425"/>
      <c r="AVK12" s="425"/>
      <c r="AVL12" s="425"/>
      <c r="AVM12" s="425"/>
      <c r="AVN12" s="425"/>
      <c r="AVO12" s="425"/>
      <c r="AVP12" s="425"/>
      <c r="AVQ12" s="425"/>
      <c r="AVR12" s="425"/>
      <c r="AVS12" s="425"/>
      <c r="AVT12" s="425"/>
      <c r="AVU12" s="425"/>
      <c r="AVV12" s="425"/>
      <c r="AVW12" s="425"/>
      <c r="AVX12" s="425"/>
      <c r="AVY12" s="425"/>
      <c r="AVZ12" s="425"/>
      <c r="AWA12" s="425"/>
      <c r="AWB12" s="425"/>
      <c r="AWC12" s="425"/>
      <c r="AWD12" s="425"/>
      <c r="AWE12" s="425"/>
      <c r="AWF12" s="425"/>
      <c r="AWG12" s="425"/>
      <c r="AWH12" s="425"/>
      <c r="AWI12" s="425"/>
      <c r="AWJ12" s="425"/>
      <c r="AWK12" s="425"/>
      <c r="AWL12" s="425"/>
      <c r="AWM12" s="425"/>
      <c r="AWN12" s="425"/>
      <c r="AWO12" s="425"/>
      <c r="AWP12" s="425"/>
      <c r="AWQ12" s="425"/>
      <c r="AWR12" s="425"/>
      <c r="AWS12" s="425"/>
      <c r="AWT12" s="425"/>
      <c r="AWU12" s="425"/>
      <c r="AWV12" s="425"/>
      <c r="AWW12" s="425"/>
      <c r="AWX12" s="425"/>
      <c r="AWY12" s="425"/>
      <c r="AWZ12" s="425"/>
      <c r="AXA12" s="425"/>
      <c r="AXB12" s="425"/>
      <c r="AXC12" s="425"/>
      <c r="AXD12" s="425"/>
      <c r="AXE12" s="425"/>
      <c r="AXF12" s="425"/>
      <c r="AXG12" s="425"/>
      <c r="AXH12" s="425"/>
      <c r="AXI12" s="425"/>
      <c r="AXJ12" s="425"/>
      <c r="AXK12" s="425"/>
      <c r="AXL12" s="425"/>
      <c r="AXM12" s="425"/>
      <c r="AXN12" s="425"/>
      <c r="AXO12" s="425"/>
      <c r="AXP12" s="425"/>
      <c r="AXQ12" s="425"/>
      <c r="AXR12" s="425"/>
      <c r="AXS12" s="425"/>
      <c r="AXT12" s="425"/>
      <c r="AXU12" s="425"/>
      <c r="AXV12" s="425"/>
      <c r="AXW12" s="425"/>
      <c r="AXX12" s="425"/>
      <c r="AXY12" s="425"/>
      <c r="AXZ12" s="425"/>
      <c r="AYA12" s="425"/>
      <c r="AYB12" s="425"/>
      <c r="AYC12" s="425"/>
      <c r="AYD12" s="425"/>
      <c r="AYE12" s="425"/>
      <c r="AYF12" s="425"/>
      <c r="AYG12" s="425"/>
      <c r="AYH12" s="425"/>
      <c r="AYI12" s="425"/>
      <c r="AYJ12" s="425"/>
      <c r="AYK12" s="425"/>
      <c r="AYL12" s="425"/>
      <c r="AYM12" s="425"/>
      <c r="AYN12" s="425"/>
      <c r="AYO12" s="425"/>
      <c r="AYP12" s="425"/>
      <c r="AYQ12" s="425"/>
      <c r="AYR12" s="425"/>
      <c r="AYS12" s="425"/>
      <c r="AYT12" s="425"/>
      <c r="AYU12" s="425"/>
      <c r="AYV12" s="425"/>
      <c r="AYW12" s="425"/>
      <c r="AYX12" s="425"/>
      <c r="AYY12" s="425"/>
      <c r="AYZ12" s="425"/>
      <c r="AZA12" s="425"/>
      <c r="AZB12" s="425"/>
      <c r="AZC12" s="425"/>
      <c r="AZD12" s="425"/>
      <c r="AZE12" s="425"/>
      <c r="AZF12" s="425"/>
      <c r="AZG12" s="425"/>
      <c r="AZH12" s="425"/>
      <c r="AZI12" s="425"/>
      <c r="AZJ12" s="425"/>
      <c r="AZK12" s="425"/>
      <c r="AZL12" s="425"/>
      <c r="AZM12" s="425"/>
      <c r="AZN12" s="425"/>
      <c r="AZO12" s="425"/>
      <c r="AZP12" s="425"/>
      <c r="AZQ12" s="425"/>
      <c r="AZR12" s="425"/>
      <c r="AZS12" s="425"/>
      <c r="AZT12" s="425"/>
      <c r="AZU12" s="425"/>
      <c r="AZV12" s="425"/>
      <c r="AZW12" s="425"/>
      <c r="AZX12" s="425"/>
      <c r="AZY12" s="425"/>
      <c r="AZZ12" s="425"/>
      <c r="BAA12" s="425"/>
      <c r="BAB12" s="425"/>
      <c r="BAC12" s="425"/>
      <c r="BAD12" s="425"/>
      <c r="BAE12" s="425"/>
      <c r="BAF12" s="425"/>
      <c r="BAG12" s="425"/>
      <c r="BAH12" s="425"/>
      <c r="BAI12" s="425"/>
      <c r="BAJ12" s="425"/>
      <c r="BAK12" s="425"/>
      <c r="BAL12" s="425"/>
      <c r="BAM12" s="425"/>
      <c r="BAN12" s="425"/>
      <c r="BAO12" s="425"/>
      <c r="BAP12" s="425"/>
      <c r="BAQ12" s="425"/>
      <c r="BAR12" s="425"/>
      <c r="BAS12" s="425"/>
      <c r="BAT12" s="425"/>
      <c r="BAU12" s="425"/>
      <c r="BAV12" s="425"/>
      <c r="BAW12" s="425"/>
      <c r="BAX12" s="425"/>
      <c r="BAY12" s="425"/>
      <c r="BAZ12" s="425"/>
      <c r="BBA12" s="425"/>
      <c r="BBB12" s="425"/>
      <c r="BBC12" s="425"/>
      <c r="BBD12" s="425"/>
      <c r="BBE12" s="425"/>
      <c r="BBF12" s="425"/>
      <c r="BBG12" s="425"/>
      <c r="BBH12" s="425"/>
      <c r="BBI12" s="425"/>
      <c r="BBJ12" s="425"/>
      <c r="BBK12" s="425"/>
      <c r="BBL12" s="425"/>
      <c r="BBM12" s="425"/>
      <c r="BBN12" s="425"/>
      <c r="BBO12" s="425"/>
      <c r="BBP12" s="425"/>
      <c r="BBQ12" s="425"/>
      <c r="BBR12" s="425"/>
      <c r="BBS12" s="425"/>
      <c r="BBT12" s="425"/>
      <c r="BBU12" s="425"/>
      <c r="BBV12" s="425"/>
      <c r="BBW12" s="425"/>
      <c r="BBX12" s="425"/>
      <c r="BBY12" s="425"/>
      <c r="BBZ12" s="425"/>
      <c r="BCA12" s="425"/>
      <c r="BCB12" s="425"/>
      <c r="BCC12" s="425"/>
      <c r="BCD12" s="425"/>
      <c r="BCE12" s="425"/>
      <c r="BCF12" s="425"/>
      <c r="BCG12" s="425"/>
      <c r="BCH12" s="425"/>
      <c r="BCI12" s="425"/>
      <c r="BCJ12" s="425"/>
      <c r="BCK12" s="425"/>
      <c r="BCL12" s="425"/>
      <c r="BCM12" s="425"/>
      <c r="BCN12" s="425"/>
      <c r="BCO12" s="425"/>
      <c r="BCP12" s="425"/>
      <c r="BCQ12" s="425"/>
      <c r="BCR12" s="425"/>
      <c r="BCS12" s="425"/>
      <c r="BCT12" s="425"/>
      <c r="BCU12" s="425"/>
      <c r="BCV12" s="425"/>
      <c r="BCW12" s="425"/>
      <c r="BCX12" s="425"/>
      <c r="BCY12" s="425"/>
      <c r="BCZ12" s="425"/>
      <c r="BDA12" s="425"/>
      <c r="BDB12" s="425"/>
      <c r="BDC12" s="425"/>
      <c r="BDD12" s="425"/>
      <c r="BDE12" s="425"/>
      <c r="BDF12" s="425"/>
      <c r="BDG12" s="425"/>
      <c r="BDH12" s="425"/>
      <c r="BDI12" s="425"/>
      <c r="BDJ12" s="425"/>
      <c r="BDK12" s="425"/>
      <c r="BDL12" s="425"/>
      <c r="BDM12" s="425"/>
      <c r="BDN12" s="425"/>
      <c r="BDO12" s="425"/>
      <c r="BDP12" s="425"/>
      <c r="BDQ12" s="425"/>
      <c r="BDR12" s="425"/>
      <c r="BDS12" s="425"/>
      <c r="BDT12" s="425"/>
      <c r="BDU12" s="425"/>
      <c r="BDV12" s="425"/>
      <c r="BDW12" s="425"/>
      <c r="BDX12" s="425"/>
      <c r="BDY12" s="425"/>
      <c r="BDZ12" s="425"/>
      <c r="BEA12" s="425"/>
      <c r="BEB12" s="425"/>
      <c r="BEC12" s="425"/>
      <c r="BED12" s="425"/>
      <c r="BEE12" s="425"/>
      <c r="BEF12" s="425"/>
      <c r="BEG12" s="425"/>
      <c r="BEH12" s="425"/>
      <c r="BEI12" s="425"/>
      <c r="BEJ12" s="425"/>
      <c r="BEK12" s="425"/>
      <c r="BEL12" s="425"/>
      <c r="BEM12" s="425"/>
      <c r="BEN12" s="425"/>
      <c r="BEO12" s="425"/>
      <c r="BEP12" s="425"/>
      <c r="BEQ12" s="425"/>
      <c r="BER12" s="425"/>
      <c r="BES12" s="425"/>
      <c r="BET12" s="425"/>
      <c r="BEU12" s="425"/>
      <c r="BEV12" s="425"/>
      <c r="BEW12" s="425"/>
      <c r="BEX12" s="425"/>
      <c r="BEY12" s="425"/>
      <c r="BEZ12" s="425"/>
      <c r="BFA12" s="425"/>
      <c r="BFB12" s="425"/>
      <c r="BFC12" s="425"/>
      <c r="BFD12" s="425"/>
      <c r="BFE12" s="425"/>
      <c r="BFF12" s="425"/>
      <c r="BFG12" s="425"/>
      <c r="BFH12" s="425"/>
      <c r="BFI12" s="425"/>
      <c r="BFJ12" s="425"/>
      <c r="BFK12" s="425"/>
      <c r="BFL12" s="425"/>
      <c r="BFM12" s="425"/>
      <c r="BFN12" s="425"/>
      <c r="BFO12" s="425"/>
      <c r="BFP12" s="425"/>
      <c r="BFQ12" s="425"/>
      <c r="BFR12" s="425"/>
      <c r="BFS12" s="425"/>
      <c r="BFT12" s="425"/>
      <c r="BFU12" s="425"/>
      <c r="BFV12" s="425"/>
      <c r="BFW12" s="425"/>
      <c r="BFX12" s="425"/>
      <c r="BFY12" s="425"/>
      <c r="BFZ12" s="425"/>
      <c r="BGA12" s="425"/>
      <c r="BGB12" s="425"/>
      <c r="BGC12" s="425"/>
      <c r="BGD12" s="425"/>
      <c r="BGE12" s="425"/>
      <c r="BGF12" s="425"/>
      <c r="BGG12" s="425"/>
      <c r="BGH12" s="425"/>
      <c r="BGI12" s="425"/>
      <c r="BGJ12" s="425"/>
      <c r="BGK12" s="425"/>
      <c r="BGL12" s="425"/>
      <c r="BGM12" s="425"/>
      <c r="BGN12" s="425"/>
      <c r="BGO12" s="425"/>
      <c r="BGP12" s="425"/>
      <c r="BGQ12" s="425"/>
      <c r="BGR12" s="425"/>
      <c r="BGS12" s="425"/>
      <c r="BGT12" s="425"/>
      <c r="BGU12" s="425"/>
      <c r="BGV12" s="425"/>
      <c r="BGW12" s="425"/>
      <c r="BGX12" s="425"/>
      <c r="BGY12" s="425"/>
      <c r="BGZ12" s="425"/>
      <c r="BHA12" s="425"/>
      <c r="BHB12" s="425"/>
      <c r="BHC12" s="425"/>
      <c r="BHD12" s="425"/>
      <c r="BHE12" s="425"/>
      <c r="BHF12" s="425"/>
      <c r="BHG12" s="425"/>
      <c r="BHH12" s="425"/>
      <c r="BHI12" s="425"/>
      <c r="BHJ12" s="425"/>
      <c r="BHK12" s="425"/>
      <c r="BHL12" s="425"/>
      <c r="BHM12" s="425"/>
      <c r="BHN12" s="425"/>
      <c r="BHO12" s="425"/>
      <c r="BHP12" s="425"/>
      <c r="BHQ12" s="425"/>
      <c r="BHR12" s="425"/>
      <c r="BHS12" s="425"/>
      <c r="BHT12" s="425"/>
      <c r="BHU12" s="425"/>
      <c r="BHV12" s="425"/>
      <c r="BHW12" s="425"/>
      <c r="BHX12" s="425"/>
      <c r="BHY12" s="425"/>
      <c r="BHZ12" s="425"/>
      <c r="BIA12" s="425"/>
      <c r="BIB12" s="425"/>
      <c r="BIC12" s="425"/>
      <c r="BID12" s="425"/>
      <c r="BIE12" s="425"/>
      <c r="BIF12" s="425"/>
      <c r="BIG12" s="425"/>
      <c r="BIH12" s="425"/>
      <c r="BII12" s="425"/>
      <c r="BIJ12" s="425"/>
      <c r="BIK12" s="425"/>
      <c r="BIL12" s="425"/>
      <c r="BIM12" s="425"/>
      <c r="BIN12" s="425"/>
      <c r="BIO12" s="425"/>
      <c r="BIP12" s="425"/>
      <c r="BIQ12" s="425"/>
      <c r="BIR12" s="425"/>
      <c r="BIS12" s="425"/>
      <c r="BIT12" s="425"/>
      <c r="BIU12" s="425"/>
      <c r="BIV12" s="425"/>
      <c r="BIW12" s="425"/>
      <c r="BIX12" s="425"/>
      <c r="BIY12" s="425"/>
      <c r="BIZ12" s="425"/>
      <c r="BJA12" s="425"/>
      <c r="BJB12" s="425"/>
      <c r="BJC12" s="425"/>
      <c r="BJD12" s="425"/>
      <c r="BJE12" s="425"/>
      <c r="BJF12" s="425"/>
      <c r="BJG12" s="425"/>
      <c r="BJH12" s="425"/>
      <c r="BJI12" s="425"/>
      <c r="BJJ12" s="425"/>
      <c r="BJK12" s="425"/>
      <c r="BJL12" s="425"/>
      <c r="BJM12" s="425"/>
      <c r="BJN12" s="425"/>
      <c r="BJO12" s="425"/>
      <c r="BJP12" s="425"/>
      <c r="BJQ12" s="425"/>
      <c r="BJR12" s="425"/>
      <c r="BJS12" s="425"/>
      <c r="BJT12" s="425"/>
      <c r="BJU12" s="425"/>
      <c r="BJV12" s="425"/>
      <c r="BJW12" s="425"/>
      <c r="BJX12" s="425"/>
      <c r="BJY12" s="425"/>
      <c r="BJZ12" s="425"/>
      <c r="BKA12" s="425"/>
      <c r="BKB12" s="425"/>
      <c r="BKC12" s="425"/>
      <c r="BKD12" s="425"/>
      <c r="BKE12" s="425"/>
      <c r="BKF12" s="425"/>
      <c r="BKG12" s="425"/>
      <c r="BKH12" s="425"/>
      <c r="BKI12" s="425"/>
      <c r="BKJ12" s="425"/>
      <c r="BKK12" s="425"/>
      <c r="BKL12" s="425"/>
      <c r="BKM12" s="425"/>
      <c r="BKN12" s="425"/>
      <c r="BKO12" s="425"/>
      <c r="BKP12" s="425"/>
      <c r="BKQ12" s="425"/>
      <c r="BKR12" s="425"/>
      <c r="BKS12" s="425"/>
      <c r="BKT12" s="425"/>
      <c r="BKU12" s="425"/>
      <c r="BKV12" s="425"/>
      <c r="BKW12" s="425"/>
      <c r="BKX12" s="425"/>
      <c r="BKY12" s="425"/>
      <c r="BKZ12" s="425"/>
      <c r="BLA12" s="425"/>
      <c r="BLB12" s="425"/>
      <c r="BLC12" s="425"/>
      <c r="BLD12" s="425"/>
      <c r="BLE12" s="425"/>
      <c r="BLF12" s="425"/>
      <c r="BLG12" s="425"/>
      <c r="BLH12" s="425"/>
      <c r="BLI12" s="425"/>
      <c r="BLJ12" s="425"/>
      <c r="BLK12" s="425"/>
      <c r="BLL12" s="425"/>
      <c r="BLM12" s="425"/>
      <c r="BLN12" s="425"/>
      <c r="BLO12" s="425"/>
      <c r="BLP12" s="425"/>
      <c r="BLQ12" s="425"/>
      <c r="BLR12" s="425"/>
      <c r="BLS12" s="425"/>
      <c r="BLT12" s="425"/>
      <c r="BLU12" s="425"/>
      <c r="BLV12" s="425"/>
      <c r="BLW12" s="425"/>
      <c r="BLX12" s="425"/>
      <c r="BLY12" s="425"/>
      <c r="BLZ12" s="425"/>
      <c r="BMA12" s="425"/>
      <c r="BMB12" s="425"/>
      <c r="BMC12" s="425"/>
      <c r="BMD12" s="425"/>
      <c r="BME12" s="425"/>
      <c r="BMF12" s="425"/>
      <c r="BMG12" s="425"/>
      <c r="BMH12" s="425"/>
      <c r="BMI12" s="425"/>
      <c r="BMJ12" s="425"/>
      <c r="BMK12" s="425"/>
      <c r="BML12" s="425"/>
      <c r="BMM12" s="425"/>
      <c r="BMN12" s="425"/>
      <c r="BMO12" s="425"/>
      <c r="BMP12" s="425"/>
      <c r="BMQ12" s="425"/>
      <c r="BMR12" s="425"/>
      <c r="BMS12" s="425"/>
      <c r="BMT12" s="425"/>
      <c r="BMU12" s="425"/>
      <c r="BMV12" s="425"/>
      <c r="BMW12" s="425"/>
      <c r="BMX12" s="425"/>
      <c r="BMY12" s="425"/>
      <c r="BMZ12" s="425"/>
      <c r="BNA12" s="425"/>
      <c r="BNB12" s="425"/>
      <c r="BNC12" s="425"/>
      <c r="BND12" s="425"/>
      <c r="BNE12" s="425"/>
      <c r="BNF12" s="425"/>
      <c r="BNG12" s="425"/>
      <c r="BNH12" s="425"/>
      <c r="BNI12" s="425"/>
      <c r="BNJ12" s="425"/>
      <c r="BNK12" s="425"/>
      <c r="BNL12" s="425"/>
      <c r="BNM12" s="425"/>
      <c r="BNN12" s="425"/>
      <c r="BNO12" s="425"/>
      <c r="BNP12" s="425"/>
      <c r="BNQ12" s="425"/>
      <c r="BNR12" s="425"/>
      <c r="BNS12" s="425"/>
      <c r="BNT12" s="425"/>
      <c r="BNU12" s="425"/>
      <c r="BNV12" s="425"/>
      <c r="BNW12" s="425"/>
      <c r="BNX12" s="425"/>
      <c r="BNY12" s="425"/>
      <c r="BNZ12" s="425"/>
      <c r="BOA12" s="425"/>
      <c r="BOB12" s="425"/>
      <c r="BOC12" s="425"/>
      <c r="BOD12" s="425"/>
      <c r="BOE12" s="425"/>
      <c r="BOF12" s="425"/>
      <c r="BOG12" s="425"/>
      <c r="BOH12" s="425"/>
      <c r="BOI12" s="425"/>
      <c r="BOJ12" s="425"/>
      <c r="BOK12" s="425"/>
      <c r="BOL12" s="425"/>
      <c r="BOM12" s="425"/>
      <c r="BON12" s="425"/>
      <c r="BOO12" s="425"/>
      <c r="BOP12" s="425"/>
      <c r="BOQ12" s="425"/>
      <c r="BOR12" s="425"/>
      <c r="BOS12" s="425"/>
      <c r="BOT12" s="425"/>
      <c r="BOU12" s="425"/>
      <c r="BOV12" s="425"/>
      <c r="BOW12" s="425"/>
      <c r="BOX12" s="425"/>
      <c r="BOY12" s="425"/>
      <c r="BOZ12" s="425"/>
      <c r="BPA12" s="425"/>
      <c r="BPB12" s="425"/>
      <c r="BPC12" s="425"/>
      <c r="BPD12" s="425"/>
      <c r="BPE12" s="425"/>
      <c r="BPF12" s="425"/>
      <c r="BPG12" s="425"/>
      <c r="BPH12" s="425"/>
      <c r="BPI12" s="425"/>
      <c r="BPJ12" s="425"/>
      <c r="BPK12" s="425"/>
      <c r="BPL12" s="425"/>
      <c r="BPM12" s="425"/>
      <c r="BPN12" s="425"/>
      <c r="BPO12" s="425"/>
      <c r="BPP12" s="425"/>
      <c r="BPQ12" s="425"/>
      <c r="BPR12" s="425"/>
      <c r="BPS12" s="425"/>
      <c r="BPT12" s="425"/>
      <c r="BPU12" s="425"/>
      <c r="BPV12" s="425"/>
      <c r="BPW12" s="425"/>
      <c r="BPX12" s="425"/>
      <c r="BPY12" s="425"/>
      <c r="BPZ12" s="425"/>
      <c r="BQA12" s="425"/>
      <c r="BQB12" s="425"/>
      <c r="BQC12" s="425"/>
      <c r="BQD12" s="425"/>
      <c r="BQE12" s="425"/>
      <c r="BQF12" s="425"/>
      <c r="BQG12" s="425"/>
      <c r="BQH12" s="425"/>
      <c r="BQI12" s="425"/>
      <c r="BQJ12" s="425"/>
      <c r="BQK12" s="425"/>
      <c r="BQL12" s="425"/>
      <c r="BQM12" s="425"/>
      <c r="BQN12" s="425"/>
      <c r="BQO12" s="425"/>
      <c r="BQP12" s="425"/>
      <c r="BQQ12" s="425"/>
      <c r="BQR12" s="425"/>
      <c r="BQS12" s="425"/>
      <c r="BQT12" s="425"/>
      <c r="BQU12" s="425"/>
      <c r="BQV12" s="425"/>
      <c r="BQW12" s="425"/>
      <c r="BQX12" s="425"/>
      <c r="BQY12" s="425"/>
      <c r="BQZ12" s="425"/>
      <c r="BRA12" s="425"/>
      <c r="BRB12" s="425"/>
      <c r="BRC12" s="425"/>
      <c r="BRD12" s="425"/>
      <c r="BRE12" s="425"/>
      <c r="BRF12" s="425"/>
      <c r="BRG12" s="425"/>
      <c r="BRH12" s="425"/>
      <c r="BRI12" s="425"/>
      <c r="BRJ12" s="425"/>
      <c r="BRK12" s="425"/>
      <c r="BRL12" s="425"/>
      <c r="BRM12" s="425"/>
      <c r="BRN12" s="425"/>
      <c r="BRO12" s="425"/>
      <c r="BRP12" s="425"/>
      <c r="BRQ12" s="425"/>
      <c r="BRR12" s="425"/>
      <c r="BRS12" s="425"/>
      <c r="BRT12" s="425"/>
      <c r="BRU12" s="425"/>
      <c r="BRV12" s="425"/>
      <c r="BRW12" s="425"/>
      <c r="BRX12" s="425"/>
      <c r="BRY12" s="425"/>
      <c r="BRZ12" s="425"/>
      <c r="BSA12" s="425"/>
      <c r="BSB12" s="425"/>
      <c r="BSC12" s="425"/>
      <c r="BSD12" s="425"/>
      <c r="BSE12" s="425"/>
      <c r="BSF12" s="425"/>
      <c r="BSG12" s="425"/>
      <c r="BSH12" s="425"/>
      <c r="BSI12" s="425"/>
      <c r="BSJ12" s="425"/>
      <c r="BSK12" s="425"/>
      <c r="BSL12" s="425"/>
      <c r="BSM12" s="425"/>
      <c r="BSN12" s="425"/>
      <c r="BSO12" s="425"/>
      <c r="BSP12" s="425"/>
      <c r="BSQ12" s="425"/>
      <c r="BSR12" s="425"/>
      <c r="BSS12" s="425"/>
      <c r="BST12" s="425"/>
      <c r="BSU12" s="425"/>
      <c r="BSV12" s="425"/>
      <c r="BSW12" s="425"/>
      <c r="BSX12" s="425"/>
      <c r="BSY12" s="425"/>
      <c r="BSZ12" s="425"/>
      <c r="BTA12" s="425"/>
      <c r="BTB12" s="425"/>
      <c r="BTC12" s="425"/>
      <c r="BTD12" s="425"/>
      <c r="BTE12" s="425"/>
      <c r="BTF12" s="425"/>
      <c r="BTG12" s="425"/>
      <c r="BTH12" s="425"/>
      <c r="BTI12" s="425"/>
      <c r="BTJ12" s="425"/>
      <c r="BTK12" s="425"/>
      <c r="BTL12" s="425"/>
      <c r="BTM12" s="425"/>
      <c r="BTN12" s="425"/>
      <c r="BTO12" s="425"/>
      <c r="BTP12" s="425"/>
      <c r="BTQ12" s="425"/>
      <c r="BTR12" s="425"/>
      <c r="BTS12" s="425"/>
      <c r="BTT12" s="425"/>
      <c r="BTU12" s="425"/>
      <c r="BTV12" s="425"/>
      <c r="BTW12" s="425"/>
      <c r="BTX12" s="425"/>
      <c r="BTY12" s="425"/>
      <c r="BTZ12" s="425"/>
      <c r="BUA12" s="425"/>
      <c r="BUB12" s="425"/>
      <c r="BUC12" s="425"/>
      <c r="BUD12" s="425"/>
      <c r="BUE12" s="425"/>
      <c r="BUF12" s="425"/>
      <c r="BUG12" s="425"/>
      <c r="BUH12" s="425"/>
      <c r="BUI12" s="425"/>
      <c r="BUJ12" s="425"/>
      <c r="BUK12" s="425"/>
      <c r="BUL12" s="425"/>
      <c r="BUM12" s="425"/>
      <c r="BUN12" s="425"/>
      <c r="BUO12" s="425"/>
      <c r="BUP12" s="425"/>
      <c r="BUQ12" s="425"/>
      <c r="BUR12" s="425"/>
      <c r="BUS12" s="425"/>
      <c r="BUT12" s="425"/>
      <c r="BUU12" s="425"/>
      <c r="BUV12" s="425"/>
      <c r="BUW12" s="425"/>
      <c r="BUX12" s="425"/>
      <c r="BUY12" s="425"/>
      <c r="BUZ12" s="425"/>
      <c r="BVA12" s="425"/>
      <c r="BVB12" s="425"/>
      <c r="BVC12" s="425"/>
      <c r="BVD12" s="425"/>
      <c r="BVE12" s="425"/>
      <c r="BVF12" s="425"/>
      <c r="BVG12" s="425"/>
      <c r="BVH12" s="425"/>
      <c r="BVI12" s="425"/>
      <c r="BVJ12" s="425"/>
      <c r="BVK12" s="425"/>
      <c r="BVL12" s="425"/>
      <c r="BVM12" s="425"/>
      <c r="BVN12" s="425"/>
      <c r="BVO12" s="425"/>
      <c r="BVP12" s="425"/>
      <c r="BVQ12" s="425"/>
      <c r="BVR12" s="425"/>
      <c r="BVS12" s="425"/>
      <c r="BVT12" s="425"/>
      <c r="BVU12" s="425"/>
      <c r="BVV12" s="425"/>
      <c r="BVW12" s="425"/>
      <c r="BVX12" s="425"/>
      <c r="BVY12" s="425"/>
      <c r="BVZ12" s="425"/>
      <c r="BWA12" s="425"/>
      <c r="BWB12" s="425"/>
      <c r="BWC12" s="425"/>
      <c r="BWD12" s="425"/>
      <c r="BWE12" s="425"/>
      <c r="BWF12" s="425"/>
      <c r="BWG12" s="425"/>
      <c r="BWH12" s="425"/>
      <c r="BWI12" s="425"/>
      <c r="BWJ12" s="425"/>
      <c r="BWK12" s="425"/>
      <c r="BWL12" s="425"/>
      <c r="BWM12" s="425"/>
      <c r="BWN12" s="425"/>
      <c r="BWO12" s="425"/>
      <c r="BWP12" s="425"/>
      <c r="BWQ12" s="425"/>
      <c r="BWR12" s="425"/>
      <c r="BWS12" s="425"/>
      <c r="BWT12" s="425"/>
      <c r="BWU12" s="425"/>
      <c r="BWV12" s="425"/>
      <c r="BWW12" s="425"/>
      <c r="BWX12" s="425"/>
      <c r="BWY12" s="425"/>
      <c r="BWZ12" s="425"/>
      <c r="BXA12" s="425"/>
      <c r="BXB12" s="425"/>
      <c r="BXC12" s="425"/>
      <c r="BXD12" s="425"/>
      <c r="BXE12" s="425"/>
      <c r="BXF12" s="425"/>
      <c r="BXG12" s="425"/>
      <c r="BXH12" s="425"/>
      <c r="BXI12" s="425"/>
      <c r="BXJ12" s="425"/>
      <c r="BXK12" s="425"/>
      <c r="BXL12" s="425"/>
      <c r="BXM12" s="425"/>
      <c r="BXN12" s="425"/>
      <c r="BXO12" s="425"/>
      <c r="BXP12" s="425"/>
      <c r="BXQ12" s="425"/>
      <c r="BXR12" s="425"/>
      <c r="BXS12" s="425"/>
      <c r="BXT12" s="425"/>
      <c r="BXU12" s="425"/>
      <c r="BXV12" s="425"/>
      <c r="BXW12" s="425"/>
      <c r="BXX12" s="425"/>
      <c r="BXY12" s="425"/>
      <c r="BXZ12" s="425"/>
      <c r="BYA12" s="425"/>
      <c r="BYB12" s="425"/>
      <c r="BYC12" s="425"/>
      <c r="BYD12" s="425"/>
      <c r="BYE12" s="425"/>
      <c r="BYF12" s="425"/>
      <c r="BYG12" s="425"/>
      <c r="BYH12" s="425"/>
      <c r="BYI12" s="425"/>
      <c r="BYJ12" s="425"/>
      <c r="BYK12" s="425"/>
      <c r="BYL12" s="425"/>
      <c r="BYM12" s="425"/>
      <c r="BYN12" s="425"/>
      <c r="BYO12" s="425"/>
      <c r="BYP12" s="425"/>
      <c r="BYQ12" s="425"/>
      <c r="BYR12" s="425"/>
      <c r="BYS12" s="425"/>
      <c r="BYT12" s="425"/>
      <c r="BYU12" s="425"/>
      <c r="BYV12" s="425"/>
      <c r="BYW12" s="425"/>
      <c r="BYX12" s="425"/>
      <c r="BYY12" s="425"/>
      <c r="BYZ12" s="425"/>
      <c r="BZA12" s="425"/>
      <c r="BZB12" s="425"/>
      <c r="BZC12" s="425"/>
      <c r="BZD12" s="425"/>
      <c r="BZE12" s="425"/>
      <c r="BZF12" s="425"/>
      <c r="BZG12" s="425"/>
      <c r="BZH12" s="425"/>
      <c r="BZI12" s="425"/>
      <c r="BZJ12" s="425"/>
      <c r="BZK12" s="425"/>
      <c r="BZL12" s="425"/>
      <c r="BZM12" s="425"/>
      <c r="BZN12" s="425"/>
      <c r="BZO12" s="425"/>
      <c r="BZP12" s="425"/>
      <c r="BZQ12" s="425"/>
      <c r="BZR12" s="425"/>
      <c r="BZS12" s="425"/>
      <c r="BZT12" s="425"/>
      <c r="BZU12" s="425"/>
      <c r="BZV12" s="425"/>
      <c r="BZW12" s="425"/>
      <c r="BZX12" s="425"/>
      <c r="BZY12" s="425"/>
      <c r="BZZ12" s="425"/>
      <c r="CAA12" s="425"/>
      <c r="CAB12" s="425"/>
      <c r="CAC12" s="425"/>
      <c r="CAD12" s="425"/>
      <c r="CAE12" s="425"/>
      <c r="CAF12" s="425"/>
      <c r="CAG12" s="425"/>
      <c r="CAH12" s="425"/>
      <c r="CAI12" s="425"/>
      <c r="CAJ12" s="425"/>
      <c r="CAK12" s="425"/>
      <c r="CAL12" s="425"/>
      <c r="CAM12" s="425"/>
      <c r="CAN12" s="425"/>
      <c r="CAO12" s="425"/>
      <c r="CAP12" s="425"/>
      <c r="CAQ12" s="425"/>
      <c r="CAR12" s="425"/>
      <c r="CAS12" s="425"/>
      <c r="CAT12" s="425"/>
      <c r="CAU12" s="425"/>
      <c r="CAV12" s="425"/>
      <c r="CAW12" s="425"/>
      <c r="CAX12" s="425"/>
      <c r="CAY12" s="425"/>
      <c r="CAZ12" s="425"/>
      <c r="CBA12" s="425"/>
      <c r="CBB12" s="425"/>
      <c r="CBC12" s="425"/>
      <c r="CBD12" s="425"/>
      <c r="CBE12" s="425"/>
      <c r="CBF12" s="425"/>
      <c r="CBG12" s="425"/>
      <c r="CBH12" s="425"/>
      <c r="CBI12" s="425"/>
      <c r="CBJ12" s="425"/>
      <c r="CBK12" s="425"/>
      <c r="CBL12" s="425"/>
      <c r="CBM12" s="425"/>
      <c r="CBN12" s="425"/>
      <c r="CBO12" s="425"/>
      <c r="CBP12" s="425"/>
      <c r="CBQ12" s="425"/>
      <c r="CBR12" s="425"/>
      <c r="CBS12" s="425"/>
      <c r="CBT12" s="425"/>
      <c r="CBU12" s="425"/>
      <c r="CBV12" s="425"/>
      <c r="CBW12" s="425"/>
      <c r="CBX12" s="425"/>
      <c r="CBY12" s="425"/>
      <c r="CBZ12" s="425"/>
      <c r="CCA12" s="425"/>
      <c r="CCB12" s="425"/>
      <c r="CCC12" s="425"/>
      <c r="CCD12" s="425"/>
      <c r="CCE12" s="425"/>
      <c r="CCF12" s="425"/>
      <c r="CCG12" s="425"/>
      <c r="CCH12" s="425"/>
      <c r="CCI12" s="425"/>
      <c r="CCJ12" s="425"/>
      <c r="CCK12" s="425"/>
      <c r="CCL12" s="425"/>
      <c r="CCM12" s="425"/>
      <c r="CCN12" s="425"/>
      <c r="CCO12" s="425"/>
      <c r="CCP12" s="425"/>
      <c r="CCQ12" s="425"/>
      <c r="CCR12" s="425"/>
      <c r="CCS12" s="425"/>
      <c r="CCT12" s="425"/>
      <c r="CCU12" s="425"/>
      <c r="CCV12" s="425"/>
      <c r="CCW12" s="425"/>
      <c r="CCX12" s="425"/>
      <c r="CCY12" s="425"/>
      <c r="CCZ12" s="425"/>
      <c r="CDA12" s="425"/>
      <c r="CDB12" s="425"/>
      <c r="CDC12" s="425"/>
      <c r="CDD12" s="425"/>
      <c r="CDE12" s="425"/>
      <c r="CDF12" s="425"/>
      <c r="CDG12" s="425"/>
      <c r="CDH12" s="425"/>
      <c r="CDI12" s="425"/>
      <c r="CDJ12" s="425"/>
      <c r="CDK12" s="425"/>
      <c r="CDL12" s="425"/>
      <c r="CDM12" s="425"/>
      <c r="CDN12" s="425"/>
      <c r="CDO12" s="425"/>
      <c r="CDP12" s="425"/>
      <c r="CDQ12" s="425"/>
      <c r="CDR12" s="425"/>
      <c r="CDS12" s="425"/>
      <c r="CDT12" s="425"/>
      <c r="CDU12" s="425"/>
      <c r="CDV12" s="425"/>
      <c r="CDW12" s="425"/>
      <c r="CDX12" s="425"/>
      <c r="CDY12" s="425"/>
      <c r="CDZ12" s="425"/>
      <c r="CEA12" s="425"/>
      <c r="CEB12" s="425"/>
      <c r="CEC12" s="425"/>
      <c r="CED12" s="425"/>
      <c r="CEE12" s="425"/>
      <c r="CEF12" s="425"/>
      <c r="CEG12" s="425"/>
      <c r="CEH12" s="425"/>
      <c r="CEI12" s="425"/>
      <c r="CEJ12" s="425"/>
      <c r="CEK12" s="425"/>
      <c r="CEL12" s="425"/>
      <c r="CEM12" s="425"/>
      <c r="CEN12" s="425"/>
      <c r="CEO12" s="425"/>
      <c r="CEP12" s="425"/>
      <c r="CEQ12" s="425"/>
      <c r="CER12" s="425"/>
      <c r="CES12" s="425"/>
      <c r="CET12" s="425"/>
      <c r="CEU12" s="425"/>
      <c r="CEV12" s="425"/>
      <c r="CEW12" s="425"/>
      <c r="CEX12" s="425"/>
      <c r="CEY12" s="425"/>
      <c r="CEZ12" s="425"/>
      <c r="CFA12" s="425"/>
      <c r="CFB12" s="425"/>
      <c r="CFC12" s="425"/>
      <c r="CFD12" s="425"/>
      <c r="CFE12" s="425"/>
      <c r="CFF12" s="425"/>
      <c r="CFG12" s="425"/>
      <c r="CFH12" s="425"/>
      <c r="CFI12" s="425"/>
      <c r="CFJ12" s="425"/>
      <c r="CFK12" s="425"/>
      <c r="CFL12" s="425"/>
      <c r="CFM12" s="425"/>
      <c r="CFN12" s="425"/>
      <c r="CFO12" s="425"/>
      <c r="CFP12" s="425"/>
      <c r="CFQ12" s="425"/>
      <c r="CFR12" s="425"/>
      <c r="CFS12" s="425"/>
      <c r="CFT12" s="425"/>
      <c r="CFU12" s="425"/>
      <c r="CFV12" s="425"/>
      <c r="CFW12" s="425"/>
      <c r="CFX12" s="425"/>
      <c r="CFY12" s="425"/>
      <c r="CFZ12" s="425"/>
      <c r="CGA12" s="425"/>
      <c r="CGB12" s="425"/>
      <c r="CGC12" s="425"/>
      <c r="CGD12" s="425"/>
      <c r="CGE12" s="425"/>
      <c r="CGF12" s="425"/>
      <c r="CGG12" s="425"/>
      <c r="CGH12" s="425"/>
      <c r="CGI12" s="425"/>
      <c r="CGJ12" s="425"/>
      <c r="CGK12" s="425"/>
      <c r="CGL12" s="425"/>
      <c r="CGM12" s="425"/>
      <c r="CGN12" s="425"/>
      <c r="CGO12" s="425"/>
      <c r="CGP12" s="425"/>
      <c r="CGQ12" s="425"/>
      <c r="CGR12" s="425"/>
      <c r="CGS12" s="425"/>
      <c r="CGT12" s="425"/>
      <c r="CGU12" s="425"/>
      <c r="CGV12" s="425"/>
      <c r="CGW12" s="425"/>
      <c r="CGX12" s="425"/>
      <c r="CGY12" s="425"/>
      <c r="CGZ12" s="425"/>
      <c r="CHA12" s="425"/>
      <c r="CHB12" s="425"/>
      <c r="CHC12" s="425"/>
      <c r="CHD12" s="425"/>
      <c r="CHE12" s="425"/>
      <c r="CHF12" s="425"/>
      <c r="CHG12" s="425"/>
      <c r="CHH12" s="425"/>
      <c r="CHI12" s="425"/>
      <c r="CHJ12" s="425"/>
      <c r="CHK12" s="425"/>
      <c r="CHL12" s="425"/>
      <c r="CHM12" s="425"/>
      <c r="CHN12" s="425"/>
      <c r="CHO12" s="425"/>
      <c r="CHP12" s="425"/>
      <c r="CHQ12" s="425"/>
      <c r="CHR12" s="425"/>
      <c r="CHS12" s="425"/>
      <c r="CHT12" s="425"/>
      <c r="CHU12" s="425"/>
      <c r="CHV12" s="425"/>
      <c r="CHW12" s="425"/>
      <c r="CHX12" s="425"/>
      <c r="CHY12" s="425"/>
      <c r="CHZ12" s="425"/>
      <c r="CIA12" s="425"/>
      <c r="CIB12" s="425"/>
      <c r="CIC12" s="425"/>
      <c r="CID12" s="425"/>
      <c r="CIE12" s="425"/>
      <c r="CIF12" s="425"/>
      <c r="CIG12" s="425"/>
      <c r="CIH12" s="425"/>
      <c r="CII12" s="425"/>
      <c r="CIJ12" s="425"/>
      <c r="CIK12" s="425"/>
      <c r="CIL12" s="425"/>
      <c r="CIM12" s="425"/>
      <c r="CIN12" s="425"/>
      <c r="CIO12" s="425"/>
      <c r="CIP12" s="425"/>
      <c r="CIQ12" s="425"/>
      <c r="CIR12" s="425"/>
      <c r="CIS12" s="425"/>
      <c r="CIT12" s="425"/>
      <c r="CIU12" s="425"/>
      <c r="CIV12" s="425"/>
      <c r="CIW12" s="425"/>
      <c r="CIX12" s="425"/>
      <c r="CIY12" s="425"/>
      <c r="CIZ12" s="425"/>
      <c r="CJA12" s="425"/>
      <c r="CJB12" s="425"/>
      <c r="CJC12" s="425"/>
      <c r="CJD12" s="425"/>
      <c r="CJE12" s="425"/>
      <c r="CJF12" s="425"/>
      <c r="CJG12" s="425"/>
      <c r="CJH12" s="425"/>
      <c r="CJI12" s="425"/>
      <c r="CJJ12" s="425"/>
      <c r="CJK12" s="425"/>
      <c r="CJL12" s="425"/>
      <c r="CJM12" s="425"/>
      <c r="CJN12" s="425"/>
      <c r="CJO12" s="425"/>
      <c r="CJP12" s="425"/>
      <c r="CJQ12" s="425"/>
      <c r="CJR12" s="425"/>
      <c r="CJS12" s="425"/>
      <c r="CJT12" s="425"/>
      <c r="CJU12" s="425"/>
      <c r="CJV12" s="425"/>
      <c r="CJW12" s="425"/>
      <c r="CJX12" s="425"/>
      <c r="CJY12" s="425"/>
      <c r="CJZ12" s="425"/>
      <c r="CKA12" s="425"/>
      <c r="CKB12" s="425"/>
      <c r="CKC12" s="425"/>
      <c r="CKD12" s="425"/>
      <c r="CKE12" s="425"/>
      <c r="CKF12" s="425"/>
      <c r="CKG12" s="425"/>
      <c r="CKH12" s="425"/>
      <c r="CKI12" s="425"/>
      <c r="CKJ12" s="425"/>
      <c r="CKK12" s="425"/>
      <c r="CKL12" s="425"/>
      <c r="CKM12" s="425"/>
      <c r="CKN12" s="425"/>
      <c r="CKO12" s="425"/>
      <c r="CKP12" s="425"/>
      <c r="CKQ12" s="425"/>
      <c r="CKR12" s="425"/>
      <c r="CKS12" s="425"/>
      <c r="CKT12" s="425"/>
      <c r="CKU12" s="425"/>
      <c r="CKV12" s="425"/>
      <c r="CKW12" s="425"/>
      <c r="CKX12" s="425"/>
      <c r="CKY12" s="425"/>
      <c r="CKZ12" s="425"/>
      <c r="CLA12" s="425"/>
      <c r="CLB12" s="425"/>
      <c r="CLC12" s="425"/>
      <c r="CLD12" s="425"/>
      <c r="CLE12" s="425"/>
      <c r="CLF12" s="425"/>
      <c r="CLG12" s="425"/>
      <c r="CLH12" s="425"/>
      <c r="CLI12" s="425"/>
      <c r="CLJ12" s="425"/>
      <c r="CLK12" s="425"/>
      <c r="CLL12" s="425"/>
      <c r="CLM12" s="425"/>
      <c r="CLN12" s="425"/>
      <c r="CLO12" s="425"/>
      <c r="CLP12" s="425"/>
      <c r="CLQ12" s="425"/>
      <c r="CLR12" s="425"/>
      <c r="CLS12" s="425"/>
      <c r="CLT12" s="425"/>
      <c r="CLU12" s="425"/>
      <c r="CLV12" s="425"/>
      <c r="CLW12" s="425"/>
      <c r="CLX12" s="425"/>
      <c r="CLY12" s="425"/>
      <c r="CLZ12" s="425"/>
      <c r="CMA12" s="425"/>
      <c r="CMB12" s="425"/>
      <c r="CMC12" s="425"/>
      <c r="CMD12" s="425"/>
      <c r="CME12" s="425"/>
      <c r="CMF12" s="425"/>
      <c r="CMG12" s="425"/>
      <c r="CMH12" s="425"/>
      <c r="CMI12" s="425"/>
      <c r="CMJ12" s="425"/>
      <c r="CMK12" s="425"/>
      <c r="CML12" s="425"/>
      <c r="CMM12" s="425"/>
      <c r="CMN12" s="425"/>
      <c r="CMO12" s="425"/>
      <c r="CMP12" s="425"/>
      <c r="CMQ12" s="425"/>
      <c r="CMR12" s="425"/>
      <c r="CMS12" s="425"/>
      <c r="CMT12" s="425"/>
      <c r="CMU12" s="425"/>
      <c r="CMV12" s="425"/>
      <c r="CMW12" s="425"/>
      <c r="CMX12" s="425"/>
      <c r="CMY12" s="425"/>
      <c r="CMZ12" s="425"/>
      <c r="CNA12" s="425"/>
      <c r="CNB12" s="425"/>
      <c r="CNC12" s="425"/>
      <c r="CND12" s="425"/>
      <c r="CNE12" s="425"/>
      <c r="CNF12" s="425"/>
      <c r="CNG12" s="425"/>
      <c r="CNH12" s="425"/>
      <c r="CNI12" s="425"/>
      <c r="CNJ12" s="425"/>
      <c r="CNK12" s="425"/>
      <c r="CNL12" s="425"/>
      <c r="CNM12" s="425"/>
      <c r="CNN12" s="425"/>
      <c r="CNO12" s="425"/>
      <c r="CNP12" s="425"/>
      <c r="CNQ12" s="425"/>
      <c r="CNR12" s="425"/>
      <c r="CNS12" s="425"/>
      <c r="CNT12" s="425"/>
      <c r="CNU12" s="425"/>
      <c r="CNV12" s="425"/>
      <c r="CNW12" s="425"/>
      <c r="CNX12" s="425"/>
      <c r="CNY12" s="425"/>
      <c r="CNZ12" s="425"/>
      <c r="COA12" s="425"/>
      <c r="COB12" s="425"/>
      <c r="COC12" s="425"/>
      <c r="COD12" s="425"/>
      <c r="COE12" s="425"/>
      <c r="COF12" s="425"/>
      <c r="COG12" s="425"/>
      <c r="COH12" s="425"/>
      <c r="COI12" s="425"/>
      <c r="COJ12" s="425"/>
      <c r="COK12" s="425"/>
      <c r="COL12" s="425"/>
      <c r="COM12" s="425"/>
      <c r="CON12" s="425"/>
      <c r="COO12" s="425"/>
      <c r="COP12" s="425"/>
      <c r="COQ12" s="425"/>
      <c r="COR12" s="425"/>
      <c r="COS12" s="425"/>
      <c r="COT12" s="425"/>
      <c r="COU12" s="425"/>
      <c r="COV12" s="425"/>
      <c r="COW12" s="425"/>
      <c r="COX12" s="425"/>
      <c r="COY12" s="425"/>
      <c r="COZ12" s="425"/>
      <c r="CPA12" s="425"/>
      <c r="CPB12" s="425"/>
      <c r="CPC12" s="425"/>
      <c r="CPD12" s="425"/>
      <c r="CPE12" s="425"/>
      <c r="CPF12" s="425"/>
      <c r="CPG12" s="425"/>
      <c r="CPH12" s="425"/>
      <c r="CPI12" s="425"/>
      <c r="CPJ12" s="425"/>
      <c r="CPK12" s="425"/>
      <c r="CPL12" s="425"/>
      <c r="CPM12" s="425"/>
      <c r="CPN12" s="425"/>
      <c r="CPO12" s="425"/>
      <c r="CPP12" s="425"/>
      <c r="CPQ12" s="425"/>
      <c r="CPR12" s="425"/>
      <c r="CPS12" s="425"/>
      <c r="CPT12" s="425"/>
      <c r="CPU12" s="425"/>
      <c r="CPV12" s="425"/>
      <c r="CPW12" s="425"/>
      <c r="CPX12" s="425"/>
      <c r="CPY12" s="425"/>
      <c r="CPZ12" s="425"/>
      <c r="CQA12" s="425"/>
      <c r="CQB12" s="425"/>
      <c r="CQC12" s="425"/>
      <c r="CQD12" s="425"/>
      <c r="CQE12" s="425"/>
      <c r="CQF12" s="425"/>
      <c r="CQG12" s="425"/>
      <c r="CQH12" s="425"/>
      <c r="CQI12" s="425"/>
      <c r="CQJ12" s="425"/>
      <c r="CQK12" s="425"/>
      <c r="CQL12" s="425"/>
      <c r="CQM12" s="425"/>
      <c r="CQN12" s="425"/>
      <c r="CQO12" s="425"/>
      <c r="CQP12" s="425"/>
      <c r="CQQ12" s="425"/>
      <c r="CQR12" s="425"/>
      <c r="CQS12" s="425"/>
      <c r="CQT12" s="425"/>
      <c r="CQU12" s="425"/>
      <c r="CQV12" s="425"/>
      <c r="CQW12" s="425"/>
      <c r="CQX12" s="425"/>
      <c r="CQY12" s="425"/>
      <c r="CQZ12" s="425"/>
      <c r="CRA12" s="425"/>
      <c r="CRB12" s="425"/>
      <c r="CRC12" s="425"/>
      <c r="CRD12" s="425"/>
      <c r="CRE12" s="425"/>
      <c r="CRF12" s="425"/>
      <c r="CRG12" s="425"/>
      <c r="CRH12" s="425"/>
      <c r="CRI12" s="425"/>
      <c r="CRJ12" s="425"/>
      <c r="CRK12" s="425"/>
      <c r="CRL12" s="425"/>
      <c r="CRM12" s="425"/>
      <c r="CRN12" s="425"/>
      <c r="CRO12" s="425"/>
      <c r="CRP12" s="425"/>
      <c r="CRQ12" s="425"/>
      <c r="CRR12" s="425"/>
      <c r="CRS12" s="425"/>
      <c r="CRT12" s="425"/>
      <c r="CRU12" s="425"/>
      <c r="CRV12" s="425"/>
      <c r="CRW12" s="425"/>
      <c r="CRX12" s="425"/>
      <c r="CRY12" s="425"/>
      <c r="CRZ12" s="425"/>
      <c r="CSA12" s="425"/>
      <c r="CSB12" s="425"/>
      <c r="CSC12" s="425"/>
      <c r="CSD12" s="425"/>
      <c r="CSE12" s="425"/>
      <c r="CSF12" s="425"/>
      <c r="CSG12" s="425"/>
      <c r="CSH12" s="425"/>
      <c r="CSI12" s="425"/>
      <c r="CSJ12" s="425"/>
      <c r="CSK12" s="425"/>
      <c r="CSL12" s="425"/>
      <c r="CSM12" s="425"/>
      <c r="CSN12" s="425"/>
      <c r="CSO12" s="425"/>
      <c r="CSP12" s="425"/>
      <c r="CSQ12" s="425"/>
      <c r="CSR12" s="425"/>
      <c r="CSS12" s="425"/>
      <c r="CST12" s="425"/>
      <c r="CSU12" s="425"/>
      <c r="CSV12" s="425"/>
      <c r="CSW12" s="425"/>
      <c r="CSX12" s="425"/>
      <c r="CSY12" s="425"/>
      <c r="CSZ12" s="425"/>
      <c r="CTA12" s="425"/>
      <c r="CTB12" s="425"/>
      <c r="CTC12" s="425"/>
      <c r="CTD12" s="425"/>
      <c r="CTE12" s="425"/>
      <c r="CTF12" s="425"/>
      <c r="CTG12" s="425"/>
      <c r="CTH12" s="425"/>
      <c r="CTI12" s="425"/>
      <c r="CTJ12" s="425"/>
      <c r="CTK12" s="425"/>
      <c r="CTL12" s="425"/>
      <c r="CTM12" s="425"/>
      <c r="CTN12" s="425"/>
      <c r="CTO12" s="425"/>
      <c r="CTP12" s="425"/>
      <c r="CTQ12" s="425"/>
      <c r="CTR12" s="425"/>
      <c r="CTS12" s="425"/>
      <c r="CTT12" s="425"/>
      <c r="CTU12" s="425"/>
      <c r="CTV12" s="425"/>
      <c r="CTW12" s="425"/>
      <c r="CTX12" s="425"/>
      <c r="CTY12" s="425"/>
      <c r="CTZ12" s="425"/>
      <c r="CUA12" s="425"/>
      <c r="CUB12" s="425"/>
      <c r="CUC12" s="425"/>
      <c r="CUD12" s="425"/>
      <c r="CUE12" s="425"/>
      <c r="CUF12" s="425"/>
      <c r="CUG12" s="425"/>
      <c r="CUH12" s="425"/>
      <c r="CUI12" s="425"/>
      <c r="CUJ12" s="425"/>
      <c r="CUK12" s="425"/>
      <c r="CUL12" s="425"/>
      <c r="CUM12" s="425"/>
      <c r="CUN12" s="425"/>
      <c r="CUO12" s="425"/>
      <c r="CUP12" s="425"/>
      <c r="CUQ12" s="425"/>
      <c r="CUR12" s="425"/>
      <c r="CUS12" s="425"/>
      <c r="CUT12" s="425"/>
      <c r="CUU12" s="425"/>
      <c r="CUV12" s="425"/>
      <c r="CUW12" s="425"/>
      <c r="CUX12" s="425"/>
      <c r="CUY12" s="425"/>
      <c r="CUZ12" s="425"/>
      <c r="CVA12" s="425"/>
      <c r="CVB12" s="425"/>
      <c r="CVC12" s="425"/>
      <c r="CVD12" s="425"/>
      <c r="CVE12" s="425"/>
      <c r="CVF12" s="425"/>
      <c r="CVG12" s="425"/>
      <c r="CVH12" s="425"/>
      <c r="CVI12" s="425"/>
      <c r="CVJ12" s="425"/>
      <c r="CVK12" s="425"/>
      <c r="CVL12" s="425"/>
      <c r="CVM12" s="425"/>
      <c r="CVN12" s="425"/>
      <c r="CVO12" s="425"/>
      <c r="CVP12" s="425"/>
      <c r="CVQ12" s="425"/>
      <c r="CVR12" s="425"/>
      <c r="CVS12" s="425"/>
      <c r="CVT12" s="425"/>
      <c r="CVU12" s="425"/>
      <c r="CVV12" s="425"/>
      <c r="CVW12" s="425"/>
      <c r="CVX12" s="425"/>
      <c r="CVY12" s="425"/>
      <c r="CVZ12" s="425"/>
      <c r="CWA12" s="425"/>
      <c r="CWB12" s="425"/>
      <c r="CWC12" s="425"/>
      <c r="CWD12" s="425"/>
      <c r="CWE12" s="425"/>
      <c r="CWF12" s="425"/>
      <c r="CWG12" s="425"/>
      <c r="CWH12" s="425"/>
      <c r="CWI12" s="425"/>
      <c r="CWJ12" s="425"/>
      <c r="CWK12" s="425"/>
      <c r="CWL12" s="425"/>
      <c r="CWM12" s="425"/>
      <c r="CWN12" s="425"/>
      <c r="CWO12" s="425"/>
      <c r="CWP12" s="425"/>
      <c r="CWQ12" s="425"/>
      <c r="CWR12" s="425"/>
      <c r="CWS12" s="425"/>
      <c r="CWT12" s="425"/>
      <c r="CWU12" s="425"/>
      <c r="CWV12" s="425"/>
      <c r="CWW12" s="425"/>
      <c r="CWX12" s="425"/>
      <c r="CWY12" s="425"/>
      <c r="CWZ12" s="425"/>
      <c r="CXA12" s="425"/>
      <c r="CXB12" s="425"/>
      <c r="CXC12" s="425"/>
      <c r="CXD12" s="425"/>
      <c r="CXE12" s="425"/>
      <c r="CXF12" s="425"/>
      <c r="CXG12" s="425"/>
      <c r="CXH12" s="425"/>
      <c r="CXI12" s="425"/>
      <c r="CXJ12" s="425"/>
      <c r="CXK12" s="425"/>
      <c r="CXL12" s="425"/>
      <c r="CXM12" s="425"/>
      <c r="CXN12" s="425"/>
      <c r="CXO12" s="425"/>
      <c r="CXP12" s="425"/>
      <c r="CXQ12" s="425"/>
      <c r="CXR12" s="425"/>
      <c r="CXS12" s="425"/>
      <c r="CXT12" s="425"/>
      <c r="CXU12" s="425"/>
      <c r="CXV12" s="425"/>
      <c r="CXW12" s="425"/>
      <c r="CXX12" s="425"/>
      <c r="CXY12" s="425"/>
      <c r="CXZ12" s="425"/>
      <c r="CYA12" s="425"/>
      <c r="CYB12" s="425"/>
      <c r="CYC12" s="425"/>
      <c r="CYD12" s="425"/>
      <c r="CYE12" s="425"/>
      <c r="CYF12" s="425"/>
      <c r="CYG12" s="425"/>
      <c r="CYH12" s="425"/>
      <c r="CYI12" s="425"/>
      <c r="CYJ12" s="425"/>
      <c r="CYK12" s="425"/>
      <c r="CYL12" s="425"/>
      <c r="CYM12" s="425"/>
      <c r="CYN12" s="425"/>
      <c r="CYO12" s="425"/>
      <c r="CYP12" s="425"/>
      <c r="CYQ12" s="425"/>
      <c r="CYR12" s="425"/>
      <c r="CYS12" s="425"/>
      <c r="CYT12" s="425"/>
      <c r="CYU12" s="425"/>
      <c r="CYV12" s="425"/>
      <c r="CYW12" s="425"/>
      <c r="CYX12" s="425"/>
      <c r="CYY12" s="425"/>
      <c r="CYZ12" s="425"/>
      <c r="CZA12" s="425"/>
      <c r="CZB12" s="425"/>
      <c r="CZC12" s="425"/>
      <c r="CZD12" s="425"/>
      <c r="CZE12" s="425"/>
      <c r="CZF12" s="425"/>
      <c r="CZG12" s="425"/>
      <c r="CZH12" s="425"/>
      <c r="CZI12" s="425"/>
      <c r="CZJ12" s="425"/>
      <c r="CZK12" s="425"/>
      <c r="CZL12" s="425"/>
      <c r="CZM12" s="425"/>
      <c r="CZN12" s="425"/>
      <c r="CZO12" s="425"/>
      <c r="CZP12" s="425"/>
      <c r="CZQ12" s="425"/>
      <c r="CZR12" s="425"/>
      <c r="CZS12" s="425"/>
      <c r="CZT12" s="425"/>
      <c r="CZU12" s="425"/>
      <c r="CZV12" s="425"/>
      <c r="CZW12" s="425"/>
      <c r="CZX12" s="425"/>
      <c r="CZY12" s="425"/>
      <c r="CZZ12" s="425"/>
      <c r="DAA12" s="425"/>
      <c r="DAB12" s="425"/>
      <c r="DAC12" s="425"/>
      <c r="DAD12" s="425"/>
      <c r="DAE12" s="425"/>
      <c r="DAF12" s="425"/>
      <c r="DAG12" s="425"/>
      <c r="DAH12" s="425"/>
      <c r="DAI12" s="425"/>
      <c r="DAJ12" s="425"/>
      <c r="DAK12" s="425"/>
      <c r="DAL12" s="425"/>
      <c r="DAM12" s="425"/>
      <c r="DAN12" s="425"/>
      <c r="DAO12" s="425"/>
      <c r="DAP12" s="425"/>
      <c r="DAQ12" s="425"/>
      <c r="DAR12" s="425"/>
      <c r="DAS12" s="425"/>
      <c r="DAT12" s="425"/>
      <c r="DAU12" s="425"/>
      <c r="DAV12" s="425"/>
      <c r="DAW12" s="425"/>
      <c r="DAX12" s="425"/>
      <c r="DAY12" s="425"/>
      <c r="DAZ12" s="425"/>
      <c r="DBA12" s="425"/>
      <c r="DBB12" s="425"/>
      <c r="DBC12" s="425"/>
      <c r="DBD12" s="425"/>
      <c r="DBE12" s="425"/>
      <c r="DBF12" s="425"/>
      <c r="DBG12" s="425"/>
      <c r="DBH12" s="425"/>
      <c r="DBI12" s="425"/>
      <c r="DBJ12" s="425"/>
      <c r="DBK12" s="425"/>
      <c r="DBL12" s="425"/>
      <c r="DBM12" s="425"/>
      <c r="DBN12" s="425"/>
      <c r="DBO12" s="425"/>
      <c r="DBP12" s="425"/>
      <c r="DBQ12" s="425"/>
      <c r="DBR12" s="425"/>
      <c r="DBS12" s="425"/>
      <c r="DBT12" s="425"/>
      <c r="DBU12" s="425"/>
      <c r="DBV12" s="425"/>
      <c r="DBW12" s="425"/>
      <c r="DBX12" s="425"/>
      <c r="DBY12" s="425"/>
      <c r="DBZ12" s="425"/>
      <c r="DCA12" s="425"/>
      <c r="DCB12" s="425"/>
      <c r="DCC12" s="425"/>
      <c r="DCD12" s="425"/>
      <c r="DCE12" s="425"/>
      <c r="DCF12" s="425"/>
      <c r="DCG12" s="425"/>
      <c r="DCH12" s="425"/>
      <c r="DCI12" s="425"/>
      <c r="DCJ12" s="425"/>
      <c r="DCK12" s="425"/>
      <c r="DCL12" s="425"/>
      <c r="DCM12" s="425"/>
      <c r="DCN12" s="425"/>
      <c r="DCO12" s="425"/>
      <c r="DCP12" s="425"/>
      <c r="DCQ12" s="425"/>
      <c r="DCR12" s="425"/>
      <c r="DCS12" s="425"/>
      <c r="DCT12" s="425"/>
      <c r="DCU12" s="425"/>
      <c r="DCV12" s="425"/>
      <c r="DCW12" s="425"/>
      <c r="DCX12" s="425"/>
      <c r="DCY12" s="425"/>
      <c r="DCZ12" s="425"/>
      <c r="DDA12" s="425"/>
      <c r="DDB12" s="425"/>
      <c r="DDC12" s="425"/>
      <c r="DDD12" s="425"/>
      <c r="DDE12" s="425"/>
      <c r="DDF12" s="425"/>
      <c r="DDG12" s="425"/>
      <c r="DDH12" s="425"/>
      <c r="DDI12" s="425"/>
      <c r="DDJ12" s="425"/>
      <c r="DDK12" s="425"/>
      <c r="DDL12" s="425"/>
      <c r="DDM12" s="425"/>
      <c r="DDN12" s="425"/>
      <c r="DDO12" s="425"/>
      <c r="DDP12" s="425"/>
      <c r="DDQ12" s="425"/>
      <c r="DDR12" s="425"/>
      <c r="DDS12" s="425"/>
      <c r="DDT12" s="425"/>
      <c r="DDU12" s="425"/>
      <c r="DDV12" s="425"/>
      <c r="DDW12" s="425"/>
      <c r="DDX12" s="425"/>
      <c r="DDY12" s="425"/>
      <c r="DDZ12" s="425"/>
      <c r="DEA12" s="425"/>
      <c r="DEB12" s="425"/>
      <c r="DEC12" s="425"/>
      <c r="DED12" s="425"/>
      <c r="DEE12" s="425"/>
      <c r="DEF12" s="425"/>
      <c r="DEG12" s="425"/>
      <c r="DEH12" s="425"/>
      <c r="DEI12" s="425"/>
      <c r="DEJ12" s="425"/>
      <c r="DEK12" s="425"/>
      <c r="DEL12" s="425"/>
      <c r="DEM12" s="425"/>
      <c r="DEN12" s="425"/>
      <c r="DEO12" s="425"/>
      <c r="DEP12" s="425"/>
      <c r="DEQ12" s="425"/>
      <c r="DER12" s="425"/>
      <c r="DES12" s="425"/>
      <c r="DET12" s="425"/>
      <c r="DEU12" s="425"/>
      <c r="DEV12" s="425"/>
      <c r="DEW12" s="425"/>
      <c r="DEX12" s="425"/>
      <c r="DEY12" s="425"/>
      <c r="DEZ12" s="425"/>
      <c r="DFA12" s="425"/>
      <c r="DFB12" s="425"/>
      <c r="DFC12" s="425"/>
      <c r="DFD12" s="425"/>
      <c r="DFE12" s="425"/>
      <c r="DFF12" s="425"/>
      <c r="DFG12" s="425"/>
      <c r="DFH12" s="425"/>
      <c r="DFI12" s="425"/>
      <c r="DFJ12" s="425"/>
      <c r="DFK12" s="425"/>
      <c r="DFL12" s="425"/>
      <c r="DFM12" s="425"/>
      <c r="DFN12" s="425"/>
      <c r="DFO12" s="425"/>
      <c r="DFP12" s="425"/>
      <c r="DFQ12" s="425"/>
      <c r="DFR12" s="425"/>
      <c r="DFS12" s="425"/>
      <c r="DFT12" s="425"/>
      <c r="DFU12" s="425"/>
      <c r="DFV12" s="425"/>
      <c r="DFW12" s="425"/>
      <c r="DFX12" s="425"/>
      <c r="DFY12" s="425"/>
      <c r="DFZ12" s="425"/>
      <c r="DGA12" s="425"/>
      <c r="DGB12" s="425"/>
      <c r="DGC12" s="425"/>
      <c r="DGD12" s="425"/>
      <c r="DGE12" s="425"/>
      <c r="DGF12" s="425"/>
      <c r="DGG12" s="425"/>
      <c r="DGH12" s="425"/>
      <c r="DGI12" s="425"/>
      <c r="DGJ12" s="425"/>
      <c r="DGK12" s="425"/>
      <c r="DGL12" s="425"/>
      <c r="DGM12" s="425"/>
      <c r="DGN12" s="425"/>
      <c r="DGO12" s="425"/>
      <c r="DGP12" s="425"/>
      <c r="DGQ12" s="425"/>
      <c r="DGR12" s="425"/>
      <c r="DGS12" s="425"/>
      <c r="DGT12" s="425"/>
      <c r="DGU12" s="425"/>
      <c r="DGV12" s="425"/>
      <c r="DGW12" s="425"/>
      <c r="DGX12" s="425"/>
      <c r="DGY12" s="425"/>
      <c r="DGZ12" s="425"/>
      <c r="DHA12" s="425"/>
      <c r="DHB12" s="425"/>
      <c r="DHC12" s="425"/>
      <c r="DHD12" s="425"/>
      <c r="DHE12" s="425"/>
      <c r="DHF12" s="425"/>
      <c r="DHG12" s="425"/>
      <c r="DHH12" s="425"/>
      <c r="DHI12" s="425"/>
      <c r="DHJ12" s="425"/>
      <c r="DHK12" s="425"/>
      <c r="DHL12" s="425"/>
      <c r="DHM12" s="425"/>
      <c r="DHN12" s="425"/>
      <c r="DHO12" s="425"/>
      <c r="DHP12" s="425"/>
      <c r="DHQ12" s="425"/>
      <c r="DHR12" s="425"/>
      <c r="DHS12" s="425"/>
      <c r="DHT12" s="425"/>
      <c r="DHU12" s="425"/>
      <c r="DHV12" s="425"/>
      <c r="DHW12" s="425"/>
      <c r="DHX12" s="425"/>
      <c r="DHY12" s="425"/>
      <c r="DHZ12" s="425"/>
      <c r="DIA12" s="425"/>
      <c r="DIB12" s="425"/>
      <c r="DIC12" s="425"/>
      <c r="DID12" s="425"/>
      <c r="DIE12" s="425"/>
      <c r="DIF12" s="425"/>
      <c r="DIG12" s="425"/>
      <c r="DIH12" s="425"/>
      <c r="DII12" s="425"/>
      <c r="DIJ12" s="425"/>
      <c r="DIK12" s="425"/>
      <c r="DIL12" s="425"/>
      <c r="DIM12" s="425"/>
      <c r="DIN12" s="425"/>
      <c r="DIO12" s="425"/>
      <c r="DIP12" s="425"/>
      <c r="DIQ12" s="425"/>
      <c r="DIR12" s="425"/>
      <c r="DIS12" s="425"/>
      <c r="DIT12" s="425"/>
      <c r="DIU12" s="425"/>
      <c r="DIV12" s="425"/>
      <c r="DIW12" s="425"/>
      <c r="DIX12" s="425"/>
      <c r="DIY12" s="425"/>
      <c r="DIZ12" s="425"/>
      <c r="DJA12" s="425"/>
      <c r="DJB12" s="425"/>
      <c r="DJC12" s="425"/>
      <c r="DJD12" s="425"/>
      <c r="DJE12" s="425"/>
      <c r="DJF12" s="425"/>
      <c r="DJG12" s="425"/>
      <c r="DJH12" s="425"/>
      <c r="DJI12" s="425"/>
      <c r="DJJ12" s="425"/>
      <c r="DJK12" s="425"/>
      <c r="DJL12" s="425"/>
      <c r="DJM12" s="425"/>
      <c r="DJN12" s="425"/>
      <c r="DJO12" s="425"/>
      <c r="DJP12" s="425"/>
      <c r="DJQ12" s="425"/>
      <c r="DJR12" s="425"/>
      <c r="DJS12" s="425"/>
      <c r="DJT12" s="425"/>
      <c r="DJU12" s="425"/>
      <c r="DJV12" s="425"/>
      <c r="DJW12" s="425"/>
      <c r="DJX12" s="425"/>
      <c r="DJY12" s="425"/>
      <c r="DJZ12" s="425"/>
      <c r="DKA12" s="425"/>
      <c r="DKB12" s="425"/>
      <c r="DKC12" s="425"/>
      <c r="DKD12" s="425"/>
      <c r="DKE12" s="425"/>
      <c r="DKF12" s="425"/>
      <c r="DKG12" s="425"/>
      <c r="DKH12" s="425"/>
      <c r="DKI12" s="425"/>
      <c r="DKJ12" s="425"/>
      <c r="DKK12" s="425"/>
      <c r="DKL12" s="425"/>
      <c r="DKM12" s="425"/>
      <c r="DKN12" s="425"/>
      <c r="DKO12" s="425"/>
      <c r="DKP12" s="425"/>
      <c r="DKQ12" s="425"/>
      <c r="DKR12" s="425"/>
      <c r="DKS12" s="425"/>
      <c r="DKT12" s="425"/>
      <c r="DKU12" s="425"/>
      <c r="DKV12" s="425"/>
      <c r="DKW12" s="425"/>
      <c r="DKX12" s="425"/>
      <c r="DKY12" s="425"/>
      <c r="DKZ12" s="425"/>
      <c r="DLA12" s="425"/>
      <c r="DLB12" s="425"/>
      <c r="DLC12" s="425"/>
      <c r="DLD12" s="425"/>
      <c r="DLE12" s="425"/>
      <c r="DLF12" s="425"/>
      <c r="DLG12" s="425"/>
      <c r="DLH12" s="425"/>
      <c r="DLI12" s="425"/>
      <c r="DLJ12" s="425"/>
      <c r="DLK12" s="425"/>
      <c r="DLL12" s="425"/>
      <c r="DLM12" s="425"/>
      <c r="DLN12" s="425"/>
      <c r="DLO12" s="425"/>
      <c r="DLP12" s="425"/>
      <c r="DLQ12" s="425"/>
      <c r="DLR12" s="425"/>
      <c r="DLS12" s="425"/>
      <c r="DLT12" s="425"/>
      <c r="DLU12" s="425"/>
      <c r="DLV12" s="425"/>
      <c r="DLW12" s="425"/>
      <c r="DLX12" s="425"/>
      <c r="DLY12" s="425"/>
      <c r="DLZ12" s="425"/>
      <c r="DMA12" s="425"/>
      <c r="DMB12" s="425"/>
      <c r="DMC12" s="425"/>
      <c r="DMD12" s="425"/>
      <c r="DME12" s="425"/>
      <c r="DMF12" s="425"/>
      <c r="DMG12" s="425"/>
      <c r="DMH12" s="425"/>
      <c r="DMI12" s="425"/>
      <c r="DMJ12" s="425"/>
      <c r="DMK12" s="425"/>
      <c r="DML12" s="425"/>
      <c r="DMM12" s="425"/>
      <c r="DMN12" s="425"/>
      <c r="DMO12" s="425"/>
      <c r="DMP12" s="425"/>
      <c r="DMQ12" s="425"/>
      <c r="DMR12" s="425"/>
      <c r="DMS12" s="425"/>
      <c r="DMT12" s="425"/>
      <c r="DMU12" s="425"/>
      <c r="DMV12" s="425"/>
      <c r="DMW12" s="425"/>
      <c r="DMX12" s="425"/>
      <c r="DMY12" s="425"/>
      <c r="DMZ12" s="425"/>
      <c r="DNA12" s="425"/>
      <c r="DNB12" s="425"/>
      <c r="DNC12" s="425"/>
      <c r="DND12" s="425"/>
      <c r="DNE12" s="425"/>
      <c r="DNF12" s="425"/>
      <c r="DNG12" s="425"/>
      <c r="DNH12" s="425"/>
      <c r="DNI12" s="425"/>
      <c r="DNJ12" s="425"/>
      <c r="DNK12" s="425"/>
      <c r="DNL12" s="425"/>
      <c r="DNM12" s="425"/>
      <c r="DNN12" s="425"/>
      <c r="DNO12" s="425"/>
      <c r="DNP12" s="425"/>
      <c r="DNQ12" s="425"/>
      <c r="DNR12" s="425"/>
      <c r="DNS12" s="425"/>
      <c r="DNT12" s="425"/>
      <c r="DNU12" s="425"/>
      <c r="DNV12" s="425"/>
      <c r="DNW12" s="425"/>
      <c r="DNX12" s="425"/>
      <c r="DNY12" s="425"/>
      <c r="DNZ12" s="425"/>
      <c r="DOA12" s="425"/>
      <c r="DOB12" s="425"/>
      <c r="DOC12" s="425"/>
      <c r="DOD12" s="425"/>
      <c r="DOE12" s="425"/>
      <c r="DOF12" s="425"/>
      <c r="DOG12" s="425"/>
      <c r="DOH12" s="425"/>
      <c r="DOI12" s="425"/>
      <c r="DOJ12" s="425"/>
      <c r="DOK12" s="425"/>
      <c r="DOL12" s="425"/>
      <c r="DOM12" s="425"/>
      <c r="DON12" s="425"/>
      <c r="DOO12" s="425"/>
      <c r="DOP12" s="425"/>
      <c r="DOQ12" s="425"/>
      <c r="DOR12" s="425"/>
      <c r="DOS12" s="425"/>
      <c r="DOT12" s="425"/>
      <c r="DOU12" s="425"/>
      <c r="DOV12" s="425"/>
      <c r="DOW12" s="425"/>
      <c r="DOX12" s="425"/>
      <c r="DOY12" s="425"/>
      <c r="DOZ12" s="425"/>
      <c r="DPA12" s="425"/>
      <c r="DPB12" s="425"/>
      <c r="DPC12" s="425"/>
      <c r="DPD12" s="425"/>
      <c r="DPE12" s="425"/>
      <c r="DPF12" s="425"/>
      <c r="DPG12" s="425"/>
      <c r="DPH12" s="425"/>
      <c r="DPI12" s="425"/>
      <c r="DPJ12" s="425"/>
      <c r="DPK12" s="425"/>
      <c r="DPL12" s="425"/>
      <c r="DPM12" s="425"/>
      <c r="DPN12" s="425"/>
      <c r="DPO12" s="425"/>
      <c r="DPP12" s="425"/>
      <c r="DPQ12" s="425"/>
      <c r="DPR12" s="425"/>
      <c r="DPS12" s="425"/>
      <c r="DPT12" s="425"/>
      <c r="DPU12" s="425"/>
      <c r="DPV12" s="425"/>
      <c r="DPW12" s="425"/>
      <c r="DPX12" s="425"/>
      <c r="DPY12" s="425"/>
      <c r="DPZ12" s="425"/>
      <c r="DQA12" s="425"/>
      <c r="DQB12" s="425"/>
      <c r="DQC12" s="425"/>
      <c r="DQD12" s="425"/>
      <c r="DQE12" s="425"/>
      <c r="DQF12" s="425"/>
      <c r="DQG12" s="425"/>
      <c r="DQH12" s="425"/>
      <c r="DQI12" s="425"/>
      <c r="DQJ12" s="425"/>
      <c r="DQK12" s="425"/>
      <c r="DQL12" s="425"/>
      <c r="DQM12" s="425"/>
      <c r="DQN12" s="425"/>
      <c r="DQO12" s="425"/>
      <c r="DQP12" s="425"/>
      <c r="DQQ12" s="425"/>
      <c r="DQR12" s="425"/>
      <c r="DQS12" s="425"/>
      <c r="DQT12" s="425"/>
      <c r="DQU12" s="425"/>
      <c r="DQV12" s="425"/>
      <c r="DQW12" s="425"/>
      <c r="DQX12" s="425"/>
      <c r="DQY12" s="425"/>
      <c r="DQZ12" s="425"/>
      <c r="DRA12" s="425"/>
      <c r="DRB12" s="425"/>
      <c r="DRC12" s="425"/>
      <c r="DRD12" s="425"/>
      <c r="DRE12" s="425"/>
      <c r="DRF12" s="425"/>
      <c r="DRG12" s="425"/>
      <c r="DRH12" s="425"/>
      <c r="DRI12" s="425"/>
      <c r="DRJ12" s="425"/>
      <c r="DRK12" s="425"/>
      <c r="DRL12" s="425"/>
      <c r="DRM12" s="425"/>
      <c r="DRN12" s="425"/>
      <c r="DRO12" s="425"/>
      <c r="DRP12" s="425"/>
      <c r="DRQ12" s="425"/>
      <c r="DRR12" s="425"/>
      <c r="DRS12" s="425"/>
      <c r="DRT12" s="425"/>
      <c r="DRU12" s="425"/>
      <c r="DRV12" s="425"/>
      <c r="DRW12" s="425"/>
      <c r="DRX12" s="425"/>
      <c r="DRY12" s="425"/>
      <c r="DRZ12" s="425"/>
      <c r="DSA12" s="425"/>
      <c r="DSB12" s="425"/>
      <c r="DSC12" s="425"/>
      <c r="DSD12" s="425"/>
      <c r="DSE12" s="425"/>
      <c r="DSF12" s="425"/>
      <c r="DSG12" s="425"/>
      <c r="DSH12" s="425"/>
      <c r="DSI12" s="425"/>
      <c r="DSJ12" s="425"/>
      <c r="DSK12" s="425"/>
      <c r="DSL12" s="425"/>
      <c r="DSM12" s="425"/>
      <c r="DSN12" s="425"/>
      <c r="DSO12" s="425"/>
      <c r="DSP12" s="425"/>
      <c r="DSQ12" s="425"/>
      <c r="DSR12" s="425"/>
      <c r="DSS12" s="425"/>
      <c r="DST12" s="425"/>
      <c r="DSU12" s="425"/>
      <c r="DSV12" s="425"/>
      <c r="DSW12" s="425"/>
      <c r="DSX12" s="425"/>
      <c r="DSY12" s="425"/>
      <c r="DSZ12" s="425"/>
      <c r="DTA12" s="425"/>
      <c r="DTB12" s="425"/>
      <c r="DTC12" s="425"/>
      <c r="DTD12" s="425"/>
      <c r="DTE12" s="425"/>
      <c r="DTF12" s="425"/>
      <c r="DTG12" s="425"/>
      <c r="DTH12" s="425"/>
      <c r="DTI12" s="425"/>
      <c r="DTJ12" s="425"/>
      <c r="DTK12" s="425"/>
      <c r="DTL12" s="425"/>
      <c r="DTM12" s="425"/>
      <c r="DTN12" s="425"/>
      <c r="DTO12" s="425"/>
      <c r="DTP12" s="425"/>
      <c r="DTQ12" s="425"/>
      <c r="DTR12" s="425"/>
      <c r="DTS12" s="425"/>
      <c r="DTT12" s="425"/>
      <c r="DTU12" s="425"/>
      <c r="DTV12" s="425"/>
      <c r="DTW12" s="425"/>
      <c r="DTX12" s="425"/>
      <c r="DTY12" s="425"/>
      <c r="DTZ12" s="425"/>
      <c r="DUA12" s="425"/>
      <c r="DUB12" s="425"/>
      <c r="DUC12" s="425"/>
      <c r="DUD12" s="425"/>
      <c r="DUE12" s="425"/>
      <c r="DUF12" s="425"/>
      <c r="DUG12" s="425"/>
      <c r="DUH12" s="425"/>
      <c r="DUI12" s="425"/>
      <c r="DUJ12" s="425"/>
      <c r="DUK12" s="425"/>
      <c r="DUL12" s="425"/>
      <c r="DUM12" s="425"/>
      <c r="DUN12" s="425"/>
      <c r="DUO12" s="425"/>
      <c r="DUP12" s="425"/>
      <c r="DUQ12" s="425"/>
      <c r="DUR12" s="425"/>
      <c r="DUS12" s="425"/>
      <c r="DUT12" s="425"/>
      <c r="DUU12" s="425"/>
      <c r="DUV12" s="425"/>
      <c r="DUW12" s="425"/>
      <c r="DUX12" s="425"/>
      <c r="DUY12" s="425"/>
      <c r="DUZ12" s="425"/>
      <c r="DVA12" s="425"/>
      <c r="DVB12" s="425"/>
      <c r="DVC12" s="425"/>
      <c r="DVD12" s="425"/>
      <c r="DVE12" s="425"/>
      <c r="DVF12" s="425"/>
      <c r="DVG12" s="425"/>
      <c r="DVH12" s="425"/>
      <c r="DVI12" s="425"/>
      <c r="DVJ12" s="425"/>
      <c r="DVK12" s="425"/>
      <c r="DVL12" s="425"/>
      <c r="DVM12" s="425"/>
      <c r="DVN12" s="425"/>
      <c r="DVO12" s="425"/>
      <c r="DVP12" s="425"/>
      <c r="DVQ12" s="425"/>
      <c r="DVR12" s="425"/>
      <c r="DVS12" s="425"/>
      <c r="DVT12" s="425"/>
      <c r="DVU12" s="425"/>
      <c r="DVV12" s="425"/>
      <c r="DVW12" s="425"/>
      <c r="DVX12" s="425"/>
      <c r="DVY12" s="425"/>
      <c r="DVZ12" s="425"/>
      <c r="DWA12" s="425"/>
      <c r="DWB12" s="425"/>
      <c r="DWC12" s="425"/>
      <c r="DWD12" s="425"/>
      <c r="DWE12" s="425"/>
      <c r="DWF12" s="425"/>
      <c r="DWG12" s="425"/>
      <c r="DWH12" s="425"/>
      <c r="DWI12" s="425"/>
      <c r="DWJ12" s="425"/>
      <c r="DWK12" s="425"/>
      <c r="DWL12" s="425"/>
      <c r="DWM12" s="425"/>
      <c r="DWN12" s="425"/>
      <c r="DWO12" s="425"/>
      <c r="DWP12" s="425"/>
      <c r="DWQ12" s="425"/>
      <c r="DWR12" s="425"/>
      <c r="DWS12" s="425"/>
      <c r="DWT12" s="425"/>
      <c r="DWU12" s="425"/>
      <c r="DWV12" s="425"/>
      <c r="DWW12" s="425"/>
      <c r="DWX12" s="425"/>
      <c r="DWY12" s="425"/>
      <c r="DWZ12" s="425"/>
      <c r="DXA12" s="425"/>
      <c r="DXB12" s="425"/>
      <c r="DXC12" s="425"/>
      <c r="DXD12" s="425"/>
      <c r="DXE12" s="425"/>
      <c r="DXF12" s="425"/>
      <c r="DXG12" s="425"/>
      <c r="DXH12" s="425"/>
      <c r="DXI12" s="425"/>
      <c r="DXJ12" s="425"/>
      <c r="DXK12" s="425"/>
      <c r="DXL12" s="425"/>
      <c r="DXM12" s="425"/>
      <c r="DXN12" s="425"/>
      <c r="DXO12" s="425"/>
      <c r="DXP12" s="425"/>
      <c r="DXQ12" s="425"/>
      <c r="DXR12" s="425"/>
      <c r="DXS12" s="425"/>
      <c r="DXT12" s="425"/>
      <c r="DXU12" s="425"/>
      <c r="DXV12" s="425"/>
      <c r="DXW12" s="425"/>
      <c r="DXX12" s="425"/>
      <c r="DXY12" s="425"/>
      <c r="DXZ12" s="425"/>
      <c r="DYA12" s="425"/>
      <c r="DYB12" s="425"/>
      <c r="DYC12" s="425"/>
      <c r="DYD12" s="425"/>
      <c r="DYE12" s="425"/>
      <c r="DYF12" s="425"/>
      <c r="DYG12" s="425"/>
      <c r="DYH12" s="425"/>
      <c r="DYI12" s="425"/>
      <c r="DYJ12" s="425"/>
      <c r="DYK12" s="425"/>
      <c r="DYL12" s="425"/>
      <c r="DYM12" s="425"/>
      <c r="DYN12" s="425"/>
      <c r="DYO12" s="425"/>
      <c r="DYP12" s="425"/>
      <c r="DYQ12" s="425"/>
      <c r="DYR12" s="425"/>
      <c r="DYS12" s="425"/>
      <c r="DYT12" s="425"/>
      <c r="DYU12" s="425"/>
      <c r="DYV12" s="425"/>
      <c r="DYW12" s="425"/>
      <c r="DYX12" s="425"/>
      <c r="DYY12" s="425"/>
      <c r="DYZ12" s="425"/>
      <c r="DZA12" s="425"/>
      <c r="DZB12" s="425"/>
      <c r="DZC12" s="425"/>
      <c r="DZD12" s="425"/>
      <c r="DZE12" s="425"/>
      <c r="DZF12" s="425"/>
      <c r="DZG12" s="425"/>
      <c r="DZH12" s="425"/>
      <c r="DZI12" s="425"/>
      <c r="DZJ12" s="425"/>
      <c r="DZK12" s="425"/>
      <c r="DZL12" s="425"/>
      <c r="DZM12" s="425"/>
      <c r="DZN12" s="425"/>
      <c r="DZO12" s="425"/>
      <c r="DZP12" s="425"/>
      <c r="DZQ12" s="425"/>
      <c r="DZR12" s="425"/>
      <c r="DZS12" s="425"/>
      <c r="DZT12" s="425"/>
      <c r="DZU12" s="425"/>
      <c r="DZV12" s="425"/>
      <c r="DZW12" s="425"/>
      <c r="DZX12" s="425"/>
      <c r="DZY12" s="425"/>
      <c r="DZZ12" s="425"/>
      <c r="EAA12" s="425"/>
      <c r="EAB12" s="425"/>
      <c r="EAC12" s="425"/>
      <c r="EAD12" s="425"/>
      <c r="EAE12" s="425"/>
      <c r="EAF12" s="425"/>
      <c r="EAG12" s="425"/>
      <c r="EAH12" s="425"/>
      <c r="EAI12" s="425"/>
      <c r="EAJ12" s="425"/>
      <c r="EAK12" s="425"/>
      <c r="EAL12" s="425"/>
      <c r="EAM12" s="425"/>
      <c r="EAN12" s="425"/>
      <c r="EAO12" s="425"/>
      <c r="EAP12" s="425"/>
      <c r="EAQ12" s="425"/>
      <c r="EAR12" s="425"/>
      <c r="EAS12" s="425"/>
      <c r="EAT12" s="425"/>
      <c r="EAU12" s="425"/>
      <c r="EAV12" s="425"/>
      <c r="EAW12" s="425"/>
      <c r="EAX12" s="425"/>
      <c r="EAY12" s="425"/>
      <c r="EAZ12" s="425"/>
      <c r="EBA12" s="425"/>
      <c r="EBB12" s="425"/>
      <c r="EBC12" s="425"/>
      <c r="EBD12" s="425"/>
      <c r="EBE12" s="425"/>
      <c r="EBF12" s="425"/>
      <c r="EBG12" s="425"/>
      <c r="EBH12" s="425"/>
      <c r="EBI12" s="425"/>
      <c r="EBJ12" s="425"/>
      <c r="EBK12" s="425"/>
      <c r="EBL12" s="425"/>
      <c r="EBM12" s="425"/>
      <c r="EBN12" s="425"/>
      <c r="EBO12" s="425"/>
      <c r="EBP12" s="425"/>
      <c r="EBQ12" s="425"/>
      <c r="EBR12" s="425"/>
      <c r="EBS12" s="425"/>
      <c r="EBT12" s="425"/>
      <c r="EBU12" s="425"/>
      <c r="EBV12" s="425"/>
      <c r="EBW12" s="425"/>
      <c r="EBX12" s="425"/>
      <c r="EBY12" s="425"/>
      <c r="EBZ12" s="425"/>
      <c r="ECA12" s="425"/>
      <c r="ECB12" s="425"/>
      <c r="ECC12" s="425"/>
      <c r="ECD12" s="425"/>
      <c r="ECE12" s="425"/>
      <c r="ECF12" s="425"/>
      <c r="ECG12" s="425"/>
      <c r="ECH12" s="425"/>
      <c r="ECI12" s="425"/>
      <c r="ECJ12" s="425"/>
      <c r="ECK12" s="425"/>
      <c r="ECL12" s="425"/>
      <c r="ECM12" s="425"/>
      <c r="ECN12" s="425"/>
      <c r="ECO12" s="425"/>
      <c r="ECP12" s="425"/>
      <c r="ECQ12" s="425"/>
      <c r="ECR12" s="425"/>
      <c r="ECS12" s="425"/>
      <c r="ECT12" s="425"/>
      <c r="ECU12" s="425"/>
      <c r="ECV12" s="425"/>
      <c r="ECW12" s="425"/>
      <c r="ECX12" s="425"/>
      <c r="ECY12" s="425"/>
      <c r="ECZ12" s="425"/>
      <c r="EDA12" s="425"/>
      <c r="EDB12" s="425"/>
      <c r="EDC12" s="425"/>
      <c r="EDD12" s="425"/>
      <c r="EDE12" s="425"/>
      <c r="EDF12" s="425"/>
      <c r="EDG12" s="425"/>
      <c r="EDH12" s="425"/>
      <c r="EDI12" s="425"/>
      <c r="EDJ12" s="425"/>
      <c r="EDK12" s="425"/>
      <c r="EDL12" s="425"/>
      <c r="EDM12" s="425"/>
      <c r="EDN12" s="425"/>
      <c r="EDO12" s="425"/>
      <c r="EDP12" s="425"/>
      <c r="EDQ12" s="425"/>
      <c r="EDR12" s="425"/>
      <c r="EDS12" s="425"/>
      <c r="EDT12" s="425"/>
      <c r="EDU12" s="425"/>
      <c r="EDV12" s="425"/>
      <c r="EDW12" s="425"/>
      <c r="EDX12" s="425"/>
      <c r="EDY12" s="425"/>
      <c r="EDZ12" s="425"/>
      <c r="EEA12" s="425"/>
      <c r="EEB12" s="425"/>
      <c r="EEC12" s="425"/>
      <c r="EED12" s="425"/>
      <c r="EEE12" s="425"/>
      <c r="EEF12" s="425"/>
      <c r="EEG12" s="425"/>
      <c r="EEH12" s="425"/>
      <c r="EEI12" s="425"/>
      <c r="EEJ12" s="425"/>
      <c r="EEK12" s="425"/>
      <c r="EEL12" s="425"/>
      <c r="EEM12" s="425"/>
      <c r="EEN12" s="425"/>
      <c r="EEO12" s="425"/>
      <c r="EEP12" s="425"/>
      <c r="EEQ12" s="425"/>
      <c r="EER12" s="425"/>
      <c r="EES12" s="425"/>
      <c r="EET12" s="425"/>
      <c r="EEU12" s="425"/>
      <c r="EEV12" s="425"/>
      <c r="EEW12" s="425"/>
      <c r="EEX12" s="425"/>
      <c r="EEY12" s="425"/>
      <c r="EEZ12" s="425"/>
      <c r="EFA12" s="425"/>
      <c r="EFB12" s="425"/>
      <c r="EFC12" s="425"/>
      <c r="EFD12" s="425"/>
      <c r="EFE12" s="425"/>
      <c r="EFF12" s="425"/>
      <c r="EFG12" s="425"/>
      <c r="EFH12" s="425"/>
      <c r="EFI12" s="425"/>
      <c r="EFJ12" s="425"/>
      <c r="EFK12" s="425"/>
      <c r="EFL12" s="425"/>
      <c r="EFM12" s="425"/>
      <c r="EFN12" s="425"/>
      <c r="EFO12" s="425"/>
      <c r="EFP12" s="425"/>
      <c r="EFQ12" s="425"/>
      <c r="EFR12" s="425"/>
      <c r="EFS12" s="425"/>
      <c r="EFT12" s="425"/>
      <c r="EFU12" s="425"/>
      <c r="EFV12" s="425"/>
      <c r="EFW12" s="425"/>
      <c r="EFX12" s="425"/>
      <c r="EFY12" s="425"/>
      <c r="EFZ12" s="425"/>
      <c r="EGA12" s="425"/>
      <c r="EGB12" s="425"/>
      <c r="EGC12" s="425"/>
      <c r="EGD12" s="425"/>
      <c r="EGE12" s="425"/>
      <c r="EGF12" s="425"/>
      <c r="EGG12" s="425"/>
      <c r="EGH12" s="425"/>
      <c r="EGI12" s="425"/>
      <c r="EGJ12" s="425"/>
      <c r="EGK12" s="425"/>
      <c r="EGL12" s="425"/>
      <c r="EGM12" s="425"/>
      <c r="EGN12" s="425"/>
      <c r="EGO12" s="425"/>
      <c r="EGP12" s="425"/>
      <c r="EGQ12" s="425"/>
      <c r="EGR12" s="425"/>
      <c r="EGS12" s="425"/>
      <c r="EGT12" s="425"/>
      <c r="EGU12" s="425"/>
      <c r="EGV12" s="425"/>
      <c r="EGW12" s="425"/>
      <c r="EGX12" s="425"/>
      <c r="EGY12" s="425"/>
      <c r="EGZ12" s="425"/>
      <c r="EHA12" s="425"/>
      <c r="EHB12" s="425"/>
      <c r="EHC12" s="425"/>
      <c r="EHD12" s="425"/>
      <c r="EHE12" s="425"/>
      <c r="EHF12" s="425"/>
      <c r="EHG12" s="425"/>
      <c r="EHH12" s="425"/>
      <c r="EHI12" s="425"/>
      <c r="EHJ12" s="425"/>
      <c r="EHK12" s="425"/>
      <c r="EHL12" s="425"/>
      <c r="EHM12" s="425"/>
      <c r="EHN12" s="425"/>
      <c r="EHO12" s="425"/>
      <c r="EHP12" s="425"/>
      <c r="EHQ12" s="425"/>
      <c r="EHR12" s="425"/>
      <c r="EHS12" s="425"/>
      <c r="EHT12" s="425"/>
      <c r="EHU12" s="425"/>
      <c r="EHV12" s="425"/>
      <c r="EHW12" s="425"/>
      <c r="EHX12" s="425"/>
      <c r="EHY12" s="425"/>
      <c r="EHZ12" s="425"/>
      <c r="EIA12" s="425"/>
      <c r="EIB12" s="425"/>
      <c r="EIC12" s="425"/>
      <c r="EID12" s="425"/>
      <c r="EIE12" s="425"/>
      <c r="EIF12" s="425"/>
      <c r="EIG12" s="425"/>
      <c r="EIH12" s="425"/>
      <c r="EII12" s="425"/>
      <c r="EIJ12" s="425"/>
      <c r="EIK12" s="425"/>
      <c r="EIL12" s="425"/>
      <c r="EIM12" s="425"/>
      <c r="EIN12" s="425"/>
      <c r="EIO12" s="425"/>
      <c r="EIP12" s="425"/>
      <c r="EIQ12" s="425"/>
      <c r="EIR12" s="425"/>
      <c r="EIS12" s="425"/>
      <c r="EIT12" s="425"/>
      <c r="EIU12" s="425"/>
      <c r="EIV12" s="425"/>
      <c r="EIW12" s="425"/>
      <c r="EIX12" s="425"/>
      <c r="EIY12" s="425"/>
      <c r="EIZ12" s="425"/>
      <c r="EJA12" s="425"/>
      <c r="EJB12" s="425"/>
      <c r="EJC12" s="425"/>
      <c r="EJD12" s="425"/>
      <c r="EJE12" s="425"/>
      <c r="EJF12" s="425"/>
      <c r="EJG12" s="425"/>
      <c r="EJH12" s="425"/>
      <c r="EJI12" s="425"/>
      <c r="EJJ12" s="425"/>
      <c r="EJK12" s="425"/>
      <c r="EJL12" s="425"/>
      <c r="EJM12" s="425"/>
      <c r="EJN12" s="425"/>
      <c r="EJO12" s="425"/>
      <c r="EJP12" s="425"/>
      <c r="EJQ12" s="425"/>
      <c r="EJR12" s="425"/>
      <c r="EJS12" s="425"/>
      <c r="EJT12" s="425"/>
      <c r="EJU12" s="425"/>
      <c r="EJV12" s="425"/>
      <c r="EJW12" s="425"/>
      <c r="EJX12" s="425"/>
      <c r="EJY12" s="425"/>
      <c r="EJZ12" s="425"/>
      <c r="EKA12" s="425"/>
      <c r="EKB12" s="425"/>
      <c r="EKC12" s="425"/>
      <c r="EKD12" s="425"/>
      <c r="EKE12" s="425"/>
      <c r="EKF12" s="425"/>
      <c r="EKG12" s="425"/>
      <c r="EKH12" s="425"/>
      <c r="EKI12" s="425"/>
      <c r="EKJ12" s="425"/>
      <c r="EKK12" s="425"/>
      <c r="EKL12" s="425"/>
      <c r="EKM12" s="425"/>
      <c r="EKN12" s="425"/>
      <c r="EKO12" s="425"/>
      <c r="EKP12" s="425"/>
      <c r="EKQ12" s="425"/>
      <c r="EKR12" s="425"/>
      <c r="EKS12" s="425"/>
      <c r="EKT12" s="425"/>
      <c r="EKU12" s="425"/>
      <c r="EKV12" s="425"/>
      <c r="EKW12" s="425"/>
      <c r="EKX12" s="425"/>
      <c r="EKY12" s="425"/>
      <c r="EKZ12" s="425"/>
      <c r="ELA12" s="425"/>
      <c r="ELB12" s="425"/>
      <c r="ELC12" s="425"/>
      <c r="ELD12" s="425"/>
      <c r="ELE12" s="425"/>
      <c r="ELF12" s="425"/>
      <c r="ELG12" s="425"/>
      <c r="ELH12" s="425"/>
      <c r="ELI12" s="425"/>
      <c r="ELJ12" s="425"/>
      <c r="ELK12" s="425"/>
      <c r="ELL12" s="425"/>
      <c r="ELM12" s="425"/>
      <c r="ELN12" s="425"/>
      <c r="ELO12" s="425"/>
      <c r="ELP12" s="425"/>
      <c r="ELQ12" s="425"/>
      <c r="ELR12" s="425"/>
      <c r="ELS12" s="425"/>
      <c r="ELT12" s="425"/>
      <c r="ELU12" s="425"/>
      <c r="ELV12" s="425"/>
      <c r="ELW12" s="425"/>
      <c r="ELX12" s="425"/>
      <c r="ELY12" s="425"/>
      <c r="ELZ12" s="425"/>
      <c r="EMA12" s="425"/>
      <c r="EMB12" s="425"/>
      <c r="EMC12" s="425"/>
      <c r="EMD12" s="425"/>
      <c r="EME12" s="425"/>
      <c r="EMF12" s="425"/>
      <c r="EMG12" s="425"/>
      <c r="EMH12" s="425"/>
      <c r="EMI12" s="425"/>
      <c r="EMJ12" s="425"/>
      <c r="EMK12" s="425"/>
      <c r="EML12" s="425"/>
      <c r="EMM12" s="425"/>
      <c r="EMN12" s="425"/>
      <c r="EMO12" s="425"/>
      <c r="EMP12" s="425"/>
      <c r="EMQ12" s="425"/>
      <c r="EMR12" s="425"/>
      <c r="EMS12" s="425"/>
      <c r="EMT12" s="425"/>
      <c r="EMU12" s="425"/>
      <c r="EMV12" s="425"/>
      <c r="EMW12" s="425"/>
      <c r="EMX12" s="425"/>
      <c r="EMY12" s="425"/>
      <c r="EMZ12" s="425"/>
      <c r="ENA12" s="425"/>
      <c r="ENB12" s="425"/>
      <c r="ENC12" s="425"/>
      <c r="END12" s="425"/>
      <c r="ENE12" s="425"/>
      <c r="ENF12" s="425"/>
      <c r="ENG12" s="425"/>
      <c r="ENH12" s="425"/>
      <c r="ENI12" s="425"/>
      <c r="ENJ12" s="425"/>
      <c r="ENK12" s="425"/>
      <c r="ENL12" s="425"/>
      <c r="ENM12" s="425"/>
      <c r="ENN12" s="425"/>
      <c r="ENO12" s="425"/>
      <c r="ENP12" s="425"/>
      <c r="ENQ12" s="425"/>
      <c r="ENR12" s="425"/>
      <c r="ENS12" s="425"/>
      <c r="ENT12" s="425"/>
      <c r="ENU12" s="425"/>
      <c r="ENV12" s="425"/>
      <c r="ENW12" s="425"/>
      <c r="ENX12" s="425"/>
      <c r="ENY12" s="425"/>
      <c r="ENZ12" s="425"/>
      <c r="EOA12" s="425"/>
      <c r="EOB12" s="425"/>
      <c r="EOC12" s="425"/>
      <c r="EOD12" s="425"/>
      <c r="EOE12" s="425"/>
      <c r="EOF12" s="425"/>
      <c r="EOG12" s="425"/>
      <c r="EOH12" s="425"/>
      <c r="EOI12" s="425"/>
      <c r="EOJ12" s="425"/>
      <c r="EOK12" s="425"/>
      <c r="EOL12" s="425"/>
      <c r="EOM12" s="425"/>
      <c r="EON12" s="425"/>
      <c r="EOO12" s="425"/>
      <c r="EOP12" s="425"/>
      <c r="EOQ12" s="425"/>
      <c r="EOR12" s="425"/>
      <c r="EOS12" s="425"/>
      <c r="EOT12" s="425"/>
      <c r="EOU12" s="425"/>
      <c r="EOV12" s="425"/>
      <c r="EOW12" s="425"/>
      <c r="EOX12" s="425"/>
      <c r="EOY12" s="425"/>
      <c r="EOZ12" s="425"/>
      <c r="EPA12" s="425"/>
      <c r="EPB12" s="425"/>
      <c r="EPC12" s="425"/>
      <c r="EPD12" s="425"/>
      <c r="EPE12" s="425"/>
      <c r="EPF12" s="425"/>
      <c r="EPG12" s="425"/>
      <c r="EPH12" s="425"/>
      <c r="EPI12" s="425"/>
      <c r="EPJ12" s="425"/>
      <c r="EPK12" s="425"/>
      <c r="EPL12" s="425"/>
      <c r="EPM12" s="425"/>
      <c r="EPN12" s="425"/>
      <c r="EPO12" s="425"/>
      <c r="EPP12" s="425"/>
      <c r="EPQ12" s="425"/>
      <c r="EPR12" s="425"/>
      <c r="EPS12" s="425"/>
      <c r="EPT12" s="425"/>
      <c r="EPU12" s="425"/>
      <c r="EPV12" s="425"/>
      <c r="EPW12" s="425"/>
      <c r="EPX12" s="425"/>
      <c r="EPY12" s="425"/>
      <c r="EPZ12" s="425"/>
      <c r="EQA12" s="425"/>
      <c r="EQB12" s="425"/>
      <c r="EQC12" s="425"/>
      <c r="EQD12" s="425"/>
      <c r="EQE12" s="425"/>
      <c r="EQF12" s="425"/>
      <c r="EQG12" s="425"/>
      <c r="EQH12" s="425"/>
      <c r="EQI12" s="425"/>
      <c r="EQJ12" s="425"/>
      <c r="EQK12" s="425"/>
      <c r="EQL12" s="425"/>
      <c r="EQM12" s="425"/>
      <c r="EQN12" s="425"/>
      <c r="EQO12" s="425"/>
      <c r="EQP12" s="425"/>
      <c r="EQQ12" s="425"/>
      <c r="EQR12" s="425"/>
      <c r="EQS12" s="425"/>
      <c r="EQT12" s="425"/>
      <c r="EQU12" s="425"/>
      <c r="EQV12" s="425"/>
      <c r="EQW12" s="425"/>
      <c r="EQX12" s="425"/>
      <c r="EQY12" s="425"/>
      <c r="EQZ12" s="425"/>
      <c r="ERA12" s="425"/>
      <c r="ERB12" s="425"/>
      <c r="ERC12" s="425"/>
      <c r="ERD12" s="425"/>
      <c r="ERE12" s="425"/>
      <c r="ERF12" s="425"/>
      <c r="ERG12" s="425"/>
      <c r="ERH12" s="425"/>
      <c r="ERI12" s="425"/>
      <c r="ERJ12" s="425"/>
      <c r="ERK12" s="425"/>
      <c r="ERL12" s="425"/>
      <c r="ERM12" s="425"/>
      <c r="ERN12" s="425"/>
      <c r="ERO12" s="425"/>
      <c r="ERP12" s="425"/>
      <c r="ERQ12" s="425"/>
      <c r="ERR12" s="425"/>
      <c r="ERS12" s="425"/>
      <c r="ERT12" s="425"/>
      <c r="ERU12" s="425"/>
      <c r="ERV12" s="425"/>
      <c r="ERW12" s="425"/>
      <c r="ERX12" s="425"/>
      <c r="ERY12" s="425"/>
      <c r="ERZ12" s="425"/>
      <c r="ESA12" s="425"/>
      <c r="ESB12" s="425"/>
      <c r="ESC12" s="425"/>
      <c r="ESD12" s="425"/>
      <c r="ESE12" s="425"/>
      <c r="ESF12" s="425"/>
      <c r="ESG12" s="425"/>
      <c r="ESH12" s="425"/>
      <c r="ESI12" s="425"/>
      <c r="ESJ12" s="425"/>
      <c r="ESK12" s="425"/>
      <c r="ESL12" s="425"/>
      <c r="ESM12" s="425"/>
      <c r="ESN12" s="425"/>
      <c r="ESO12" s="425"/>
      <c r="ESP12" s="425"/>
      <c r="ESQ12" s="425"/>
      <c r="ESR12" s="425"/>
      <c r="ESS12" s="425"/>
      <c r="EST12" s="425"/>
      <c r="ESU12" s="425"/>
      <c r="ESV12" s="425"/>
      <c r="ESW12" s="425"/>
      <c r="ESX12" s="425"/>
      <c r="ESY12" s="425"/>
      <c r="ESZ12" s="425"/>
      <c r="ETA12" s="425"/>
      <c r="ETB12" s="425"/>
      <c r="ETC12" s="425"/>
      <c r="ETD12" s="425"/>
      <c r="ETE12" s="425"/>
      <c r="ETF12" s="425"/>
      <c r="ETG12" s="425"/>
      <c r="ETH12" s="425"/>
      <c r="ETI12" s="425"/>
      <c r="ETJ12" s="425"/>
      <c r="ETK12" s="425"/>
      <c r="ETL12" s="425"/>
      <c r="ETM12" s="425"/>
      <c r="ETN12" s="425"/>
      <c r="ETO12" s="425"/>
      <c r="ETP12" s="425"/>
      <c r="ETQ12" s="425"/>
      <c r="ETR12" s="425"/>
      <c r="ETS12" s="425"/>
      <c r="ETT12" s="425"/>
      <c r="ETU12" s="425"/>
      <c r="ETV12" s="425"/>
      <c r="ETW12" s="425"/>
      <c r="ETX12" s="425"/>
      <c r="ETY12" s="425"/>
      <c r="ETZ12" s="425"/>
      <c r="EUA12" s="425"/>
      <c r="EUB12" s="425"/>
      <c r="EUC12" s="425"/>
      <c r="EUD12" s="425"/>
      <c r="EUE12" s="425"/>
      <c r="EUF12" s="425"/>
      <c r="EUG12" s="425"/>
      <c r="EUH12" s="425"/>
      <c r="EUI12" s="425"/>
      <c r="EUJ12" s="425"/>
      <c r="EUK12" s="425"/>
      <c r="EUL12" s="425"/>
      <c r="EUM12" s="425"/>
      <c r="EUN12" s="425"/>
      <c r="EUO12" s="425"/>
      <c r="EUP12" s="425"/>
      <c r="EUQ12" s="425"/>
      <c r="EUR12" s="425"/>
      <c r="EUS12" s="425"/>
      <c r="EUT12" s="425"/>
      <c r="EUU12" s="425"/>
      <c r="EUV12" s="425"/>
      <c r="EUW12" s="425"/>
      <c r="EUX12" s="425"/>
      <c r="EUY12" s="425"/>
      <c r="EUZ12" s="425"/>
      <c r="EVA12" s="425"/>
      <c r="EVB12" s="425"/>
      <c r="EVC12" s="425"/>
      <c r="EVD12" s="425"/>
      <c r="EVE12" s="425"/>
      <c r="EVF12" s="425"/>
      <c r="EVG12" s="425"/>
      <c r="EVH12" s="425"/>
      <c r="EVI12" s="425"/>
      <c r="EVJ12" s="425"/>
      <c r="EVK12" s="425"/>
      <c r="EVL12" s="425"/>
      <c r="EVM12" s="425"/>
      <c r="EVN12" s="425"/>
      <c r="EVO12" s="425"/>
      <c r="EVP12" s="425"/>
      <c r="EVQ12" s="425"/>
      <c r="EVR12" s="425"/>
      <c r="EVS12" s="425"/>
      <c r="EVT12" s="425"/>
      <c r="EVU12" s="425"/>
      <c r="EVV12" s="425"/>
      <c r="EVW12" s="425"/>
      <c r="EVX12" s="425"/>
      <c r="EVY12" s="425"/>
      <c r="EVZ12" s="425"/>
      <c r="EWA12" s="425"/>
      <c r="EWB12" s="425"/>
      <c r="EWC12" s="425"/>
      <c r="EWD12" s="425"/>
      <c r="EWE12" s="425"/>
      <c r="EWF12" s="425"/>
      <c r="EWG12" s="425"/>
      <c r="EWH12" s="425"/>
      <c r="EWI12" s="425"/>
      <c r="EWJ12" s="425"/>
      <c r="EWK12" s="425"/>
      <c r="EWL12" s="425"/>
      <c r="EWM12" s="425"/>
      <c r="EWN12" s="425"/>
      <c r="EWO12" s="425"/>
      <c r="EWP12" s="425"/>
      <c r="EWQ12" s="425"/>
      <c r="EWR12" s="425"/>
      <c r="EWS12" s="425"/>
      <c r="EWT12" s="425"/>
      <c r="EWU12" s="425"/>
      <c r="EWV12" s="425"/>
      <c r="EWW12" s="425"/>
      <c r="EWX12" s="425"/>
      <c r="EWY12" s="425"/>
      <c r="EWZ12" s="425"/>
      <c r="EXA12" s="425"/>
      <c r="EXB12" s="425"/>
      <c r="EXC12" s="425"/>
      <c r="EXD12" s="425"/>
      <c r="EXE12" s="425"/>
      <c r="EXF12" s="425"/>
      <c r="EXG12" s="425"/>
      <c r="EXH12" s="425"/>
      <c r="EXI12" s="425"/>
      <c r="EXJ12" s="425"/>
      <c r="EXK12" s="425"/>
      <c r="EXL12" s="425"/>
      <c r="EXM12" s="425"/>
      <c r="EXN12" s="425"/>
      <c r="EXO12" s="425"/>
      <c r="EXP12" s="425"/>
      <c r="EXQ12" s="425"/>
      <c r="EXR12" s="425"/>
      <c r="EXS12" s="425"/>
      <c r="EXT12" s="425"/>
      <c r="EXU12" s="425"/>
      <c r="EXV12" s="425"/>
      <c r="EXW12" s="425"/>
      <c r="EXX12" s="425"/>
      <c r="EXY12" s="425"/>
      <c r="EXZ12" s="425"/>
      <c r="EYA12" s="425"/>
      <c r="EYB12" s="425"/>
      <c r="EYC12" s="425"/>
      <c r="EYD12" s="425"/>
      <c r="EYE12" s="425"/>
      <c r="EYF12" s="425"/>
      <c r="EYG12" s="425"/>
      <c r="EYH12" s="425"/>
      <c r="EYI12" s="425"/>
      <c r="EYJ12" s="425"/>
      <c r="EYK12" s="425"/>
      <c r="EYL12" s="425"/>
      <c r="EYM12" s="425"/>
      <c r="EYN12" s="425"/>
      <c r="EYO12" s="425"/>
      <c r="EYP12" s="425"/>
      <c r="EYQ12" s="425"/>
      <c r="EYR12" s="425"/>
      <c r="EYS12" s="425"/>
      <c r="EYT12" s="425"/>
      <c r="EYU12" s="425"/>
      <c r="EYV12" s="425"/>
      <c r="EYW12" s="425"/>
      <c r="EYX12" s="425"/>
      <c r="EYY12" s="425"/>
      <c r="EYZ12" s="425"/>
      <c r="EZA12" s="425"/>
      <c r="EZB12" s="425"/>
      <c r="EZC12" s="425"/>
      <c r="EZD12" s="425"/>
      <c r="EZE12" s="425"/>
      <c r="EZF12" s="425"/>
      <c r="EZG12" s="425"/>
      <c r="EZH12" s="425"/>
      <c r="EZI12" s="425"/>
      <c r="EZJ12" s="425"/>
      <c r="EZK12" s="425"/>
      <c r="EZL12" s="425"/>
      <c r="EZM12" s="425"/>
      <c r="EZN12" s="425"/>
      <c r="EZO12" s="425"/>
      <c r="EZP12" s="425"/>
      <c r="EZQ12" s="425"/>
      <c r="EZR12" s="425"/>
      <c r="EZS12" s="425"/>
      <c r="EZT12" s="425"/>
      <c r="EZU12" s="425"/>
      <c r="EZV12" s="425"/>
      <c r="EZW12" s="425"/>
      <c r="EZX12" s="425"/>
      <c r="EZY12" s="425"/>
      <c r="EZZ12" s="425"/>
      <c r="FAA12" s="425"/>
      <c r="FAB12" s="425"/>
      <c r="FAC12" s="425"/>
      <c r="FAD12" s="425"/>
      <c r="FAE12" s="425"/>
      <c r="FAF12" s="425"/>
      <c r="FAG12" s="425"/>
      <c r="FAH12" s="425"/>
      <c r="FAI12" s="425"/>
      <c r="FAJ12" s="425"/>
      <c r="FAK12" s="425"/>
      <c r="FAL12" s="425"/>
      <c r="FAM12" s="425"/>
      <c r="FAN12" s="425"/>
      <c r="FAO12" s="425"/>
      <c r="FAP12" s="425"/>
      <c r="FAQ12" s="425"/>
      <c r="FAR12" s="425"/>
      <c r="FAS12" s="425"/>
      <c r="FAT12" s="425"/>
      <c r="FAU12" s="425"/>
      <c r="FAV12" s="425"/>
      <c r="FAW12" s="425"/>
      <c r="FAX12" s="425"/>
      <c r="FAY12" s="425"/>
      <c r="FAZ12" s="425"/>
      <c r="FBA12" s="425"/>
      <c r="FBB12" s="425"/>
      <c r="FBC12" s="425"/>
      <c r="FBD12" s="425"/>
      <c r="FBE12" s="425"/>
      <c r="FBF12" s="425"/>
      <c r="FBG12" s="425"/>
      <c r="FBH12" s="425"/>
      <c r="FBI12" s="425"/>
      <c r="FBJ12" s="425"/>
      <c r="FBK12" s="425"/>
      <c r="FBL12" s="425"/>
      <c r="FBM12" s="425"/>
      <c r="FBN12" s="425"/>
      <c r="FBO12" s="425"/>
      <c r="FBP12" s="425"/>
      <c r="FBQ12" s="425"/>
      <c r="FBR12" s="425"/>
      <c r="FBS12" s="425"/>
      <c r="FBT12" s="425"/>
      <c r="FBU12" s="425"/>
      <c r="FBV12" s="425"/>
      <c r="FBW12" s="425"/>
      <c r="FBX12" s="425"/>
      <c r="FBY12" s="425"/>
      <c r="FBZ12" s="425"/>
      <c r="FCA12" s="425"/>
      <c r="FCB12" s="425"/>
      <c r="FCC12" s="425"/>
      <c r="FCD12" s="425"/>
      <c r="FCE12" s="425"/>
      <c r="FCF12" s="425"/>
      <c r="FCG12" s="425"/>
      <c r="FCH12" s="425"/>
      <c r="FCI12" s="425"/>
      <c r="FCJ12" s="425"/>
      <c r="FCK12" s="425"/>
      <c r="FCL12" s="425"/>
      <c r="FCM12" s="425"/>
      <c r="FCN12" s="425"/>
      <c r="FCO12" s="425"/>
      <c r="FCP12" s="425"/>
      <c r="FCQ12" s="425"/>
      <c r="FCR12" s="425"/>
      <c r="FCS12" s="425"/>
      <c r="FCT12" s="425"/>
      <c r="FCU12" s="425"/>
      <c r="FCV12" s="425"/>
      <c r="FCW12" s="425"/>
      <c r="FCX12" s="425"/>
      <c r="FCY12" s="425"/>
      <c r="FCZ12" s="425"/>
      <c r="FDA12" s="425"/>
      <c r="FDB12" s="425"/>
      <c r="FDC12" s="425"/>
      <c r="FDD12" s="425"/>
      <c r="FDE12" s="425"/>
      <c r="FDF12" s="425"/>
      <c r="FDG12" s="425"/>
      <c r="FDH12" s="425"/>
      <c r="FDI12" s="425"/>
      <c r="FDJ12" s="425"/>
      <c r="FDK12" s="425"/>
      <c r="FDL12" s="425"/>
      <c r="FDM12" s="425"/>
      <c r="FDN12" s="425"/>
      <c r="FDO12" s="425"/>
      <c r="FDP12" s="425"/>
      <c r="FDQ12" s="425"/>
      <c r="FDR12" s="425"/>
      <c r="FDS12" s="425"/>
      <c r="FDT12" s="425"/>
      <c r="FDU12" s="425"/>
      <c r="FDV12" s="425"/>
      <c r="FDW12" s="425"/>
      <c r="FDX12" s="425"/>
      <c r="FDY12" s="425"/>
      <c r="FDZ12" s="425"/>
      <c r="FEA12" s="425"/>
      <c r="FEB12" s="425"/>
      <c r="FEC12" s="425"/>
      <c r="FED12" s="425"/>
      <c r="FEE12" s="425"/>
      <c r="FEF12" s="425"/>
      <c r="FEG12" s="425"/>
      <c r="FEH12" s="425"/>
      <c r="FEI12" s="425"/>
      <c r="FEJ12" s="425"/>
      <c r="FEK12" s="425"/>
      <c r="FEL12" s="425"/>
      <c r="FEM12" s="425"/>
      <c r="FEN12" s="425"/>
      <c r="FEO12" s="425"/>
      <c r="FEP12" s="425"/>
      <c r="FEQ12" s="425"/>
      <c r="FER12" s="425"/>
      <c r="FES12" s="425"/>
      <c r="FET12" s="425"/>
      <c r="FEU12" s="425"/>
      <c r="FEV12" s="425"/>
      <c r="FEW12" s="425"/>
      <c r="FEX12" s="425"/>
      <c r="FEY12" s="425"/>
      <c r="FEZ12" s="425"/>
      <c r="FFA12" s="425"/>
      <c r="FFB12" s="425"/>
      <c r="FFC12" s="425"/>
      <c r="FFD12" s="425"/>
      <c r="FFE12" s="425"/>
      <c r="FFF12" s="425"/>
      <c r="FFG12" s="425"/>
      <c r="FFH12" s="425"/>
      <c r="FFI12" s="425"/>
      <c r="FFJ12" s="425"/>
      <c r="FFK12" s="425"/>
      <c r="FFL12" s="425"/>
      <c r="FFM12" s="425"/>
      <c r="FFN12" s="425"/>
      <c r="FFO12" s="425"/>
      <c r="FFP12" s="425"/>
      <c r="FFQ12" s="425"/>
      <c r="FFR12" s="425"/>
      <c r="FFS12" s="425"/>
      <c r="FFT12" s="425"/>
      <c r="FFU12" s="425"/>
      <c r="FFV12" s="425"/>
      <c r="FFW12" s="425"/>
      <c r="FFX12" s="425"/>
      <c r="FFY12" s="425"/>
      <c r="FFZ12" s="425"/>
      <c r="FGA12" s="425"/>
      <c r="FGB12" s="425"/>
      <c r="FGC12" s="425"/>
      <c r="FGD12" s="425"/>
      <c r="FGE12" s="425"/>
      <c r="FGF12" s="425"/>
      <c r="FGG12" s="425"/>
      <c r="FGH12" s="425"/>
      <c r="FGI12" s="425"/>
      <c r="FGJ12" s="425"/>
      <c r="FGK12" s="425"/>
      <c r="FGL12" s="425"/>
      <c r="FGM12" s="425"/>
      <c r="FGN12" s="425"/>
      <c r="FGO12" s="425"/>
      <c r="FGP12" s="425"/>
      <c r="FGQ12" s="425"/>
      <c r="FGR12" s="425"/>
      <c r="FGS12" s="425"/>
      <c r="FGT12" s="425"/>
      <c r="FGU12" s="425"/>
      <c r="FGV12" s="425"/>
      <c r="FGW12" s="425"/>
      <c r="FGX12" s="425"/>
      <c r="FGY12" s="425"/>
      <c r="FGZ12" s="425"/>
      <c r="FHA12" s="425"/>
      <c r="FHB12" s="425"/>
      <c r="FHC12" s="425"/>
      <c r="FHD12" s="425"/>
      <c r="FHE12" s="425"/>
      <c r="FHF12" s="425"/>
      <c r="FHG12" s="425"/>
      <c r="FHH12" s="425"/>
      <c r="FHI12" s="425"/>
      <c r="FHJ12" s="425"/>
      <c r="FHK12" s="425"/>
      <c r="FHL12" s="425"/>
      <c r="FHM12" s="425"/>
      <c r="FHN12" s="425"/>
      <c r="FHO12" s="425"/>
      <c r="FHP12" s="425"/>
      <c r="FHQ12" s="425"/>
      <c r="FHR12" s="425"/>
      <c r="FHS12" s="425"/>
      <c r="FHT12" s="425"/>
      <c r="FHU12" s="425"/>
      <c r="FHV12" s="425"/>
      <c r="FHW12" s="425"/>
      <c r="FHX12" s="425"/>
      <c r="FHY12" s="425"/>
      <c r="FHZ12" s="425"/>
      <c r="FIA12" s="425"/>
      <c r="FIB12" s="425"/>
      <c r="FIC12" s="425"/>
      <c r="FID12" s="425"/>
      <c r="FIE12" s="425"/>
      <c r="FIF12" s="425"/>
      <c r="FIG12" s="425"/>
      <c r="FIH12" s="425"/>
      <c r="FII12" s="425"/>
      <c r="FIJ12" s="425"/>
      <c r="FIK12" s="425"/>
      <c r="FIL12" s="425"/>
      <c r="FIM12" s="425"/>
      <c r="FIN12" s="425"/>
      <c r="FIO12" s="425"/>
      <c r="FIP12" s="425"/>
      <c r="FIQ12" s="425"/>
      <c r="FIR12" s="425"/>
      <c r="FIS12" s="425"/>
      <c r="FIT12" s="425"/>
      <c r="FIU12" s="425"/>
      <c r="FIV12" s="425"/>
      <c r="FIW12" s="425"/>
      <c r="FIX12" s="425"/>
      <c r="FIY12" s="425"/>
      <c r="FIZ12" s="425"/>
      <c r="FJA12" s="425"/>
      <c r="FJB12" s="425"/>
      <c r="FJC12" s="425"/>
      <c r="FJD12" s="425"/>
      <c r="FJE12" s="425"/>
      <c r="FJF12" s="425"/>
      <c r="FJG12" s="425"/>
      <c r="FJH12" s="425"/>
      <c r="FJI12" s="425"/>
      <c r="FJJ12" s="425"/>
      <c r="FJK12" s="425"/>
      <c r="FJL12" s="425"/>
      <c r="FJM12" s="425"/>
      <c r="FJN12" s="425"/>
      <c r="FJO12" s="425"/>
      <c r="FJP12" s="425"/>
      <c r="FJQ12" s="425"/>
      <c r="FJR12" s="425"/>
      <c r="FJS12" s="425"/>
      <c r="FJT12" s="425"/>
      <c r="FJU12" s="425"/>
      <c r="FJV12" s="425"/>
      <c r="FJW12" s="425"/>
      <c r="FJX12" s="425"/>
      <c r="FJY12" s="425"/>
      <c r="FJZ12" s="425"/>
      <c r="FKA12" s="425"/>
      <c r="FKB12" s="425"/>
      <c r="FKC12" s="425"/>
      <c r="FKD12" s="425"/>
      <c r="FKE12" s="425"/>
      <c r="FKF12" s="425"/>
      <c r="FKG12" s="425"/>
      <c r="FKH12" s="425"/>
      <c r="FKI12" s="425"/>
      <c r="FKJ12" s="425"/>
      <c r="FKK12" s="425"/>
      <c r="FKL12" s="425"/>
      <c r="FKM12" s="425"/>
      <c r="FKN12" s="425"/>
      <c r="FKO12" s="425"/>
      <c r="FKP12" s="425"/>
      <c r="FKQ12" s="425"/>
      <c r="FKR12" s="425"/>
      <c r="FKS12" s="425"/>
      <c r="FKT12" s="425"/>
      <c r="FKU12" s="425"/>
      <c r="FKV12" s="425"/>
      <c r="FKW12" s="425"/>
      <c r="FKX12" s="425"/>
      <c r="FKY12" s="425"/>
      <c r="FKZ12" s="425"/>
      <c r="FLA12" s="425"/>
      <c r="FLB12" s="425"/>
      <c r="FLC12" s="425"/>
      <c r="FLD12" s="425"/>
      <c r="FLE12" s="425"/>
      <c r="FLF12" s="425"/>
      <c r="FLG12" s="425"/>
      <c r="FLH12" s="425"/>
      <c r="FLI12" s="425"/>
      <c r="FLJ12" s="425"/>
      <c r="FLK12" s="425"/>
      <c r="FLL12" s="425"/>
      <c r="FLM12" s="425"/>
      <c r="FLN12" s="425"/>
      <c r="FLO12" s="425"/>
      <c r="FLP12" s="425"/>
      <c r="FLQ12" s="425"/>
      <c r="FLR12" s="425"/>
      <c r="FLS12" s="425"/>
      <c r="FLT12" s="425"/>
      <c r="FLU12" s="425"/>
      <c r="FLV12" s="425"/>
      <c r="FLW12" s="425"/>
      <c r="FLX12" s="425"/>
      <c r="FLY12" s="425"/>
      <c r="FLZ12" s="425"/>
      <c r="FMA12" s="425"/>
      <c r="FMB12" s="425"/>
      <c r="FMC12" s="425"/>
      <c r="FMD12" s="425"/>
      <c r="FME12" s="425"/>
      <c r="FMF12" s="425"/>
      <c r="FMG12" s="425"/>
      <c r="FMH12" s="425"/>
      <c r="FMI12" s="425"/>
      <c r="FMJ12" s="425"/>
      <c r="FMK12" s="425"/>
      <c r="FML12" s="425"/>
      <c r="FMM12" s="425"/>
      <c r="FMN12" s="425"/>
      <c r="FMO12" s="425"/>
      <c r="FMP12" s="425"/>
      <c r="FMQ12" s="425"/>
      <c r="FMR12" s="425"/>
      <c r="FMS12" s="425"/>
      <c r="FMT12" s="425"/>
      <c r="FMU12" s="425"/>
      <c r="FMV12" s="425"/>
      <c r="FMW12" s="425"/>
      <c r="FMX12" s="425"/>
      <c r="FMY12" s="425"/>
      <c r="FMZ12" s="425"/>
      <c r="FNA12" s="425"/>
      <c r="FNB12" s="425"/>
      <c r="FNC12" s="425"/>
      <c r="FND12" s="425"/>
      <c r="FNE12" s="425"/>
      <c r="FNF12" s="425"/>
      <c r="FNG12" s="425"/>
      <c r="FNH12" s="425"/>
      <c r="FNI12" s="425"/>
      <c r="FNJ12" s="425"/>
      <c r="FNK12" s="425"/>
      <c r="FNL12" s="425"/>
      <c r="FNM12" s="425"/>
      <c r="FNN12" s="425"/>
      <c r="FNO12" s="425"/>
      <c r="FNP12" s="425"/>
      <c r="FNQ12" s="425"/>
      <c r="FNR12" s="425"/>
      <c r="FNS12" s="425"/>
      <c r="FNT12" s="425"/>
      <c r="FNU12" s="425"/>
      <c r="FNV12" s="425"/>
      <c r="FNW12" s="425"/>
      <c r="FNX12" s="425"/>
      <c r="FNY12" s="425"/>
      <c r="FNZ12" s="425"/>
      <c r="FOA12" s="425"/>
      <c r="FOB12" s="425"/>
      <c r="FOC12" s="425"/>
      <c r="FOD12" s="425"/>
      <c r="FOE12" s="425"/>
      <c r="FOF12" s="425"/>
      <c r="FOG12" s="425"/>
      <c r="FOH12" s="425"/>
      <c r="FOI12" s="425"/>
      <c r="FOJ12" s="425"/>
      <c r="FOK12" s="425"/>
      <c r="FOL12" s="425"/>
      <c r="FOM12" s="425"/>
      <c r="FON12" s="425"/>
      <c r="FOO12" s="425"/>
      <c r="FOP12" s="425"/>
      <c r="FOQ12" s="425"/>
      <c r="FOR12" s="425"/>
      <c r="FOS12" s="425"/>
      <c r="FOT12" s="425"/>
      <c r="FOU12" s="425"/>
      <c r="FOV12" s="425"/>
      <c r="FOW12" s="425"/>
      <c r="FOX12" s="425"/>
      <c r="FOY12" s="425"/>
      <c r="FOZ12" s="425"/>
      <c r="FPA12" s="425"/>
      <c r="FPB12" s="425"/>
      <c r="FPC12" s="425"/>
      <c r="FPD12" s="425"/>
      <c r="FPE12" s="425"/>
      <c r="FPF12" s="425"/>
      <c r="FPG12" s="425"/>
      <c r="FPH12" s="425"/>
      <c r="FPI12" s="425"/>
      <c r="FPJ12" s="425"/>
      <c r="FPK12" s="425"/>
      <c r="FPL12" s="425"/>
      <c r="FPM12" s="425"/>
      <c r="FPN12" s="425"/>
      <c r="FPO12" s="425"/>
      <c r="FPP12" s="425"/>
      <c r="FPQ12" s="425"/>
      <c r="FPR12" s="425"/>
      <c r="FPS12" s="425"/>
      <c r="FPT12" s="425"/>
      <c r="FPU12" s="425"/>
      <c r="FPV12" s="425"/>
      <c r="FPW12" s="425"/>
      <c r="FPX12" s="425"/>
      <c r="FPY12" s="425"/>
      <c r="FPZ12" s="425"/>
      <c r="FQA12" s="425"/>
      <c r="FQB12" s="425"/>
      <c r="FQC12" s="425"/>
      <c r="FQD12" s="425"/>
      <c r="FQE12" s="425"/>
      <c r="FQF12" s="425"/>
      <c r="FQG12" s="425"/>
      <c r="FQH12" s="425"/>
      <c r="FQI12" s="425"/>
      <c r="FQJ12" s="425"/>
      <c r="FQK12" s="425"/>
      <c r="FQL12" s="425"/>
      <c r="FQM12" s="425"/>
      <c r="FQN12" s="425"/>
      <c r="FQO12" s="425"/>
      <c r="FQP12" s="425"/>
      <c r="FQQ12" s="425"/>
      <c r="FQR12" s="425"/>
      <c r="FQS12" s="425"/>
      <c r="FQT12" s="425"/>
      <c r="FQU12" s="425"/>
      <c r="FQV12" s="425"/>
      <c r="FQW12" s="425"/>
      <c r="FQX12" s="425"/>
      <c r="FQY12" s="425"/>
      <c r="FQZ12" s="425"/>
      <c r="FRA12" s="425"/>
      <c r="FRB12" s="425"/>
      <c r="FRC12" s="425"/>
      <c r="FRD12" s="425"/>
      <c r="FRE12" s="425"/>
      <c r="FRF12" s="425"/>
      <c r="FRG12" s="425"/>
      <c r="FRH12" s="425"/>
      <c r="FRI12" s="425"/>
      <c r="FRJ12" s="425"/>
      <c r="FRK12" s="425"/>
      <c r="FRL12" s="425"/>
      <c r="FRM12" s="425"/>
      <c r="FRN12" s="425"/>
      <c r="FRO12" s="425"/>
      <c r="FRP12" s="425"/>
      <c r="FRQ12" s="425"/>
      <c r="FRR12" s="425"/>
      <c r="FRS12" s="425"/>
      <c r="FRT12" s="425"/>
      <c r="FRU12" s="425"/>
      <c r="FRV12" s="425"/>
      <c r="FRW12" s="425"/>
      <c r="FRX12" s="425"/>
      <c r="FRY12" s="425"/>
      <c r="FRZ12" s="425"/>
      <c r="FSA12" s="425"/>
      <c r="FSB12" s="425"/>
      <c r="FSC12" s="425"/>
      <c r="FSD12" s="425"/>
      <c r="FSE12" s="425"/>
      <c r="FSF12" s="425"/>
      <c r="FSG12" s="425"/>
      <c r="FSH12" s="425"/>
      <c r="FSI12" s="425"/>
      <c r="FSJ12" s="425"/>
      <c r="FSK12" s="425"/>
      <c r="FSL12" s="425"/>
      <c r="FSM12" s="425"/>
      <c r="FSN12" s="425"/>
      <c r="FSO12" s="425"/>
      <c r="FSP12" s="425"/>
      <c r="FSQ12" s="425"/>
      <c r="FSR12" s="425"/>
      <c r="FSS12" s="425"/>
      <c r="FST12" s="425"/>
      <c r="FSU12" s="425"/>
      <c r="FSV12" s="425"/>
      <c r="FSW12" s="425"/>
      <c r="FSX12" s="425"/>
      <c r="FSY12" s="425"/>
      <c r="FSZ12" s="425"/>
      <c r="FTA12" s="425"/>
      <c r="FTB12" s="425"/>
      <c r="FTC12" s="425"/>
      <c r="FTD12" s="425"/>
      <c r="FTE12" s="425"/>
      <c r="FTF12" s="425"/>
      <c r="FTG12" s="425"/>
      <c r="FTH12" s="425"/>
      <c r="FTI12" s="425"/>
      <c r="FTJ12" s="425"/>
      <c r="FTK12" s="425"/>
      <c r="FTL12" s="425"/>
      <c r="FTM12" s="425"/>
      <c r="FTN12" s="425"/>
      <c r="FTO12" s="425"/>
      <c r="FTP12" s="425"/>
      <c r="FTQ12" s="425"/>
      <c r="FTR12" s="425"/>
      <c r="FTS12" s="425"/>
      <c r="FTT12" s="425"/>
      <c r="FTU12" s="425"/>
      <c r="FTV12" s="425"/>
      <c r="FTW12" s="425"/>
      <c r="FTX12" s="425"/>
      <c r="FTY12" s="425"/>
      <c r="FTZ12" s="425"/>
      <c r="FUA12" s="425"/>
      <c r="FUB12" s="425"/>
      <c r="FUC12" s="425"/>
      <c r="FUD12" s="425"/>
      <c r="FUE12" s="425"/>
      <c r="FUF12" s="425"/>
      <c r="FUG12" s="425"/>
      <c r="FUH12" s="425"/>
      <c r="FUI12" s="425"/>
      <c r="FUJ12" s="425"/>
      <c r="FUK12" s="425"/>
      <c r="FUL12" s="425"/>
      <c r="FUM12" s="425"/>
      <c r="FUN12" s="425"/>
      <c r="FUO12" s="425"/>
      <c r="FUP12" s="425"/>
      <c r="FUQ12" s="425"/>
      <c r="FUR12" s="425"/>
      <c r="FUS12" s="425"/>
      <c r="FUT12" s="425"/>
      <c r="FUU12" s="425"/>
      <c r="FUV12" s="425"/>
      <c r="FUW12" s="425"/>
      <c r="FUX12" s="425"/>
      <c r="FUY12" s="425"/>
      <c r="FUZ12" s="425"/>
      <c r="FVA12" s="425"/>
      <c r="FVB12" s="425"/>
      <c r="FVC12" s="425"/>
      <c r="FVD12" s="425"/>
      <c r="FVE12" s="425"/>
      <c r="FVF12" s="425"/>
      <c r="FVG12" s="425"/>
      <c r="FVH12" s="425"/>
      <c r="FVI12" s="425"/>
      <c r="FVJ12" s="425"/>
      <c r="FVK12" s="425"/>
      <c r="FVL12" s="425"/>
      <c r="FVM12" s="425"/>
      <c r="FVN12" s="425"/>
      <c r="FVO12" s="425"/>
      <c r="FVP12" s="425"/>
      <c r="FVQ12" s="425"/>
      <c r="FVR12" s="425"/>
      <c r="FVS12" s="425"/>
      <c r="FVT12" s="425"/>
      <c r="FVU12" s="425"/>
      <c r="FVV12" s="425"/>
      <c r="FVW12" s="425"/>
      <c r="FVX12" s="425"/>
      <c r="FVY12" s="425"/>
      <c r="FVZ12" s="425"/>
      <c r="FWA12" s="425"/>
      <c r="FWB12" s="425"/>
      <c r="FWC12" s="425"/>
      <c r="FWD12" s="425"/>
      <c r="FWE12" s="425"/>
      <c r="FWF12" s="425"/>
      <c r="FWG12" s="425"/>
      <c r="FWH12" s="425"/>
      <c r="FWI12" s="425"/>
      <c r="FWJ12" s="425"/>
      <c r="FWK12" s="425"/>
      <c r="FWL12" s="425"/>
      <c r="FWM12" s="425"/>
      <c r="FWN12" s="425"/>
      <c r="FWO12" s="425"/>
      <c r="FWP12" s="425"/>
      <c r="FWQ12" s="425"/>
      <c r="FWR12" s="425"/>
      <c r="FWS12" s="425"/>
      <c r="FWT12" s="425"/>
      <c r="FWU12" s="425"/>
      <c r="FWV12" s="425"/>
      <c r="FWW12" s="425"/>
      <c r="FWX12" s="425"/>
      <c r="FWY12" s="425"/>
      <c r="FWZ12" s="425"/>
      <c r="FXA12" s="425"/>
      <c r="FXB12" s="425"/>
      <c r="FXC12" s="425"/>
      <c r="FXD12" s="425"/>
      <c r="FXE12" s="425"/>
      <c r="FXF12" s="425"/>
      <c r="FXG12" s="425"/>
      <c r="FXH12" s="425"/>
      <c r="FXI12" s="425"/>
      <c r="FXJ12" s="425"/>
      <c r="FXK12" s="425"/>
      <c r="FXL12" s="425"/>
      <c r="FXM12" s="425"/>
      <c r="FXN12" s="425"/>
      <c r="FXO12" s="425"/>
      <c r="FXP12" s="425"/>
      <c r="FXQ12" s="425"/>
      <c r="FXR12" s="425"/>
      <c r="FXS12" s="425"/>
      <c r="FXT12" s="425"/>
      <c r="FXU12" s="425"/>
      <c r="FXV12" s="425"/>
      <c r="FXW12" s="425"/>
      <c r="FXX12" s="425"/>
      <c r="FXY12" s="425"/>
      <c r="FXZ12" s="425"/>
      <c r="FYA12" s="425"/>
      <c r="FYB12" s="425"/>
      <c r="FYC12" s="425"/>
      <c r="FYD12" s="425"/>
      <c r="FYE12" s="425"/>
      <c r="FYF12" s="425"/>
      <c r="FYG12" s="425"/>
      <c r="FYH12" s="425"/>
      <c r="FYI12" s="425"/>
      <c r="FYJ12" s="425"/>
      <c r="FYK12" s="425"/>
      <c r="FYL12" s="425"/>
      <c r="FYM12" s="425"/>
      <c r="FYN12" s="425"/>
      <c r="FYO12" s="425"/>
      <c r="FYP12" s="425"/>
      <c r="FYQ12" s="425"/>
      <c r="FYR12" s="425"/>
      <c r="FYS12" s="425"/>
      <c r="FYT12" s="425"/>
      <c r="FYU12" s="425"/>
      <c r="FYV12" s="425"/>
      <c r="FYW12" s="425"/>
      <c r="FYX12" s="425"/>
      <c r="FYY12" s="425"/>
      <c r="FYZ12" s="425"/>
      <c r="FZA12" s="425"/>
      <c r="FZB12" s="425"/>
      <c r="FZC12" s="425"/>
      <c r="FZD12" s="425"/>
      <c r="FZE12" s="425"/>
      <c r="FZF12" s="425"/>
      <c r="FZG12" s="425"/>
      <c r="FZH12" s="425"/>
      <c r="FZI12" s="425"/>
      <c r="FZJ12" s="425"/>
      <c r="FZK12" s="425"/>
      <c r="FZL12" s="425"/>
      <c r="FZM12" s="425"/>
      <c r="FZN12" s="425"/>
      <c r="FZO12" s="425"/>
      <c r="FZP12" s="425"/>
      <c r="FZQ12" s="425"/>
      <c r="FZR12" s="425"/>
      <c r="FZS12" s="425"/>
      <c r="FZT12" s="425"/>
      <c r="FZU12" s="425"/>
      <c r="FZV12" s="425"/>
      <c r="FZW12" s="425"/>
      <c r="FZX12" s="425"/>
      <c r="FZY12" s="425"/>
      <c r="FZZ12" s="425"/>
      <c r="GAA12" s="425"/>
      <c r="GAB12" s="425"/>
      <c r="GAC12" s="425"/>
      <c r="GAD12" s="425"/>
      <c r="GAE12" s="425"/>
      <c r="GAF12" s="425"/>
      <c r="GAG12" s="425"/>
      <c r="GAH12" s="425"/>
      <c r="GAI12" s="425"/>
      <c r="GAJ12" s="425"/>
      <c r="GAK12" s="425"/>
      <c r="GAL12" s="425"/>
      <c r="GAM12" s="425"/>
      <c r="GAN12" s="425"/>
      <c r="GAO12" s="425"/>
      <c r="GAP12" s="425"/>
      <c r="GAQ12" s="425"/>
      <c r="GAR12" s="425"/>
      <c r="GAS12" s="425"/>
      <c r="GAT12" s="425"/>
      <c r="GAU12" s="425"/>
      <c r="GAV12" s="425"/>
      <c r="GAW12" s="425"/>
      <c r="GAX12" s="425"/>
      <c r="GAY12" s="425"/>
      <c r="GAZ12" s="425"/>
      <c r="GBA12" s="425"/>
      <c r="GBB12" s="425"/>
      <c r="GBC12" s="425"/>
      <c r="GBD12" s="425"/>
      <c r="GBE12" s="425"/>
      <c r="GBF12" s="425"/>
      <c r="GBG12" s="425"/>
      <c r="GBH12" s="425"/>
      <c r="GBI12" s="425"/>
      <c r="GBJ12" s="425"/>
      <c r="GBK12" s="425"/>
      <c r="GBL12" s="425"/>
      <c r="GBM12" s="425"/>
      <c r="GBN12" s="425"/>
      <c r="GBO12" s="425"/>
      <c r="GBP12" s="425"/>
      <c r="GBQ12" s="425"/>
      <c r="GBR12" s="425"/>
      <c r="GBS12" s="425"/>
      <c r="GBT12" s="425"/>
      <c r="GBU12" s="425"/>
      <c r="GBV12" s="425"/>
      <c r="GBW12" s="425"/>
      <c r="GBX12" s="425"/>
      <c r="GBY12" s="425"/>
      <c r="GBZ12" s="425"/>
      <c r="GCA12" s="425"/>
      <c r="GCB12" s="425"/>
      <c r="GCC12" s="425"/>
      <c r="GCD12" s="425"/>
      <c r="GCE12" s="425"/>
      <c r="GCF12" s="425"/>
      <c r="GCG12" s="425"/>
      <c r="GCH12" s="425"/>
      <c r="GCI12" s="425"/>
      <c r="GCJ12" s="425"/>
      <c r="GCK12" s="425"/>
      <c r="GCL12" s="425"/>
      <c r="GCM12" s="425"/>
      <c r="GCN12" s="425"/>
      <c r="GCO12" s="425"/>
      <c r="GCP12" s="425"/>
      <c r="GCQ12" s="425"/>
      <c r="GCR12" s="425"/>
      <c r="GCS12" s="425"/>
      <c r="GCT12" s="425"/>
      <c r="GCU12" s="425"/>
      <c r="GCV12" s="425"/>
      <c r="GCW12" s="425"/>
      <c r="GCX12" s="425"/>
      <c r="GCY12" s="425"/>
      <c r="GCZ12" s="425"/>
      <c r="GDA12" s="425"/>
      <c r="GDB12" s="425"/>
      <c r="GDC12" s="425"/>
      <c r="GDD12" s="425"/>
      <c r="GDE12" s="425"/>
      <c r="GDF12" s="425"/>
      <c r="GDG12" s="425"/>
      <c r="GDH12" s="425"/>
      <c r="GDI12" s="425"/>
      <c r="GDJ12" s="425"/>
      <c r="GDK12" s="425"/>
      <c r="GDL12" s="425"/>
      <c r="GDM12" s="425"/>
      <c r="GDN12" s="425"/>
      <c r="GDO12" s="425"/>
      <c r="GDP12" s="425"/>
      <c r="GDQ12" s="425"/>
      <c r="GDR12" s="425"/>
      <c r="GDS12" s="425"/>
      <c r="GDT12" s="425"/>
      <c r="GDU12" s="425"/>
      <c r="GDV12" s="425"/>
      <c r="GDW12" s="425"/>
      <c r="GDX12" s="425"/>
      <c r="GDY12" s="425"/>
      <c r="GDZ12" s="425"/>
      <c r="GEA12" s="425"/>
      <c r="GEB12" s="425"/>
      <c r="GEC12" s="425"/>
      <c r="GED12" s="425"/>
      <c r="GEE12" s="425"/>
      <c r="GEF12" s="425"/>
      <c r="GEG12" s="425"/>
      <c r="GEH12" s="425"/>
      <c r="GEI12" s="425"/>
      <c r="GEJ12" s="425"/>
      <c r="GEK12" s="425"/>
      <c r="GEL12" s="425"/>
      <c r="GEM12" s="425"/>
      <c r="GEN12" s="425"/>
      <c r="GEO12" s="425"/>
      <c r="GEP12" s="425"/>
      <c r="GEQ12" s="425"/>
      <c r="GER12" s="425"/>
      <c r="GES12" s="425"/>
      <c r="GET12" s="425"/>
      <c r="GEU12" s="425"/>
      <c r="GEV12" s="425"/>
      <c r="GEW12" s="425"/>
      <c r="GEX12" s="425"/>
      <c r="GEY12" s="425"/>
      <c r="GEZ12" s="425"/>
      <c r="GFA12" s="425"/>
      <c r="GFB12" s="425"/>
      <c r="GFC12" s="425"/>
      <c r="GFD12" s="425"/>
      <c r="GFE12" s="425"/>
      <c r="GFF12" s="425"/>
      <c r="GFG12" s="425"/>
      <c r="GFH12" s="425"/>
      <c r="GFI12" s="425"/>
      <c r="GFJ12" s="425"/>
      <c r="GFK12" s="425"/>
      <c r="GFL12" s="425"/>
      <c r="GFM12" s="425"/>
      <c r="GFN12" s="425"/>
      <c r="GFO12" s="425"/>
      <c r="GFP12" s="425"/>
      <c r="GFQ12" s="425"/>
      <c r="GFR12" s="425"/>
      <c r="GFS12" s="425"/>
      <c r="GFT12" s="425"/>
      <c r="GFU12" s="425"/>
      <c r="GFV12" s="425"/>
      <c r="GFW12" s="425"/>
      <c r="GFX12" s="425"/>
      <c r="GFY12" s="425"/>
      <c r="GFZ12" s="425"/>
      <c r="GGA12" s="425"/>
      <c r="GGB12" s="425"/>
      <c r="GGC12" s="425"/>
      <c r="GGD12" s="425"/>
      <c r="GGE12" s="425"/>
      <c r="GGF12" s="425"/>
      <c r="GGG12" s="425"/>
      <c r="GGH12" s="425"/>
      <c r="GGI12" s="425"/>
      <c r="GGJ12" s="425"/>
      <c r="GGK12" s="425"/>
      <c r="GGL12" s="425"/>
      <c r="GGM12" s="425"/>
      <c r="GGN12" s="425"/>
      <c r="GGO12" s="425"/>
      <c r="GGP12" s="425"/>
      <c r="GGQ12" s="425"/>
      <c r="GGR12" s="425"/>
      <c r="GGS12" s="425"/>
      <c r="GGT12" s="425"/>
      <c r="GGU12" s="425"/>
      <c r="GGV12" s="425"/>
      <c r="GGW12" s="425"/>
      <c r="GGX12" s="425"/>
      <c r="GGY12" s="425"/>
      <c r="GGZ12" s="425"/>
      <c r="GHA12" s="425"/>
      <c r="GHB12" s="425"/>
      <c r="GHC12" s="425"/>
      <c r="GHD12" s="425"/>
      <c r="GHE12" s="425"/>
      <c r="GHF12" s="425"/>
      <c r="GHG12" s="425"/>
      <c r="GHH12" s="425"/>
      <c r="GHI12" s="425"/>
      <c r="GHJ12" s="425"/>
      <c r="GHK12" s="425"/>
      <c r="GHL12" s="425"/>
      <c r="GHM12" s="425"/>
      <c r="GHN12" s="425"/>
      <c r="GHO12" s="425"/>
      <c r="GHP12" s="425"/>
      <c r="GHQ12" s="425"/>
      <c r="GHR12" s="425"/>
      <c r="GHS12" s="425"/>
      <c r="GHT12" s="425"/>
      <c r="GHU12" s="425"/>
      <c r="GHV12" s="425"/>
      <c r="GHW12" s="425"/>
      <c r="GHX12" s="425"/>
      <c r="GHY12" s="425"/>
      <c r="GHZ12" s="425"/>
      <c r="GIA12" s="425"/>
      <c r="GIB12" s="425"/>
      <c r="GIC12" s="425"/>
      <c r="GID12" s="425"/>
      <c r="GIE12" s="425"/>
      <c r="GIF12" s="425"/>
      <c r="GIG12" s="425"/>
      <c r="GIH12" s="425"/>
      <c r="GII12" s="425"/>
      <c r="GIJ12" s="425"/>
      <c r="GIK12" s="425"/>
      <c r="GIL12" s="425"/>
      <c r="GIM12" s="425"/>
      <c r="GIN12" s="425"/>
      <c r="GIO12" s="425"/>
      <c r="GIP12" s="425"/>
      <c r="GIQ12" s="425"/>
      <c r="GIR12" s="425"/>
      <c r="GIS12" s="425"/>
      <c r="GIT12" s="425"/>
      <c r="GIU12" s="425"/>
      <c r="GIV12" s="425"/>
      <c r="GIW12" s="425"/>
      <c r="GIX12" s="425"/>
      <c r="GIY12" s="425"/>
      <c r="GIZ12" s="425"/>
      <c r="GJA12" s="425"/>
      <c r="GJB12" s="425"/>
      <c r="GJC12" s="425"/>
      <c r="GJD12" s="425"/>
      <c r="GJE12" s="425"/>
      <c r="GJF12" s="425"/>
      <c r="GJG12" s="425"/>
      <c r="GJH12" s="425"/>
      <c r="GJI12" s="425"/>
      <c r="GJJ12" s="425"/>
      <c r="GJK12" s="425"/>
      <c r="GJL12" s="425"/>
      <c r="GJM12" s="425"/>
      <c r="GJN12" s="425"/>
      <c r="GJO12" s="425"/>
      <c r="GJP12" s="425"/>
      <c r="GJQ12" s="425"/>
      <c r="GJR12" s="425"/>
      <c r="GJS12" s="425"/>
      <c r="GJT12" s="425"/>
      <c r="GJU12" s="425"/>
      <c r="GJV12" s="425"/>
      <c r="GJW12" s="425"/>
      <c r="GJX12" s="425"/>
      <c r="GJY12" s="425"/>
      <c r="GJZ12" s="425"/>
      <c r="GKA12" s="425"/>
      <c r="GKB12" s="425"/>
      <c r="GKC12" s="425"/>
      <c r="GKD12" s="425"/>
      <c r="GKE12" s="425"/>
      <c r="GKF12" s="425"/>
      <c r="GKG12" s="425"/>
      <c r="GKH12" s="425"/>
      <c r="GKI12" s="425"/>
      <c r="GKJ12" s="425"/>
      <c r="GKK12" s="425"/>
      <c r="GKL12" s="425"/>
      <c r="GKM12" s="425"/>
      <c r="GKN12" s="425"/>
      <c r="GKO12" s="425"/>
      <c r="GKP12" s="425"/>
      <c r="GKQ12" s="425"/>
      <c r="GKR12" s="425"/>
      <c r="GKS12" s="425"/>
      <c r="GKT12" s="425"/>
      <c r="GKU12" s="425"/>
      <c r="GKV12" s="425"/>
      <c r="GKW12" s="425"/>
      <c r="GKX12" s="425"/>
      <c r="GKY12" s="425"/>
      <c r="GKZ12" s="425"/>
      <c r="GLA12" s="425"/>
      <c r="GLB12" s="425"/>
      <c r="GLC12" s="425"/>
      <c r="GLD12" s="425"/>
      <c r="GLE12" s="425"/>
      <c r="GLF12" s="425"/>
      <c r="GLG12" s="425"/>
      <c r="GLH12" s="425"/>
      <c r="GLI12" s="425"/>
      <c r="GLJ12" s="425"/>
      <c r="GLK12" s="425"/>
      <c r="GLL12" s="425"/>
      <c r="GLM12" s="425"/>
      <c r="GLN12" s="425"/>
      <c r="GLO12" s="425"/>
      <c r="GLP12" s="425"/>
      <c r="GLQ12" s="425"/>
      <c r="GLR12" s="425"/>
      <c r="GLS12" s="425"/>
      <c r="GLT12" s="425"/>
      <c r="GLU12" s="425"/>
      <c r="GLV12" s="425"/>
      <c r="GLW12" s="425"/>
      <c r="GLX12" s="425"/>
      <c r="GLY12" s="425"/>
      <c r="GLZ12" s="425"/>
      <c r="GMA12" s="425"/>
      <c r="GMB12" s="425"/>
      <c r="GMC12" s="425"/>
      <c r="GMD12" s="425"/>
      <c r="GME12" s="425"/>
      <c r="GMF12" s="425"/>
      <c r="GMG12" s="425"/>
      <c r="GMH12" s="425"/>
      <c r="GMI12" s="425"/>
      <c r="GMJ12" s="425"/>
      <c r="GMK12" s="425"/>
      <c r="GML12" s="425"/>
      <c r="GMM12" s="425"/>
      <c r="GMN12" s="425"/>
      <c r="GMO12" s="425"/>
      <c r="GMP12" s="425"/>
      <c r="GMQ12" s="425"/>
      <c r="GMR12" s="425"/>
      <c r="GMS12" s="425"/>
      <c r="GMT12" s="425"/>
      <c r="GMU12" s="425"/>
      <c r="GMV12" s="425"/>
      <c r="GMW12" s="425"/>
      <c r="GMX12" s="425"/>
      <c r="GMY12" s="425"/>
      <c r="GMZ12" s="425"/>
      <c r="GNA12" s="425"/>
      <c r="GNB12" s="425"/>
      <c r="GNC12" s="425"/>
      <c r="GND12" s="425"/>
      <c r="GNE12" s="425"/>
      <c r="GNF12" s="425"/>
      <c r="GNG12" s="425"/>
      <c r="GNH12" s="425"/>
      <c r="GNI12" s="425"/>
      <c r="GNJ12" s="425"/>
      <c r="GNK12" s="425"/>
      <c r="GNL12" s="425"/>
      <c r="GNM12" s="425"/>
      <c r="GNN12" s="425"/>
      <c r="GNO12" s="425"/>
      <c r="GNP12" s="425"/>
      <c r="GNQ12" s="425"/>
      <c r="GNR12" s="425"/>
      <c r="GNS12" s="425"/>
      <c r="GNT12" s="425"/>
      <c r="GNU12" s="425"/>
      <c r="GNV12" s="425"/>
      <c r="GNW12" s="425"/>
      <c r="GNX12" s="425"/>
      <c r="GNY12" s="425"/>
      <c r="GNZ12" s="425"/>
      <c r="GOA12" s="425"/>
      <c r="GOB12" s="425"/>
      <c r="GOC12" s="425"/>
      <c r="GOD12" s="425"/>
      <c r="GOE12" s="425"/>
      <c r="GOF12" s="425"/>
      <c r="GOG12" s="425"/>
      <c r="GOH12" s="425"/>
      <c r="GOI12" s="425"/>
      <c r="GOJ12" s="425"/>
      <c r="GOK12" s="425"/>
      <c r="GOL12" s="425"/>
      <c r="GOM12" s="425"/>
      <c r="GON12" s="425"/>
      <c r="GOO12" s="425"/>
      <c r="GOP12" s="425"/>
      <c r="GOQ12" s="425"/>
      <c r="GOR12" s="425"/>
      <c r="GOS12" s="425"/>
      <c r="GOT12" s="425"/>
      <c r="GOU12" s="425"/>
      <c r="GOV12" s="425"/>
      <c r="GOW12" s="425"/>
      <c r="GOX12" s="425"/>
      <c r="GOY12" s="425"/>
      <c r="GOZ12" s="425"/>
      <c r="GPA12" s="425"/>
      <c r="GPB12" s="425"/>
      <c r="GPC12" s="425"/>
      <c r="GPD12" s="425"/>
      <c r="GPE12" s="425"/>
      <c r="GPF12" s="425"/>
      <c r="GPG12" s="425"/>
      <c r="GPH12" s="425"/>
      <c r="GPI12" s="425"/>
      <c r="GPJ12" s="425"/>
      <c r="GPK12" s="425"/>
      <c r="GPL12" s="425"/>
      <c r="GPM12" s="425"/>
      <c r="GPN12" s="425"/>
      <c r="GPO12" s="425"/>
      <c r="GPP12" s="425"/>
      <c r="GPQ12" s="425"/>
      <c r="GPR12" s="425"/>
      <c r="GPS12" s="425"/>
      <c r="GPT12" s="425"/>
      <c r="GPU12" s="425"/>
      <c r="GPV12" s="425"/>
      <c r="GPW12" s="425"/>
      <c r="GPX12" s="425"/>
      <c r="GPY12" s="425"/>
      <c r="GPZ12" s="425"/>
      <c r="GQA12" s="425"/>
      <c r="GQB12" s="425"/>
      <c r="GQC12" s="425"/>
      <c r="GQD12" s="425"/>
      <c r="GQE12" s="425"/>
      <c r="GQF12" s="425"/>
      <c r="GQG12" s="425"/>
      <c r="GQH12" s="425"/>
      <c r="GQI12" s="425"/>
      <c r="GQJ12" s="425"/>
      <c r="GQK12" s="425"/>
      <c r="GQL12" s="425"/>
      <c r="GQM12" s="425"/>
      <c r="GQN12" s="425"/>
      <c r="GQO12" s="425"/>
      <c r="GQP12" s="425"/>
      <c r="GQQ12" s="425"/>
      <c r="GQR12" s="425"/>
      <c r="GQS12" s="425"/>
      <c r="GQT12" s="425"/>
      <c r="GQU12" s="425"/>
      <c r="GQV12" s="425"/>
      <c r="GQW12" s="425"/>
      <c r="GQX12" s="425"/>
      <c r="GQY12" s="425"/>
      <c r="GQZ12" s="425"/>
      <c r="GRA12" s="425"/>
      <c r="GRB12" s="425"/>
      <c r="GRC12" s="425"/>
      <c r="GRD12" s="425"/>
      <c r="GRE12" s="425"/>
      <c r="GRF12" s="425"/>
      <c r="GRG12" s="425"/>
      <c r="GRH12" s="425"/>
      <c r="GRI12" s="425"/>
      <c r="GRJ12" s="425"/>
      <c r="GRK12" s="425"/>
      <c r="GRL12" s="425"/>
      <c r="GRM12" s="425"/>
      <c r="GRN12" s="425"/>
      <c r="GRO12" s="425"/>
      <c r="GRP12" s="425"/>
      <c r="GRQ12" s="425"/>
      <c r="GRR12" s="425"/>
      <c r="GRS12" s="425"/>
      <c r="GRT12" s="425"/>
      <c r="GRU12" s="425"/>
      <c r="GRV12" s="425"/>
      <c r="GRW12" s="425"/>
      <c r="GRX12" s="425"/>
      <c r="GRY12" s="425"/>
      <c r="GRZ12" s="425"/>
      <c r="GSA12" s="425"/>
      <c r="GSB12" s="425"/>
      <c r="GSC12" s="425"/>
      <c r="GSD12" s="425"/>
      <c r="GSE12" s="425"/>
      <c r="GSF12" s="425"/>
      <c r="GSG12" s="425"/>
      <c r="GSH12" s="425"/>
      <c r="GSI12" s="425"/>
      <c r="GSJ12" s="425"/>
      <c r="GSK12" s="425"/>
      <c r="GSL12" s="425"/>
      <c r="GSM12" s="425"/>
      <c r="GSN12" s="425"/>
      <c r="GSO12" s="425"/>
      <c r="GSP12" s="425"/>
      <c r="GSQ12" s="425"/>
      <c r="GSR12" s="425"/>
      <c r="GSS12" s="425"/>
      <c r="GST12" s="425"/>
      <c r="GSU12" s="425"/>
      <c r="GSV12" s="425"/>
      <c r="GSW12" s="425"/>
      <c r="GSX12" s="425"/>
      <c r="GSY12" s="425"/>
      <c r="GSZ12" s="425"/>
      <c r="GTA12" s="425"/>
      <c r="GTB12" s="425"/>
      <c r="GTC12" s="425"/>
      <c r="GTD12" s="425"/>
      <c r="GTE12" s="425"/>
      <c r="GTF12" s="425"/>
      <c r="GTG12" s="425"/>
      <c r="GTH12" s="425"/>
      <c r="GTI12" s="425"/>
      <c r="GTJ12" s="425"/>
      <c r="GTK12" s="425"/>
      <c r="GTL12" s="425"/>
      <c r="GTM12" s="425"/>
      <c r="GTN12" s="425"/>
      <c r="GTO12" s="425"/>
      <c r="GTP12" s="425"/>
      <c r="GTQ12" s="425"/>
      <c r="GTR12" s="425"/>
      <c r="GTS12" s="425"/>
      <c r="GTT12" s="425"/>
      <c r="GTU12" s="425"/>
      <c r="GTV12" s="425"/>
      <c r="GTW12" s="425"/>
      <c r="GTX12" s="425"/>
      <c r="GTY12" s="425"/>
      <c r="GTZ12" s="425"/>
      <c r="GUA12" s="425"/>
      <c r="GUB12" s="425"/>
      <c r="GUC12" s="425"/>
      <c r="GUD12" s="425"/>
      <c r="GUE12" s="425"/>
      <c r="GUF12" s="425"/>
      <c r="GUG12" s="425"/>
      <c r="GUH12" s="425"/>
      <c r="GUI12" s="425"/>
      <c r="GUJ12" s="425"/>
      <c r="GUK12" s="425"/>
      <c r="GUL12" s="425"/>
      <c r="GUM12" s="425"/>
      <c r="GUN12" s="425"/>
      <c r="GUO12" s="425"/>
      <c r="GUP12" s="425"/>
      <c r="GUQ12" s="425"/>
      <c r="GUR12" s="425"/>
      <c r="GUS12" s="425"/>
      <c r="GUT12" s="425"/>
      <c r="GUU12" s="425"/>
      <c r="GUV12" s="425"/>
      <c r="GUW12" s="425"/>
      <c r="GUX12" s="425"/>
      <c r="GUY12" s="425"/>
      <c r="GUZ12" s="425"/>
      <c r="GVA12" s="425"/>
      <c r="GVB12" s="425"/>
      <c r="GVC12" s="425"/>
      <c r="GVD12" s="425"/>
      <c r="GVE12" s="425"/>
      <c r="GVF12" s="425"/>
      <c r="GVG12" s="425"/>
      <c r="GVH12" s="425"/>
      <c r="GVI12" s="425"/>
      <c r="GVJ12" s="425"/>
      <c r="GVK12" s="425"/>
      <c r="GVL12" s="425"/>
      <c r="GVM12" s="425"/>
      <c r="GVN12" s="425"/>
      <c r="GVO12" s="425"/>
      <c r="GVP12" s="425"/>
      <c r="GVQ12" s="425"/>
      <c r="GVR12" s="425"/>
      <c r="GVS12" s="425"/>
      <c r="GVT12" s="425"/>
      <c r="GVU12" s="425"/>
      <c r="GVV12" s="425"/>
      <c r="GVW12" s="425"/>
      <c r="GVX12" s="425"/>
      <c r="GVY12" s="425"/>
      <c r="GVZ12" s="425"/>
      <c r="GWA12" s="425"/>
      <c r="GWB12" s="425"/>
      <c r="GWC12" s="425"/>
      <c r="GWD12" s="425"/>
      <c r="GWE12" s="425"/>
      <c r="GWF12" s="425"/>
      <c r="GWG12" s="425"/>
      <c r="GWH12" s="425"/>
      <c r="GWI12" s="425"/>
      <c r="GWJ12" s="425"/>
      <c r="GWK12" s="425"/>
      <c r="GWL12" s="425"/>
      <c r="GWM12" s="425"/>
      <c r="GWN12" s="425"/>
      <c r="GWO12" s="425"/>
      <c r="GWP12" s="425"/>
      <c r="GWQ12" s="425"/>
      <c r="GWR12" s="425"/>
      <c r="GWS12" s="425"/>
      <c r="GWT12" s="425"/>
      <c r="GWU12" s="425"/>
      <c r="GWV12" s="425"/>
      <c r="GWW12" s="425"/>
      <c r="GWX12" s="425"/>
      <c r="GWY12" s="425"/>
      <c r="GWZ12" s="425"/>
      <c r="GXA12" s="425"/>
      <c r="GXB12" s="425"/>
      <c r="GXC12" s="425"/>
      <c r="GXD12" s="425"/>
      <c r="GXE12" s="425"/>
      <c r="GXF12" s="425"/>
      <c r="GXG12" s="425"/>
      <c r="GXH12" s="425"/>
      <c r="GXI12" s="425"/>
      <c r="GXJ12" s="425"/>
      <c r="GXK12" s="425"/>
      <c r="GXL12" s="425"/>
      <c r="GXM12" s="425"/>
      <c r="GXN12" s="425"/>
      <c r="GXO12" s="425"/>
      <c r="GXP12" s="425"/>
      <c r="GXQ12" s="425"/>
      <c r="GXR12" s="425"/>
      <c r="GXS12" s="425"/>
      <c r="GXT12" s="425"/>
      <c r="GXU12" s="425"/>
      <c r="GXV12" s="425"/>
      <c r="GXW12" s="425"/>
      <c r="GXX12" s="425"/>
      <c r="GXY12" s="425"/>
      <c r="GXZ12" s="425"/>
      <c r="GYA12" s="425"/>
      <c r="GYB12" s="425"/>
      <c r="GYC12" s="425"/>
      <c r="GYD12" s="425"/>
      <c r="GYE12" s="425"/>
      <c r="GYF12" s="425"/>
      <c r="GYG12" s="425"/>
      <c r="GYH12" s="425"/>
      <c r="GYI12" s="425"/>
      <c r="GYJ12" s="425"/>
      <c r="GYK12" s="425"/>
      <c r="GYL12" s="425"/>
      <c r="GYM12" s="425"/>
      <c r="GYN12" s="425"/>
      <c r="GYO12" s="425"/>
      <c r="GYP12" s="425"/>
      <c r="GYQ12" s="425"/>
      <c r="GYR12" s="425"/>
      <c r="GYS12" s="425"/>
      <c r="GYT12" s="425"/>
      <c r="GYU12" s="425"/>
      <c r="GYV12" s="425"/>
      <c r="GYW12" s="425"/>
      <c r="GYX12" s="425"/>
      <c r="GYY12" s="425"/>
      <c r="GYZ12" s="425"/>
      <c r="GZA12" s="425"/>
      <c r="GZB12" s="425"/>
      <c r="GZC12" s="425"/>
      <c r="GZD12" s="425"/>
      <c r="GZE12" s="425"/>
      <c r="GZF12" s="425"/>
      <c r="GZG12" s="425"/>
      <c r="GZH12" s="425"/>
      <c r="GZI12" s="425"/>
      <c r="GZJ12" s="425"/>
      <c r="GZK12" s="425"/>
      <c r="GZL12" s="425"/>
      <c r="GZM12" s="425"/>
      <c r="GZN12" s="425"/>
      <c r="GZO12" s="425"/>
      <c r="GZP12" s="425"/>
      <c r="GZQ12" s="425"/>
      <c r="GZR12" s="425"/>
      <c r="GZS12" s="425"/>
      <c r="GZT12" s="425"/>
      <c r="GZU12" s="425"/>
      <c r="GZV12" s="425"/>
      <c r="GZW12" s="425"/>
      <c r="GZX12" s="425"/>
      <c r="GZY12" s="425"/>
      <c r="GZZ12" s="425"/>
      <c r="HAA12" s="425"/>
      <c r="HAB12" s="425"/>
      <c r="HAC12" s="425"/>
      <c r="HAD12" s="425"/>
      <c r="HAE12" s="425"/>
      <c r="HAF12" s="425"/>
      <c r="HAG12" s="425"/>
      <c r="HAH12" s="425"/>
      <c r="HAI12" s="425"/>
      <c r="HAJ12" s="425"/>
      <c r="HAK12" s="425"/>
      <c r="HAL12" s="425"/>
      <c r="HAM12" s="425"/>
      <c r="HAN12" s="425"/>
      <c r="HAO12" s="425"/>
      <c r="HAP12" s="425"/>
      <c r="HAQ12" s="425"/>
      <c r="HAR12" s="425"/>
      <c r="HAS12" s="425"/>
      <c r="HAT12" s="425"/>
      <c r="HAU12" s="425"/>
      <c r="HAV12" s="425"/>
      <c r="HAW12" s="425"/>
      <c r="HAX12" s="425"/>
      <c r="HAY12" s="425"/>
      <c r="HAZ12" s="425"/>
      <c r="HBA12" s="425"/>
      <c r="HBB12" s="425"/>
      <c r="HBC12" s="425"/>
      <c r="HBD12" s="425"/>
      <c r="HBE12" s="425"/>
      <c r="HBF12" s="425"/>
      <c r="HBG12" s="425"/>
      <c r="HBH12" s="425"/>
      <c r="HBI12" s="425"/>
      <c r="HBJ12" s="425"/>
      <c r="HBK12" s="425"/>
      <c r="HBL12" s="425"/>
      <c r="HBM12" s="425"/>
      <c r="HBN12" s="425"/>
      <c r="HBO12" s="425"/>
      <c r="HBP12" s="425"/>
      <c r="HBQ12" s="425"/>
      <c r="HBR12" s="425"/>
      <c r="HBS12" s="425"/>
      <c r="HBT12" s="425"/>
      <c r="HBU12" s="425"/>
      <c r="HBV12" s="425"/>
      <c r="HBW12" s="425"/>
      <c r="HBX12" s="425"/>
      <c r="HBY12" s="425"/>
      <c r="HBZ12" s="425"/>
      <c r="HCA12" s="425"/>
      <c r="HCB12" s="425"/>
      <c r="HCC12" s="425"/>
      <c r="HCD12" s="425"/>
      <c r="HCE12" s="425"/>
      <c r="HCF12" s="425"/>
      <c r="HCG12" s="425"/>
      <c r="HCH12" s="425"/>
      <c r="HCI12" s="425"/>
      <c r="HCJ12" s="425"/>
      <c r="HCK12" s="425"/>
      <c r="HCL12" s="425"/>
      <c r="HCM12" s="425"/>
      <c r="HCN12" s="425"/>
      <c r="HCO12" s="425"/>
      <c r="HCP12" s="425"/>
      <c r="HCQ12" s="425"/>
      <c r="HCR12" s="425"/>
      <c r="HCS12" s="425"/>
      <c r="HCT12" s="425"/>
      <c r="HCU12" s="425"/>
      <c r="HCV12" s="425"/>
      <c r="HCW12" s="425"/>
      <c r="HCX12" s="425"/>
      <c r="HCY12" s="425"/>
      <c r="HCZ12" s="425"/>
      <c r="HDA12" s="425"/>
      <c r="HDB12" s="425"/>
      <c r="HDC12" s="425"/>
      <c r="HDD12" s="425"/>
      <c r="HDE12" s="425"/>
      <c r="HDF12" s="425"/>
      <c r="HDG12" s="425"/>
      <c r="HDH12" s="425"/>
      <c r="HDI12" s="425"/>
      <c r="HDJ12" s="425"/>
      <c r="HDK12" s="425"/>
      <c r="HDL12" s="425"/>
      <c r="HDM12" s="425"/>
      <c r="HDN12" s="425"/>
      <c r="HDO12" s="425"/>
      <c r="HDP12" s="425"/>
      <c r="HDQ12" s="425"/>
      <c r="HDR12" s="425"/>
      <c r="HDS12" s="425"/>
      <c r="HDT12" s="425"/>
      <c r="HDU12" s="425"/>
      <c r="HDV12" s="425"/>
      <c r="HDW12" s="425"/>
      <c r="HDX12" s="425"/>
      <c r="HDY12" s="425"/>
      <c r="HDZ12" s="425"/>
      <c r="HEA12" s="425"/>
      <c r="HEB12" s="425"/>
      <c r="HEC12" s="425"/>
      <c r="HED12" s="425"/>
      <c r="HEE12" s="425"/>
      <c r="HEF12" s="425"/>
      <c r="HEG12" s="425"/>
      <c r="HEH12" s="425"/>
      <c r="HEI12" s="425"/>
      <c r="HEJ12" s="425"/>
      <c r="HEK12" s="425"/>
      <c r="HEL12" s="425"/>
      <c r="HEM12" s="425"/>
      <c r="HEN12" s="425"/>
      <c r="HEO12" s="425"/>
      <c r="HEP12" s="425"/>
      <c r="HEQ12" s="425"/>
      <c r="HER12" s="425"/>
      <c r="HES12" s="425"/>
      <c r="HET12" s="425"/>
      <c r="HEU12" s="425"/>
      <c r="HEV12" s="425"/>
      <c r="HEW12" s="425"/>
      <c r="HEX12" s="425"/>
      <c r="HEY12" s="425"/>
      <c r="HEZ12" s="425"/>
      <c r="HFA12" s="425"/>
      <c r="HFB12" s="425"/>
      <c r="HFC12" s="425"/>
      <c r="HFD12" s="425"/>
      <c r="HFE12" s="425"/>
      <c r="HFF12" s="425"/>
      <c r="HFG12" s="425"/>
      <c r="HFH12" s="425"/>
      <c r="HFI12" s="425"/>
      <c r="HFJ12" s="425"/>
      <c r="HFK12" s="425"/>
      <c r="HFL12" s="425"/>
      <c r="HFM12" s="425"/>
      <c r="HFN12" s="425"/>
      <c r="HFO12" s="425"/>
      <c r="HFP12" s="425"/>
      <c r="HFQ12" s="425"/>
      <c r="HFR12" s="425"/>
      <c r="HFS12" s="425"/>
      <c r="HFT12" s="425"/>
      <c r="HFU12" s="425"/>
      <c r="HFV12" s="425"/>
      <c r="HFW12" s="425"/>
      <c r="HFX12" s="425"/>
      <c r="HFY12" s="425"/>
      <c r="HFZ12" s="425"/>
      <c r="HGA12" s="425"/>
      <c r="HGB12" s="425"/>
      <c r="HGC12" s="425"/>
      <c r="HGD12" s="425"/>
      <c r="HGE12" s="425"/>
      <c r="HGF12" s="425"/>
      <c r="HGG12" s="425"/>
      <c r="HGH12" s="425"/>
      <c r="HGI12" s="425"/>
      <c r="HGJ12" s="425"/>
      <c r="HGK12" s="425"/>
      <c r="HGL12" s="425"/>
      <c r="HGM12" s="425"/>
      <c r="HGN12" s="425"/>
      <c r="HGO12" s="425"/>
      <c r="HGP12" s="425"/>
      <c r="HGQ12" s="425"/>
      <c r="HGR12" s="425"/>
      <c r="HGS12" s="425"/>
      <c r="HGT12" s="425"/>
      <c r="HGU12" s="425"/>
      <c r="HGV12" s="425"/>
      <c r="HGW12" s="425"/>
      <c r="HGX12" s="425"/>
      <c r="HGY12" s="425"/>
      <c r="HGZ12" s="425"/>
      <c r="HHA12" s="425"/>
      <c r="HHB12" s="425"/>
      <c r="HHC12" s="425"/>
      <c r="HHD12" s="425"/>
      <c r="HHE12" s="425"/>
      <c r="HHF12" s="425"/>
      <c r="HHG12" s="425"/>
      <c r="HHH12" s="425"/>
      <c r="HHI12" s="425"/>
      <c r="HHJ12" s="425"/>
      <c r="HHK12" s="425"/>
      <c r="HHL12" s="425"/>
      <c r="HHM12" s="425"/>
      <c r="HHN12" s="425"/>
      <c r="HHO12" s="425"/>
      <c r="HHP12" s="425"/>
      <c r="HHQ12" s="425"/>
      <c r="HHR12" s="425"/>
      <c r="HHS12" s="425"/>
      <c r="HHT12" s="425"/>
      <c r="HHU12" s="425"/>
      <c r="HHV12" s="425"/>
      <c r="HHW12" s="425"/>
      <c r="HHX12" s="425"/>
      <c r="HHY12" s="425"/>
      <c r="HHZ12" s="425"/>
      <c r="HIA12" s="425"/>
      <c r="HIB12" s="425"/>
      <c r="HIC12" s="425"/>
      <c r="HID12" s="425"/>
      <c r="HIE12" s="425"/>
      <c r="HIF12" s="425"/>
      <c r="HIG12" s="425"/>
      <c r="HIH12" s="425"/>
      <c r="HII12" s="425"/>
      <c r="HIJ12" s="425"/>
      <c r="HIK12" s="425"/>
      <c r="HIL12" s="425"/>
      <c r="HIM12" s="425"/>
      <c r="HIN12" s="425"/>
      <c r="HIO12" s="425"/>
      <c r="HIP12" s="425"/>
      <c r="HIQ12" s="425"/>
      <c r="HIR12" s="425"/>
      <c r="HIS12" s="425"/>
      <c r="HIT12" s="425"/>
      <c r="HIU12" s="425"/>
      <c r="HIV12" s="425"/>
      <c r="HIW12" s="425"/>
      <c r="HIX12" s="425"/>
      <c r="HIY12" s="425"/>
      <c r="HIZ12" s="425"/>
      <c r="HJA12" s="425"/>
      <c r="HJB12" s="425"/>
      <c r="HJC12" s="425"/>
      <c r="HJD12" s="425"/>
      <c r="HJE12" s="425"/>
      <c r="HJF12" s="425"/>
      <c r="HJG12" s="425"/>
      <c r="HJH12" s="425"/>
      <c r="HJI12" s="425"/>
      <c r="HJJ12" s="425"/>
      <c r="HJK12" s="425"/>
      <c r="HJL12" s="425"/>
      <c r="HJM12" s="425"/>
      <c r="HJN12" s="425"/>
      <c r="HJO12" s="425"/>
      <c r="HJP12" s="425"/>
      <c r="HJQ12" s="425"/>
      <c r="HJR12" s="425"/>
      <c r="HJS12" s="425"/>
      <c r="HJT12" s="425"/>
      <c r="HJU12" s="425"/>
      <c r="HJV12" s="425"/>
      <c r="HJW12" s="425"/>
      <c r="HJX12" s="425"/>
      <c r="HJY12" s="425"/>
      <c r="HJZ12" s="425"/>
      <c r="HKA12" s="425"/>
      <c r="HKB12" s="425"/>
      <c r="HKC12" s="425"/>
      <c r="HKD12" s="425"/>
      <c r="HKE12" s="425"/>
      <c r="HKF12" s="425"/>
      <c r="HKG12" s="425"/>
      <c r="HKH12" s="425"/>
      <c r="HKI12" s="425"/>
      <c r="HKJ12" s="425"/>
      <c r="HKK12" s="425"/>
      <c r="HKL12" s="425"/>
      <c r="HKM12" s="425"/>
      <c r="HKN12" s="425"/>
      <c r="HKO12" s="425"/>
      <c r="HKP12" s="425"/>
      <c r="HKQ12" s="425"/>
      <c r="HKR12" s="425"/>
      <c r="HKS12" s="425"/>
      <c r="HKT12" s="425"/>
      <c r="HKU12" s="425"/>
      <c r="HKV12" s="425"/>
      <c r="HKW12" s="425"/>
      <c r="HKX12" s="425"/>
      <c r="HKY12" s="425"/>
      <c r="HKZ12" s="425"/>
      <c r="HLA12" s="425"/>
      <c r="HLB12" s="425"/>
      <c r="HLC12" s="425"/>
      <c r="HLD12" s="425"/>
      <c r="HLE12" s="425"/>
      <c r="HLF12" s="425"/>
      <c r="HLG12" s="425"/>
      <c r="HLH12" s="425"/>
      <c r="HLI12" s="425"/>
      <c r="HLJ12" s="425"/>
      <c r="HLK12" s="425"/>
      <c r="HLL12" s="425"/>
      <c r="HLM12" s="425"/>
      <c r="HLN12" s="425"/>
      <c r="HLO12" s="425"/>
      <c r="HLP12" s="425"/>
      <c r="HLQ12" s="425"/>
      <c r="HLR12" s="425"/>
      <c r="HLS12" s="425"/>
      <c r="HLT12" s="425"/>
      <c r="HLU12" s="425"/>
      <c r="HLV12" s="425"/>
      <c r="HLW12" s="425"/>
      <c r="HLX12" s="425"/>
      <c r="HLY12" s="425"/>
      <c r="HLZ12" s="425"/>
      <c r="HMA12" s="425"/>
      <c r="HMB12" s="425"/>
      <c r="HMC12" s="425"/>
      <c r="HMD12" s="425"/>
      <c r="HME12" s="425"/>
      <c r="HMF12" s="425"/>
      <c r="HMG12" s="425"/>
      <c r="HMH12" s="425"/>
      <c r="HMI12" s="425"/>
      <c r="HMJ12" s="425"/>
      <c r="HMK12" s="425"/>
      <c r="HML12" s="425"/>
      <c r="HMM12" s="425"/>
      <c r="HMN12" s="425"/>
      <c r="HMO12" s="425"/>
      <c r="HMP12" s="425"/>
      <c r="HMQ12" s="425"/>
      <c r="HMR12" s="425"/>
      <c r="HMS12" s="425"/>
      <c r="HMT12" s="425"/>
      <c r="HMU12" s="425"/>
      <c r="HMV12" s="425"/>
      <c r="HMW12" s="425"/>
      <c r="HMX12" s="425"/>
      <c r="HMY12" s="425"/>
      <c r="HMZ12" s="425"/>
      <c r="HNA12" s="425"/>
      <c r="HNB12" s="425"/>
      <c r="HNC12" s="425"/>
      <c r="HND12" s="425"/>
      <c r="HNE12" s="425"/>
      <c r="HNF12" s="425"/>
      <c r="HNG12" s="425"/>
      <c r="HNH12" s="425"/>
      <c r="HNI12" s="425"/>
      <c r="HNJ12" s="425"/>
      <c r="HNK12" s="425"/>
      <c r="HNL12" s="425"/>
      <c r="HNM12" s="425"/>
      <c r="HNN12" s="425"/>
      <c r="HNO12" s="425"/>
      <c r="HNP12" s="425"/>
      <c r="HNQ12" s="425"/>
      <c r="HNR12" s="425"/>
      <c r="HNS12" s="425"/>
      <c r="HNT12" s="425"/>
      <c r="HNU12" s="425"/>
      <c r="HNV12" s="425"/>
      <c r="HNW12" s="425"/>
      <c r="HNX12" s="425"/>
      <c r="HNY12" s="425"/>
      <c r="HNZ12" s="425"/>
      <c r="HOA12" s="425"/>
      <c r="HOB12" s="425"/>
      <c r="HOC12" s="425"/>
      <c r="HOD12" s="425"/>
      <c r="HOE12" s="425"/>
      <c r="HOF12" s="425"/>
      <c r="HOG12" s="425"/>
      <c r="HOH12" s="425"/>
      <c r="HOI12" s="425"/>
      <c r="HOJ12" s="425"/>
      <c r="HOK12" s="425"/>
      <c r="HOL12" s="425"/>
      <c r="HOM12" s="425"/>
      <c r="HON12" s="425"/>
      <c r="HOO12" s="425"/>
      <c r="HOP12" s="425"/>
      <c r="HOQ12" s="425"/>
      <c r="HOR12" s="425"/>
      <c r="HOS12" s="425"/>
      <c r="HOT12" s="425"/>
      <c r="HOU12" s="425"/>
      <c r="HOV12" s="425"/>
      <c r="HOW12" s="425"/>
      <c r="HOX12" s="425"/>
      <c r="HOY12" s="425"/>
      <c r="HOZ12" s="425"/>
      <c r="HPA12" s="425"/>
      <c r="HPB12" s="425"/>
      <c r="HPC12" s="425"/>
      <c r="HPD12" s="425"/>
      <c r="HPE12" s="425"/>
      <c r="HPF12" s="425"/>
      <c r="HPG12" s="425"/>
      <c r="HPH12" s="425"/>
      <c r="HPI12" s="425"/>
      <c r="HPJ12" s="425"/>
      <c r="HPK12" s="425"/>
      <c r="HPL12" s="425"/>
      <c r="HPM12" s="425"/>
      <c r="HPN12" s="425"/>
      <c r="HPO12" s="425"/>
      <c r="HPP12" s="425"/>
      <c r="HPQ12" s="425"/>
      <c r="HPR12" s="425"/>
      <c r="HPS12" s="425"/>
      <c r="HPT12" s="425"/>
      <c r="HPU12" s="425"/>
      <c r="HPV12" s="425"/>
      <c r="HPW12" s="425"/>
      <c r="HPX12" s="425"/>
      <c r="HPY12" s="425"/>
      <c r="HPZ12" s="425"/>
      <c r="HQA12" s="425"/>
      <c r="HQB12" s="425"/>
      <c r="HQC12" s="425"/>
      <c r="HQD12" s="425"/>
      <c r="HQE12" s="425"/>
      <c r="HQF12" s="425"/>
      <c r="HQG12" s="425"/>
      <c r="HQH12" s="425"/>
      <c r="HQI12" s="425"/>
      <c r="HQJ12" s="425"/>
      <c r="HQK12" s="425"/>
      <c r="HQL12" s="425"/>
      <c r="HQM12" s="425"/>
      <c r="HQN12" s="425"/>
      <c r="HQO12" s="425"/>
      <c r="HQP12" s="425"/>
      <c r="HQQ12" s="425"/>
      <c r="HQR12" s="425"/>
      <c r="HQS12" s="425"/>
      <c r="HQT12" s="425"/>
      <c r="HQU12" s="425"/>
      <c r="HQV12" s="425"/>
      <c r="HQW12" s="425"/>
      <c r="HQX12" s="425"/>
      <c r="HQY12" s="425"/>
      <c r="HQZ12" s="425"/>
      <c r="HRA12" s="425"/>
      <c r="HRB12" s="425"/>
      <c r="HRC12" s="425"/>
      <c r="HRD12" s="425"/>
      <c r="HRE12" s="425"/>
      <c r="HRF12" s="425"/>
      <c r="HRG12" s="425"/>
      <c r="HRH12" s="425"/>
      <c r="HRI12" s="425"/>
      <c r="HRJ12" s="425"/>
      <c r="HRK12" s="425"/>
      <c r="HRL12" s="425"/>
      <c r="HRM12" s="425"/>
      <c r="HRN12" s="425"/>
      <c r="HRO12" s="425"/>
      <c r="HRP12" s="425"/>
      <c r="HRQ12" s="425"/>
      <c r="HRR12" s="425"/>
      <c r="HRS12" s="425"/>
      <c r="HRT12" s="425"/>
      <c r="HRU12" s="425"/>
      <c r="HRV12" s="425"/>
      <c r="HRW12" s="425"/>
      <c r="HRX12" s="425"/>
      <c r="HRY12" s="425"/>
      <c r="HRZ12" s="425"/>
      <c r="HSA12" s="425"/>
      <c r="HSB12" s="425"/>
      <c r="HSC12" s="425"/>
      <c r="HSD12" s="425"/>
      <c r="HSE12" s="425"/>
      <c r="HSF12" s="425"/>
      <c r="HSG12" s="425"/>
      <c r="HSH12" s="425"/>
      <c r="HSI12" s="425"/>
      <c r="HSJ12" s="425"/>
      <c r="HSK12" s="425"/>
      <c r="HSL12" s="425"/>
      <c r="HSM12" s="425"/>
      <c r="HSN12" s="425"/>
      <c r="HSO12" s="425"/>
      <c r="HSP12" s="425"/>
      <c r="HSQ12" s="425"/>
      <c r="HSR12" s="425"/>
      <c r="HSS12" s="425"/>
      <c r="HST12" s="425"/>
      <c r="HSU12" s="425"/>
      <c r="HSV12" s="425"/>
      <c r="HSW12" s="425"/>
      <c r="HSX12" s="425"/>
      <c r="HSY12" s="425"/>
      <c r="HSZ12" s="425"/>
      <c r="HTA12" s="425"/>
      <c r="HTB12" s="425"/>
      <c r="HTC12" s="425"/>
      <c r="HTD12" s="425"/>
      <c r="HTE12" s="425"/>
      <c r="HTF12" s="425"/>
      <c r="HTG12" s="425"/>
      <c r="HTH12" s="425"/>
      <c r="HTI12" s="425"/>
      <c r="HTJ12" s="425"/>
      <c r="HTK12" s="425"/>
      <c r="HTL12" s="425"/>
      <c r="HTM12" s="425"/>
      <c r="HTN12" s="425"/>
      <c r="HTO12" s="425"/>
      <c r="HTP12" s="425"/>
      <c r="HTQ12" s="425"/>
      <c r="HTR12" s="425"/>
      <c r="HTS12" s="425"/>
      <c r="HTT12" s="425"/>
      <c r="HTU12" s="425"/>
      <c r="HTV12" s="425"/>
      <c r="HTW12" s="425"/>
      <c r="HTX12" s="425"/>
      <c r="HTY12" s="425"/>
      <c r="HTZ12" s="425"/>
      <c r="HUA12" s="425"/>
      <c r="HUB12" s="425"/>
      <c r="HUC12" s="425"/>
      <c r="HUD12" s="425"/>
      <c r="HUE12" s="425"/>
      <c r="HUF12" s="425"/>
      <c r="HUG12" s="425"/>
      <c r="HUH12" s="425"/>
      <c r="HUI12" s="425"/>
      <c r="HUJ12" s="425"/>
      <c r="HUK12" s="425"/>
      <c r="HUL12" s="425"/>
      <c r="HUM12" s="425"/>
      <c r="HUN12" s="425"/>
      <c r="HUO12" s="425"/>
      <c r="HUP12" s="425"/>
      <c r="HUQ12" s="425"/>
      <c r="HUR12" s="425"/>
      <c r="HUS12" s="425"/>
      <c r="HUT12" s="425"/>
      <c r="HUU12" s="425"/>
      <c r="HUV12" s="425"/>
      <c r="HUW12" s="425"/>
      <c r="HUX12" s="425"/>
      <c r="HUY12" s="425"/>
      <c r="HUZ12" s="425"/>
      <c r="HVA12" s="425"/>
      <c r="HVB12" s="425"/>
      <c r="HVC12" s="425"/>
      <c r="HVD12" s="425"/>
      <c r="HVE12" s="425"/>
      <c r="HVF12" s="425"/>
      <c r="HVG12" s="425"/>
      <c r="HVH12" s="425"/>
      <c r="HVI12" s="425"/>
      <c r="HVJ12" s="425"/>
      <c r="HVK12" s="425"/>
      <c r="HVL12" s="425"/>
      <c r="HVM12" s="425"/>
      <c r="HVN12" s="425"/>
      <c r="HVO12" s="425"/>
      <c r="HVP12" s="425"/>
      <c r="HVQ12" s="425"/>
      <c r="HVR12" s="425"/>
      <c r="HVS12" s="425"/>
      <c r="HVT12" s="425"/>
      <c r="HVU12" s="425"/>
      <c r="HVV12" s="425"/>
      <c r="HVW12" s="425"/>
      <c r="HVX12" s="425"/>
      <c r="HVY12" s="425"/>
      <c r="HVZ12" s="425"/>
      <c r="HWA12" s="425"/>
      <c r="HWB12" s="425"/>
      <c r="HWC12" s="425"/>
      <c r="HWD12" s="425"/>
      <c r="HWE12" s="425"/>
      <c r="HWF12" s="425"/>
      <c r="HWG12" s="425"/>
      <c r="HWH12" s="425"/>
      <c r="HWI12" s="425"/>
      <c r="HWJ12" s="425"/>
      <c r="HWK12" s="425"/>
      <c r="HWL12" s="425"/>
      <c r="HWM12" s="425"/>
      <c r="HWN12" s="425"/>
      <c r="HWO12" s="425"/>
      <c r="HWP12" s="425"/>
      <c r="HWQ12" s="425"/>
      <c r="HWR12" s="425"/>
      <c r="HWS12" s="425"/>
      <c r="HWT12" s="425"/>
      <c r="HWU12" s="425"/>
      <c r="HWV12" s="425"/>
      <c r="HWW12" s="425"/>
      <c r="HWX12" s="425"/>
      <c r="HWY12" s="425"/>
      <c r="HWZ12" s="425"/>
      <c r="HXA12" s="425"/>
      <c r="HXB12" s="425"/>
      <c r="HXC12" s="425"/>
      <c r="HXD12" s="425"/>
      <c r="HXE12" s="425"/>
      <c r="HXF12" s="425"/>
      <c r="HXG12" s="425"/>
      <c r="HXH12" s="425"/>
      <c r="HXI12" s="425"/>
      <c r="HXJ12" s="425"/>
      <c r="HXK12" s="425"/>
      <c r="HXL12" s="425"/>
      <c r="HXM12" s="425"/>
      <c r="HXN12" s="425"/>
      <c r="HXO12" s="425"/>
      <c r="HXP12" s="425"/>
      <c r="HXQ12" s="425"/>
      <c r="HXR12" s="425"/>
      <c r="HXS12" s="425"/>
      <c r="HXT12" s="425"/>
      <c r="HXU12" s="425"/>
      <c r="HXV12" s="425"/>
      <c r="HXW12" s="425"/>
      <c r="HXX12" s="425"/>
      <c r="HXY12" s="425"/>
      <c r="HXZ12" s="425"/>
      <c r="HYA12" s="425"/>
      <c r="HYB12" s="425"/>
      <c r="HYC12" s="425"/>
      <c r="HYD12" s="425"/>
      <c r="HYE12" s="425"/>
      <c r="HYF12" s="425"/>
      <c r="HYG12" s="425"/>
      <c r="HYH12" s="425"/>
      <c r="HYI12" s="425"/>
      <c r="HYJ12" s="425"/>
      <c r="HYK12" s="425"/>
      <c r="HYL12" s="425"/>
      <c r="HYM12" s="425"/>
      <c r="HYN12" s="425"/>
      <c r="HYO12" s="425"/>
      <c r="HYP12" s="425"/>
      <c r="HYQ12" s="425"/>
      <c r="HYR12" s="425"/>
      <c r="HYS12" s="425"/>
      <c r="HYT12" s="425"/>
      <c r="HYU12" s="425"/>
      <c r="HYV12" s="425"/>
      <c r="HYW12" s="425"/>
      <c r="HYX12" s="425"/>
      <c r="HYY12" s="425"/>
      <c r="HYZ12" s="425"/>
      <c r="HZA12" s="425"/>
      <c r="HZB12" s="425"/>
      <c r="HZC12" s="425"/>
      <c r="HZD12" s="425"/>
      <c r="HZE12" s="425"/>
      <c r="HZF12" s="425"/>
      <c r="HZG12" s="425"/>
      <c r="HZH12" s="425"/>
      <c r="HZI12" s="425"/>
      <c r="HZJ12" s="425"/>
      <c r="HZK12" s="425"/>
      <c r="HZL12" s="425"/>
      <c r="HZM12" s="425"/>
      <c r="HZN12" s="425"/>
      <c r="HZO12" s="425"/>
      <c r="HZP12" s="425"/>
      <c r="HZQ12" s="425"/>
      <c r="HZR12" s="425"/>
      <c r="HZS12" s="425"/>
      <c r="HZT12" s="425"/>
      <c r="HZU12" s="425"/>
      <c r="HZV12" s="425"/>
      <c r="HZW12" s="425"/>
      <c r="HZX12" s="425"/>
      <c r="HZY12" s="425"/>
      <c r="HZZ12" s="425"/>
      <c r="IAA12" s="425"/>
      <c r="IAB12" s="425"/>
      <c r="IAC12" s="425"/>
      <c r="IAD12" s="425"/>
      <c r="IAE12" s="425"/>
      <c r="IAF12" s="425"/>
      <c r="IAG12" s="425"/>
      <c r="IAH12" s="425"/>
      <c r="IAI12" s="425"/>
      <c r="IAJ12" s="425"/>
      <c r="IAK12" s="425"/>
      <c r="IAL12" s="425"/>
      <c r="IAM12" s="425"/>
      <c r="IAN12" s="425"/>
      <c r="IAO12" s="425"/>
      <c r="IAP12" s="425"/>
      <c r="IAQ12" s="425"/>
      <c r="IAR12" s="425"/>
      <c r="IAS12" s="425"/>
      <c r="IAT12" s="425"/>
      <c r="IAU12" s="425"/>
      <c r="IAV12" s="425"/>
      <c r="IAW12" s="425"/>
      <c r="IAX12" s="425"/>
      <c r="IAY12" s="425"/>
      <c r="IAZ12" s="425"/>
      <c r="IBA12" s="425"/>
      <c r="IBB12" s="425"/>
      <c r="IBC12" s="425"/>
      <c r="IBD12" s="425"/>
      <c r="IBE12" s="425"/>
      <c r="IBF12" s="425"/>
      <c r="IBG12" s="425"/>
      <c r="IBH12" s="425"/>
      <c r="IBI12" s="425"/>
      <c r="IBJ12" s="425"/>
      <c r="IBK12" s="425"/>
      <c r="IBL12" s="425"/>
      <c r="IBM12" s="425"/>
      <c r="IBN12" s="425"/>
      <c r="IBO12" s="425"/>
      <c r="IBP12" s="425"/>
      <c r="IBQ12" s="425"/>
      <c r="IBR12" s="425"/>
      <c r="IBS12" s="425"/>
      <c r="IBT12" s="425"/>
      <c r="IBU12" s="425"/>
      <c r="IBV12" s="425"/>
      <c r="IBW12" s="425"/>
      <c r="IBX12" s="425"/>
      <c r="IBY12" s="425"/>
      <c r="IBZ12" s="425"/>
      <c r="ICA12" s="425"/>
      <c r="ICB12" s="425"/>
      <c r="ICC12" s="425"/>
      <c r="ICD12" s="425"/>
      <c r="ICE12" s="425"/>
      <c r="ICF12" s="425"/>
      <c r="ICG12" s="425"/>
      <c r="ICH12" s="425"/>
      <c r="ICI12" s="425"/>
      <c r="ICJ12" s="425"/>
      <c r="ICK12" s="425"/>
      <c r="ICL12" s="425"/>
      <c r="ICM12" s="425"/>
      <c r="ICN12" s="425"/>
      <c r="ICO12" s="425"/>
      <c r="ICP12" s="425"/>
      <c r="ICQ12" s="425"/>
      <c r="ICR12" s="425"/>
      <c r="ICS12" s="425"/>
      <c r="ICT12" s="425"/>
      <c r="ICU12" s="425"/>
      <c r="ICV12" s="425"/>
      <c r="ICW12" s="425"/>
      <c r="ICX12" s="425"/>
      <c r="ICY12" s="425"/>
      <c r="ICZ12" s="425"/>
      <c r="IDA12" s="425"/>
      <c r="IDB12" s="425"/>
      <c r="IDC12" s="425"/>
      <c r="IDD12" s="425"/>
      <c r="IDE12" s="425"/>
      <c r="IDF12" s="425"/>
      <c r="IDG12" s="425"/>
      <c r="IDH12" s="425"/>
      <c r="IDI12" s="425"/>
      <c r="IDJ12" s="425"/>
      <c r="IDK12" s="425"/>
      <c r="IDL12" s="425"/>
      <c r="IDM12" s="425"/>
      <c r="IDN12" s="425"/>
      <c r="IDO12" s="425"/>
      <c r="IDP12" s="425"/>
      <c r="IDQ12" s="425"/>
      <c r="IDR12" s="425"/>
      <c r="IDS12" s="425"/>
      <c r="IDT12" s="425"/>
      <c r="IDU12" s="425"/>
      <c r="IDV12" s="425"/>
      <c r="IDW12" s="425"/>
      <c r="IDX12" s="425"/>
      <c r="IDY12" s="425"/>
      <c r="IDZ12" s="425"/>
      <c r="IEA12" s="425"/>
      <c r="IEB12" s="425"/>
      <c r="IEC12" s="425"/>
      <c r="IED12" s="425"/>
      <c r="IEE12" s="425"/>
      <c r="IEF12" s="425"/>
      <c r="IEG12" s="425"/>
      <c r="IEH12" s="425"/>
      <c r="IEI12" s="425"/>
      <c r="IEJ12" s="425"/>
      <c r="IEK12" s="425"/>
      <c r="IEL12" s="425"/>
      <c r="IEM12" s="425"/>
      <c r="IEN12" s="425"/>
      <c r="IEO12" s="425"/>
      <c r="IEP12" s="425"/>
      <c r="IEQ12" s="425"/>
      <c r="IER12" s="425"/>
      <c r="IES12" s="425"/>
      <c r="IET12" s="425"/>
      <c r="IEU12" s="425"/>
      <c r="IEV12" s="425"/>
      <c r="IEW12" s="425"/>
      <c r="IEX12" s="425"/>
      <c r="IEY12" s="425"/>
      <c r="IEZ12" s="425"/>
      <c r="IFA12" s="425"/>
      <c r="IFB12" s="425"/>
      <c r="IFC12" s="425"/>
      <c r="IFD12" s="425"/>
      <c r="IFE12" s="425"/>
      <c r="IFF12" s="425"/>
      <c r="IFG12" s="425"/>
      <c r="IFH12" s="425"/>
      <c r="IFI12" s="425"/>
      <c r="IFJ12" s="425"/>
      <c r="IFK12" s="425"/>
      <c r="IFL12" s="425"/>
      <c r="IFM12" s="425"/>
      <c r="IFN12" s="425"/>
      <c r="IFO12" s="425"/>
      <c r="IFP12" s="425"/>
      <c r="IFQ12" s="425"/>
      <c r="IFR12" s="425"/>
      <c r="IFS12" s="425"/>
      <c r="IFT12" s="425"/>
      <c r="IFU12" s="425"/>
      <c r="IFV12" s="425"/>
      <c r="IFW12" s="425"/>
      <c r="IFX12" s="425"/>
      <c r="IFY12" s="425"/>
      <c r="IFZ12" s="425"/>
      <c r="IGA12" s="425"/>
      <c r="IGB12" s="425"/>
      <c r="IGC12" s="425"/>
      <c r="IGD12" s="425"/>
      <c r="IGE12" s="425"/>
      <c r="IGF12" s="425"/>
      <c r="IGG12" s="425"/>
      <c r="IGH12" s="425"/>
      <c r="IGI12" s="425"/>
      <c r="IGJ12" s="425"/>
      <c r="IGK12" s="425"/>
      <c r="IGL12" s="425"/>
      <c r="IGM12" s="425"/>
      <c r="IGN12" s="425"/>
      <c r="IGO12" s="425"/>
      <c r="IGP12" s="425"/>
      <c r="IGQ12" s="425"/>
      <c r="IGR12" s="425"/>
      <c r="IGS12" s="425"/>
      <c r="IGT12" s="425"/>
      <c r="IGU12" s="425"/>
      <c r="IGV12" s="425"/>
      <c r="IGW12" s="425"/>
      <c r="IGX12" s="425"/>
      <c r="IGY12" s="425"/>
      <c r="IGZ12" s="425"/>
      <c r="IHA12" s="425"/>
      <c r="IHB12" s="425"/>
      <c r="IHC12" s="425"/>
      <c r="IHD12" s="425"/>
      <c r="IHE12" s="425"/>
      <c r="IHF12" s="425"/>
      <c r="IHG12" s="425"/>
      <c r="IHH12" s="425"/>
      <c r="IHI12" s="425"/>
      <c r="IHJ12" s="425"/>
      <c r="IHK12" s="425"/>
      <c r="IHL12" s="425"/>
      <c r="IHM12" s="425"/>
      <c r="IHN12" s="425"/>
      <c r="IHO12" s="425"/>
      <c r="IHP12" s="425"/>
      <c r="IHQ12" s="425"/>
      <c r="IHR12" s="425"/>
      <c r="IHS12" s="425"/>
      <c r="IHT12" s="425"/>
      <c r="IHU12" s="425"/>
      <c r="IHV12" s="425"/>
      <c r="IHW12" s="425"/>
      <c r="IHX12" s="425"/>
      <c r="IHY12" s="425"/>
      <c r="IHZ12" s="425"/>
      <c r="IIA12" s="425"/>
      <c r="IIB12" s="425"/>
      <c r="IIC12" s="425"/>
      <c r="IID12" s="425"/>
      <c r="IIE12" s="425"/>
      <c r="IIF12" s="425"/>
      <c r="IIG12" s="425"/>
      <c r="IIH12" s="425"/>
      <c r="III12" s="425"/>
      <c r="IIJ12" s="425"/>
      <c r="IIK12" s="425"/>
      <c r="IIL12" s="425"/>
      <c r="IIM12" s="425"/>
      <c r="IIN12" s="425"/>
      <c r="IIO12" s="425"/>
      <c r="IIP12" s="425"/>
      <c r="IIQ12" s="425"/>
      <c r="IIR12" s="425"/>
      <c r="IIS12" s="425"/>
      <c r="IIT12" s="425"/>
      <c r="IIU12" s="425"/>
      <c r="IIV12" s="425"/>
      <c r="IIW12" s="425"/>
      <c r="IIX12" s="425"/>
      <c r="IIY12" s="425"/>
      <c r="IIZ12" s="425"/>
      <c r="IJA12" s="425"/>
      <c r="IJB12" s="425"/>
      <c r="IJC12" s="425"/>
      <c r="IJD12" s="425"/>
      <c r="IJE12" s="425"/>
      <c r="IJF12" s="425"/>
      <c r="IJG12" s="425"/>
      <c r="IJH12" s="425"/>
      <c r="IJI12" s="425"/>
      <c r="IJJ12" s="425"/>
      <c r="IJK12" s="425"/>
      <c r="IJL12" s="425"/>
      <c r="IJM12" s="425"/>
      <c r="IJN12" s="425"/>
      <c r="IJO12" s="425"/>
      <c r="IJP12" s="425"/>
      <c r="IJQ12" s="425"/>
      <c r="IJR12" s="425"/>
      <c r="IJS12" s="425"/>
      <c r="IJT12" s="425"/>
      <c r="IJU12" s="425"/>
      <c r="IJV12" s="425"/>
      <c r="IJW12" s="425"/>
      <c r="IJX12" s="425"/>
      <c r="IJY12" s="425"/>
      <c r="IJZ12" s="425"/>
      <c r="IKA12" s="425"/>
      <c r="IKB12" s="425"/>
      <c r="IKC12" s="425"/>
      <c r="IKD12" s="425"/>
      <c r="IKE12" s="425"/>
      <c r="IKF12" s="425"/>
      <c r="IKG12" s="425"/>
      <c r="IKH12" s="425"/>
      <c r="IKI12" s="425"/>
      <c r="IKJ12" s="425"/>
      <c r="IKK12" s="425"/>
      <c r="IKL12" s="425"/>
      <c r="IKM12" s="425"/>
      <c r="IKN12" s="425"/>
      <c r="IKO12" s="425"/>
      <c r="IKP12" s="425"/>
      <c r="IKQ12" s="425"/>
      <c r="IKR12" s="425"/>
      <c r="IKS12" s="425"/>
      <c r="IKT12" s="425"/>
      <c r="IKU12" s="425"/>
      <c r="IKV12" s="425"/>
      <c r="IKW12" s="425"/>
      <c r="IKX12" s="425"/>
      <c r="IKY12" s="425"/>
      <c r="IKZ12" s="425"/>
      <c r="ILA12" s="425"/>
      <c r="ILB12" s="425"/>
      <c r="ILC12" s="425"/>
      <c r="ILD12" s="425"/>
      <c r="ILE12" s="425"/>
      <c r="ILF12" s="425"/>
      <c r="ILG12" s="425"/>
      <c r="ILH12" s="425"/>
      <c r="ILI12" s="425"/>
      <c r="ILJ12" s="425"/>
      <c r="ILK12" s="425"/>
      <c r="ILL12" s="425"/>
      <c r="ILM12" s="425"/>
      <c r="ILN12" s="425"/>
      <c r="ILO12" s="425"/>
      <c r="ILP12" s="425"/>
      <c r="ILQ12" s="425"/>
      <c r="ILR12" s="425"/>
      <c r="ILS12" s="425"/>
      <c r="ILT12" s="425"/>
      <c r="ILU12" s="425"/>
      <c r="ILV12" s="425"/>
      <c r="ILW12" s="425"/>
      <c r="ILX12" s="425"/>
      <c r="ILY12" s="425"/>
      <c r="ILZ12" s="425"/>
      <c r="IMA12" s="425"/>
      <c r="IMB12" s="425"/>
      <c r="IMC12" s="425"/>
      <c r="IMD12" s="425"/>
      <c r="IME12" s="425"/>
      <c r="IMF12" s="425"/>
      <c r="IMG12" s="425"/>
      <c r="IMH12" s="425"/>
      <c r="IMI12" s="425"/>
      <c r="IMJ12" s="425"/>
      <c r="IMK12" s="425"/>
      <c r="IML12" s="425"/>
      <c r="IMM12" s="425"/>
      <c r="IMN12" s="425"/>
      <c r="IMO12" s="425"/>
      <c r="IMP12" s="425"/>
      <c r="IMQ12" s="425"/>
      <c r="IMR12" s="425"/>
      <c r="IMS12" s="425"/>
      <c r="IMT12" s="425"/>
      <c r="IMU12" s="425"/>
      <c r="IMV12" s="425"/>
      <c r="IMW12" s="425"/>
      <c r="IMX12" s="425"/>
      <c r="IMY12" s="425"/>
      <c r="IMZ12" s="425"/>
      <c r="INA12" s="425"/>
      <c r="INB12" s="425"/>
      <c r="INC12" s="425"/>
      <c r="IND12" s="425"/>
      <c r="INE12" s="425"/>
      <c r="INF12" s="425"/>
      <c r="ING12" s="425"/>
      <c r="INH12" s="425"/>
      <c r="INI12" s="425"/>
      <c r="INJ12" s="425"/>
      <c r="INK12" s="425"/>
      <c r="INL12" s="425"/>
      <c r="INM12" s="425"/>
      <c r="INN12" s="425"/>
      <c r="INO12" s="425"/>
      <c r="INP12" s="425"/>
      <c r="INQ12" s="425"/>
      <c r="INR12" s="425"/>
      <c r="INS12" s="425"/>
      <c r="INT12" s="425"/>
      <c r="INU12" s="425"/>
      <c r="INV12" s="425"/>
      <c r="INW12" s="425"/>
      <c r="INX12" s="425"/>
      <c r="INY12" s="425"/>
      <c r="INZ12" s="425"/>
      <c r="IOA12" s="425"/>
      <c r="IOB12" s="425"/>
      <c r="IOC12" s="425"/>
      <c r="IOD12" s="425"/>
      <c r="IOE12" s="425"/>
      <c r="IOF12" s="425"/>
      <c r="IOG12" s="425"/>
      <c r="IOH12" s="425"/>
      <c r="IOI12" s="425"/>
      <c r="IOJ12" s="425"/>
      <c r="IOK12" s="425"/>
      <c r="IOL12" s="425"/>
      <c r="IOM12" s="425"/>
      <c r="ION12" s="425"/>
      <c r="IOO12" s="425"/>
      <c r="IOP12" s="425"/>
      <c r="IOQ12" s="425"/>
      <c r="IOR12" s="425"/>
      <c r="IOS12" s="425"/>
      <c r="IOT12" s="425"/>
      <c r="IOU12" s="425"/>
      <c r="IOV12" s="425"/>
      <c r="IOW12" s="425"/>
      <c r="IOX12" s="425"/>
      <c r="IOY12" s="425"/>
      <c r="IOZ12" s="425"/>
      <c r="IPA12" s="425"/>
      <c r="IPB12" s="425"/>
      <c r="IPC12" s="425"/>
      <c r="IPD12" s="425"/>
      <c r="IPE12" s="425"/>
      <c r="IPF12" s="425"/>
      <c r="IPG12" s="425"/>
      <c r="IPH12" s="425"/>
      <c r="IPI12" s="425"/>
      <c r="IPJ12" s="425"/>
      <c r="IPK12" s="425"/>
      <c r="IPL12" s="425"/>
      <c r="IPM12" s="425"/>
      <c r="IPN12" s="425"/>
      <c r="IPO12" s="425"/>
      <c r="IPP12" s="425"/>
      <c r="IPQ12" s="425"/>
      <c r="IPR12" s="425"/>
      <c r="IPS12" s="425"/>
      <c r="IPT12" s="425"/>
      <c r="IPU12" s="425"/>
      <c r="IPV12" s="425"/>
      <c r="IPW12" s="425"/>
      <c r="IPX12" s="425"/>
      <c r="IPY12" s="425"/>
      <c r="IPZ12" s="425"/>
      <c r="IQA12" s="425"/>
      <c r="IQB12" s="425"/>
      <c r="IQC12" s="425"/>
      <c r="IQD12" s="425"/>
      <c r="IQE12" s="425"/>
      <c r="IQF12" s="425"/>
      <c r="IQG12" s="425"/>
      <c r="IQH12" s="425"/>
      <c r="IQI12" s="425"/>
      <c r="IQJ12" s="425"/>
      <c r="IQK12" s="425"/>
      <c r="IQL12" s="425"/>
      <c r="IQM12" s="425"/>
      <c r="IQN12" s="425"/>
      <c r="IQO12" s="425"/>
      <c r="IQP12" s="425"/>
      <c r="IQQ12" s="425"/>
      <c r="IQR12" s="425"/>
      <c r="IQS12" s="425"/>
      <c r="IQT12" s="425"/>
      <c r="IQU12" s="425"/>
      <c r="IQV12" s="425"/>
      <c r="IQW12" s="425"/>
      <c r="IQX12" s="425"/>
      <c r="IQY12" s="425"/>
      <c r="IQZ12" s="425"/>
      <c r="IRA12" s="425"/>
      <c r="IRB12" s="425"/>
      <c r="IRC12" s="425"/>
      <c r="IRD12" s="425"/>
      <c r="IRE12" s="425"/>
      <c r="IRF12" s="425"/>
      <c r="IRG12" s="425"/>
      <c r="IRH12" s="425"/>
      <c r="IRI12" s="425"/>
      <c r="IRJ12" s="425"/>
      <c r="IRK12" s="425"/>
      <c r="IRL12" s="425"/>
      <c r="IRM12" s="425"/>
      <c r="IRN12" s="425"/>
      <c r="IRO12" s="425"/>
      <c r="IRP12" s="425"/>
      <c r="IRQ12" s="425"/>
      <c r="IRR12" s="425"/>
      <c r="IRS12" s="425"/>
      <c r="IRT12" s="425"/>
      <c r="IRU12" s="425"/>
      <c r="IRV12" s="425"/>
      <c r="IRW12" s="425"/>
      <c r="IRX12" s="425"/>
      <c r="IRY12" s="425"/>
      <c r="IRZ12" s="425"/>
      <c r="ISA12" s="425"/>
      <c r="ISB12" s="425"/>
      <c r="ISC12" s="425"/>
      <c r="ISD12" s="425"/>
      <c r="ISE12" s="425"/>
      <c r="ISF12" s="425"/>
      <c r="ISG12" s="425"/>
      <c r="ISH12" s="425"/>
      <c r="ISI12" s="425"/>
      <c r="ISJ12" s="425"/>
      <c r="ISK12" s="425"/>
      <c r="ISL12" s="425"/>
      <c r="ISM12" s="425"/>
      <c r="ISN12" s="425"/>
      <c r="ISO12" s="425"/>
      <c r="ISP12" s="425"/>
      <c r="ISQ12" s="425"/>
      <c r="ISR12" s="425"/>
      <c r="ISS12" s="425"/>
      <c r="IST12" s="425"/>
      <c r="ISU12" s="425"/>
      <c r="ISV12" s="425"/>
      <c r="ISW12" s="425"/>
      <c r="ISX12" s="425"/>
      <c r="ISY12" s="425"/>
      <c r="ISZ12" s="425"/>
      <c r="ITA12" s="425"/>
      <c r="ITB12" s="425"/>
      <c r="ITC12" s="425"/>
      <c r="ITD12" s="425"/>
      <c r="ITE12" s="425"/>
      <c r="ITF12" s="425"/>
      <c r="ITG12" s="425"/>
      <c r="ITH12" s="425"/>
      <c r="ITI12" s="425"/>
      <c r="ITJ12" s="425"/>
      <c r="ITK12" s="425"/>
      <c r="ITL12" s="425"/>
      <c r="ITM12" s="425"/>
      <c r="ITN12" s="425"/>
      <c r="ITO12" s="425"/>
      <c r="ITP12" s="425"/>
      <c r="ITQ12" s="425"/>
      <c r="ITR12" s="425"/>
      <c r="ITS12" s="425"/>
      <c r="ITT12" s="425"/>
      <c r="ITU12" s="425"/>
      <c r="ITV12" s="425"/>
      <c r="ITW12" s="425"/>
      <c r="ITX12" s="425"/>
      <c r="ITY12" s="425"/>
      <c r="ITZ12" s="425"/>
      <c r="IUA12" s="425"/>
      <c r="IUB12" s="425"/>
      <c r="IUC12" s="425"/>
      <c r="IUD12" s="425"/>
      <c r="IUE12" s="425"/>
      <c r="IUF12" s="425"/>
      <c r="IUG12" s="425"/>
      <c r="IUH12" s="425"/>
      <c r="IUI12" s="425"/>
      <c r="IUJ12" s="425"/>
      <c r="IUK12" s="425"/>
      <c r="IUL12" s="425"/>
      <c r="IUM12" s="425"/>
      <c r="IUN12" s="425"/>
      <c r="IUO12" s="425"/>
      <c r="IUP12" s="425"/>
      <c r="IUQ12" s="425"/>
      <c r="IUR12" s="425"/>
      <c r="IUS12" s="425"/>
      <c r="IUT12" s="425"/>
      <c r="IUU12" s="425"/>
      <c r="IUV12" s="425"/>
      <c r="IUW12" s="425"/>
      <c r="IUX12" s="425"/>
      <c r="IUY12" s="425"/>
      <c r="IUZ12" s="425"/>
      <c r="IVA12" s="425"/>
      <c r="IVB12" s="425"/>
      <c r="IVC12" s="425"/>
      <c r="IVD12" s="425"/>
      <c r="IVE12" s="425"/>
      <c r="IVF12" s="425"/>
      <c r="IVG12" s="425"/>
      <c r="IVH12" s="425"/>
      <c r="IVI12" s="425"/>
      <c r="IVJ12" s="425"/>
      <c r="IVK12" s="425"/>
      <c r="IVL12" s="425"/>
      <c r="IVM12" s="425"/>
      <c r="IVN12" s="425"/>
      <c r="IVO12" s="425"/>
      <c r="IVP12" s="425"/>
      <c r="IVQ12" s="425"/>
      <c r="IVR12" s="425"/>
      <c r="IVS12" s="425"/>
      <c r="IVT12" s="425"/>
      <c r="IVU12" s="425"/>
      <c r="IVV12" s="425"/>
      <c r="IVW12" s="425"/>
      <c r="IVX12" s="425"/>
      <c r="IVY12" s="425"/>
      <c r="IVZ12" s="425"/>
      <c r="IWA12" s="425"/>
      <c r="IWB12" s="425"/>
      <c r="IWC12" s="425"/>
      <c r="IWD12" s="425"/>
      <c r="IWE12" s="425"/>
      <c r="IWF12" s="425"/>
      <c r="IWG12" s="425"/>
      <c r="IWH12" s="425"/>
      <c r="IWI12" s="425"/>
      <c r="IWJ12" s="425"/>
      <c r="IWK12" s="425"/>
      <c r="IWL12" s="425"/>
      <c r="IWM12" s="425"/>
      <c r="IWN12" s="425"/>
      <c r="IWO12" s="425"/>
      <c r="IWP12" s="425"/>
      <c r="IWQ12" s="425"/>
      <c r="IWR12" s="425"/>
      <c r="IWS12" s="425"/>
      <c r="IWT12" s="425"/>
      <c r="IWU12" s="425"/>
      <c r="IWV12" s="425"/>
      <c r="IWW12" s="425"/>
      <c r="IWX12" s="425"/>
      <c r="IWY12" s="425"/>
      <c r="IWZ12" s="425"/>
      <c r="IXA12" s="425"/>
      <c r="IXB12" s="425"/>
      <c r="IXC12" s="425"/>
      <c r="IXD12" s="425"/>
      <c r="IXE12" s="425"/>
      <c r="IXF12" s="425"/>
      <c r="IXG12" s="425"/>
      <c r="IXH12" s="425"/>
      <c r="IXI12" s="425"/>
      <c r="IXJ12" s="425"/>
      <c r="IXK12" s="425"/>
      <c r="IXL12" s="425"/>
      <c r="IXM12" s="425"/>
      <c r="IXN12" s="425"/>
      <c r="IXO12" s="425"/>
      <c r="IXP12" s="425"/>
      <c r="IXQ12" s="425"/>
      <c r="IXR12" s="425"/>
      <c r="IXS12" s="425"/>
      <c r="IXT12" s="425"/>
      <c r="IXU12" s="425"/>
      <c r="IXV12" s="425"/>
      <c r="IXW12" s="425"/>
      <c r="IXX12" s="425"/>
      <c r="IXY12" s="425"/>
      <c r="IXZ12" s="425"/>
      <c r="IYA12" s="425"/>
      <c r="IYB12" s="425"/>
      <c r="IYC12" s="425"/>
      <c r="IYD12" s="425"/>
      <c r="IYE12" s="425"/>
      <c r="IYF12" s="425"/>
      <c r="IYG12" s="425"/>
      <c r="IYH12" s="425"/>
      <c r="IYI12" s="425"/>
      <c r="IYJ12" s="425"/>
      <c r="IYK12" s="425"/>
      <c r="IYL12" s="425"/>
      <c r="IYM12" s="425"/>
      <c r="IYN12" s="425"/>
      <c r="IYO12" s="425"/>
      <c r="IYP12" s="425"/>
      <c r="IYQ12" s="425"/>
      <c r="IYR12" s="425"/>
      <c r="IYS12" s="425"/>
      <c r="IYT12" s="425"/>
      <c r="IYU12" s="425"/>
      <c r="IYV12" s="425"/>
      <c r="IYW12" s="425"/>
      <c r="IYX12" s="425"/>
      <c r="IYY12" s="425"/>
      <c r="IYZ12" s="425"/>
      <c r="IZA12" s="425"/>
      <c r="IZB12" s="425"/>
      <c r="IZC12" s="425"/>
      <c r="IZD12" s="425"/>
      <c r="IZE12" s="425"/>
      <c r="IZF12" s="425"/>
      <c r="IZG12" s="425"/>
      <c r="IZH12" s="425"/>
      <c r="IZI12" s="425"/>
      <c r="IZJ12" s="425"/>
      <c r="IZK12" s="425"/>
      <c r="IZL12" s="425"/>
      <c r="IZM12" s="425"/>
      <c r="IZN12" s="425"/>
      <c r="IZO12" s="425"/>
      <c r="IZP12" s="425"/>
      <c r="IZQ12" s="425"/>
      <c r="IZR12" s="425"/>
      <c r="IZS12" s="425"/>
      <c r="IZT12" s="425"/>
      <c r="IZU12" s="425"/>
      <c r="IZV12" s="425"/>
      <c r="IZW12" s="425"/>
      <c r="IZX12" s="425"/>
      <c r="IZY12" s="425"/>
      <c r="IZZ12" s="425"/>
      <c r="JAA12" s="425"/>
      <c r="JAB12" s="425"/>
      <c r="JAC12" s="425"/>
      <c r="JAD12" s="425"/>
      <c r="JAE12" s="425"/>
      <c r="JAF12" s="425"/>
      <c r="JAG12" s="425"/>
      <c r="JAH12" s="425"/>
      <c r="JAI12" s="425"/>
      <c r="JAJ12" s="425"/>
      <c r="JAK12" s="425"/>
      <c r="JAL12" s="425"/>
      <c r="JAM12" s="425"/>
      <c r="JAN12" s="425"/>
      <c r="JAO12" s="425"/>
      <c r="JAP12" s="425"/>
      <c r="JAQ12" s="425"/>
      <c r="JAR12" s="425"/>
      <c r="JAS12" s="425"/>
      <c r="JAT12" s="425"/>
      <c r="JAU12" s="425"/>
      <c r="JAV12" s="425"/>
      <c r="JAW12" s="425"/>
      <c r="JAX12" s="425"/>
      <c r="JAY12" s="425"/>
      <c r="JAZ12" s="425"/>
      <c r="JBA12" s="425"/>
      <c r="JBB12" s="425"/>
      <c r="JBC12" s="425"/>
      <c r="JBD12" s="425"/>
      <c r="JBE12" s="425"/>
      <c r="JBF12" s="425"/>
      <c r="JBG12" s="425"/>
      <c r="JBH12" s="425"/>
      <c r="JBI12" s="425"/>
      <c r="JBJ12" s="425"/>
      <c r="JBK12" s="425"/>
      <c r="JBL12" s="425"/>
      <c r="JBM12" s="425"/>
      <c r="JBN12" s="425"/>
      <c r="JBO12" s="425"/>
      <c r="JBP12" s="425"/>
      <c r="JBQ12" s="425"/>
      <c r="JBR12" s="425"/>
      <c r="JBS12" s="425"/>
      <c r="JBT12" s="425"/>
      <c r="JBU12" s="425"/>
      <c r="JBV12" s="425"/>
      <c r="JBW12" s="425"/>
      <c r="JBX12" s="425"/>
      <c r="JBY12" s="425"/>
      <c r="JBZ12" s="425"/>
      <c r="JCA12" s="425"/>
      <c r="JCB12" s="425"/>
      <c r="JCC12" s="425"/>
      <c r="JCD12" s="425"/>
      <c r="JCE12" s="425"/>
      <c r="JCF12" s="425"/>
      <c r="JCG12" s="425"/>
      <c r="JCH12" s="425"/>
      <c r="JCI12" s="425"/>
      <c r="JCJ12" s="425"/>
      <c r="JCK12" s="425"/>
      <c r="JCL12" s="425"/>
      <c r="JCM12" s="425"/>
      <c r="JCN12" s="425"/>
      <c r="JCO12" s="425"/>
      <c r="JCP12" s="425"/>
      <c r="JCQ12" s="425"/>
      <c r="JCR12" s="425"/>
      <c r="JCS12" s="425"/>
      <c r="JCT12" s="425"/>
      <c r="JCU12" s="425"/>
      <c r="JCV12" s="425"/>
      <c r="JCW12" s="425"/>
      <c r="JCX12" s="425"/>
      <c r="JCY12" s="425"/>
      <c r="JCZ12" s="425"/>
      <c r="JDA12" s="425"/>
      <c r="JDB12" s="425"/>
      <c r="JDC12" s="425"/>
      <c r="JDD12" s="425"/>
      <c r="JDE12" s="425"/>
      <c r="JDF12" s="425"/>
      <c r="JDG12" s="425"/>
      <c r="JDH12" s="425"/>
      <c r="JDI12" s="425"/>
      <c r="JDJ12" s="425"/>
      <c r="JDK12" s="425"/>
      <c r="JDL12" s="425"/>
      <c r="JDM12" s="425"/>
      <c r="JDN12" s="425"/>
      <c r="JDO12" s="425"/>
      <c r="JDP12" s="425"/>
      <c r="JDQ12" s="425"/>
      <c r="JDR12" s="425"/>
      <c r="JDS12" s="425"/>
      <c r="JDT12" s="425"/>
      <c r="JDU12" s="425"/>
      <c r="JDV12" s="425"/>
      <c r="JDW12" s="425"/>
      <c r="JDX12" s="425"/>
      <c r="JDY12" s="425"/>
      <c r="JDZ12" s="425"/>
      <c r="JEA12" s="425"/>
      <c r="JEB12" s="425"/>
      <c r="JEC12" s="425"/>
      <c r="JED12" s="425"/>
      <c r="JEE12" s="425"/>
      <c r="JEF12" s="425"/>
      <c r="JEG12" s="425"/>
      <c r="JEH12" s="425"/>
      <c r="JEI12" s="425"/>
      <c r="JEJ12" s="425"/>
      <c r="JEK12" s="425"/>
      <c r="JEL12" s="425"/>
      <c r="JEM12" s="425"/>
      <c r="JEN12" s="425"/>
      <c r="JEO12" s="425"/>
      <c r="JEP12" s="425"/>
      <c r="JEQ12" s="425"/>
      <c r="JER12" s="425"/>
      <c r="JES12" s="425"/>
      <c r="JET12" s="425"/>
      <c r="JEU12" s="425"/>
      <c r="JEV12" s="425"/>
      <c r="JEW12" s="425"/>
      <c r="JEX12" s="425"/>
      <c r="JEY12" s="425"/>
      <c r="JEZ12" s="425"/>
      <c r="JFA12" s="425"/>
      <c r="JFB12" s="425"/>
      <c r="JFC12" s="425"/>
      <c r="JFD12" s="425"/>
      <c r="JFE12" s="425"/>
      <c r="JFF12" s="425"/>
      <c r="JFG12" s="425"/>
      <c r="JFH12" s="425"/>
      <c r="JFI12" s="425"/>
      <c r="JFJ12" s="425"/>
      <c r="JFK12" s="425"/>
      <c r="JFL12" s="425"/>
      <c r="JFM12" s="425"/>
      <c r="JFN12" s="425"/>
      <c r="JFO12" s="425"/>
      <c r="JFP12" s="425"/>
      <c r="JFQ12" s="425"/>
      <c r="JFR12" s="425"/>
      <c r="JFS12" s="425"/>
      <c r="JFT12" s="425"/>
      <c r="JFU12" s="425"/>
      <c r="JFV12" s="425"/>
      <c r="JFW12" s="425"/>
      <c r="JFX12" s="425"/>
      <c r="JFY12" s="425"/>
      <c r="JFZ12" s="425"/>
      <c r="JGA12" s="425"/>
      <c r="JGB12" s="425"/>
      <c r="JGC12" s="425"/>
      <c r="JGD12" s="425"/>
      <c r="JGE12" s="425"/>
      <c r="JGF12" s="425"/>
      <c r="JGG12" s="425"/>
      <c r="JGH12" s="425"/>
      <c r="JGI12" s="425"/>
      <c r="JGJ12" s="425"/>
      <c r="JGK12" s="425"/>
      <c r="JGL12" s="425"/>
      <c r="JGM12" s="425"/>
      <c r="JGN12" s="425"/>
      <c r="JGO12" s="425"/>
      <c r="JGP12" s="425"/>
      <c r="JGQ12" s="425"/>
      <c r="JGR12" s="425"/>
      <c r="JGS12" s="425"/>
      <c r="JGT12" s="425"/>
      <c r="JGU12" s="425"/>
      <c r="JGV12" s="425"/>
      <c r="JGW12" s="425"/>
      <c r="JGX12" s="425"/>
      <c r="JGY12" s="425"/>
      <c r="JGZ12" s="425"/>
      <c r="JHA12" s="425"/>
      <c r="JHB12" s="425"/>
      <c r="JHC12" s="425"/>
      <c r="JHD12" s="425"/>
      <c r="JHE12" s="425"/>
      <c r="JHF12" s="425"/>
      <c r="JHG12" s="425"/>
      <c r="JHH12" s="425"/>
      <c r="JHI12" s="425"/>
      <c r="JHJ12" s="425"/>
      <c r="JHK12" s="425"/>
      <c r="JHL12" s="425"/>
      <c r="JHM12" s="425"/>
      <c r="JHN12" s="425"/>
      <c r="JHO12" s="425"/>
      <c r="JHP12" s="425"/>
      <c r="JHQ12" s="425"/>
      <c r="JHR12" s="425"/>
      <c r="JHS12" s="425"/>
      <c r="JHT12" s="425"/>
      <c r="JHU12" s="425"/>
      <c r="JHV12" s="425"/>
      <c r="JHW12" s="425"/>
      <c r="JHX12" s="425"/>
      <c r="JHY12" s="425"/>
      <c r="JHZ12" s="425"/>
      <c r="JIA12" s="425"/>
      <c r="JIB12" s="425"/>
      <c r="JIC12" s="425"/>
      <c r="JID12" s="425"/>
      <c r="JIE12" s="425"/>
      <c r="JIF12" s="425"/>
      <c r="JIG12" s="425"/>
      <c r="JIH12" s="425"/>
      <c r="JII12" s="425"/>
      <c r="JIJ12" s="425"/>
      <c r="JIK12" s="425"/>
      <c r="JIL12" s="425"/>
      <c r="JIM12" s="425"/>
      <c r="JIN12" s="425"/>
      <c r="JIO12" s="425"/>
      <c r="JIP12" s="425"/>
      <c r="JIQ12" s="425"/>
      <c r="JIR12" s="425"/>
      <c r="JIS12" s="425"/>
      <c r="JIT12" s="425"/>
      <c r="JIU12" s="425"/>
      <c r="JIV12" s="425"/>
      <c r="JIW12" s="425"/>
      <c r="JIX12" s="425"/>
      <c r="JIY12" s="425"/>
      <c r="JIZ12" s="425"/>
      <c r="JJA12" s="425"/>
      <c r="JJB12" s="425"/>
      <c r="JJC12" s="425"/>
      <c r="JJD12" s="425"/>
      <c r="JJE12" s="425"/>
      <c r="JJF12" s="425"/>
      <c r="JJG12" s="425"/>
      <c r="JJH12" s="425"/>
      <c r="JJI12" s="425"/>
      <c r="JJJ12" s="425"/>
      <c r="JJK12" s="425"/>
      <c r="JJL12" s="425"/>
      <c r="JJM12" s="425"/>
      <c r="JJN12" s="425"/>
      <c r="JJO12" s="425"/>
      <c r="JJP12" s="425"/>
      <c r="JJQ12" s="425"/>
      <c r="JJR12" s="425"/>
      <c r="JJS12" s="425"/>
      <c r="JJT12" s="425"/>
      <c r="JJU12" s="425"/>
      <c r="JJV12" s="425"/>
      <c r="JJW12" s="425"/>
      <c r="JJX12" s="425"/>
      <c r="JJY12" s="425"/>
      <c r="JJZ12" s="425"/>
      <c r="JKA12" s="425"/>
      <c r="JKB12" s="425"/>
      <c r="JKC12" s="425"/>
      <c r="JKD12" s="425"/>
      <c r="JKE12" s="425"/>
      <c r="JKF12" s="425"/>
      <c r="JKG12" s="425"/>
      <c r="JKH12" s="425"/>
      <c r="JKI12" s="425"/>
      <c r="JKJ12" s="425"/>
      <c r="JKK12" s="425"/>
      <c r="JKL12" s="425"/>
      <c r="JKM12" s="425"/>
      <c r="JKN12" s="425"/>
      <c r="JKO12" s="425"/>
      <c r="JKP12" s="425"/>
      <c r="JKQ12" s="425"/>
      <c r="JKR12" s="425"/>
      <c r="JKS12" s="425"/>
      <c r="JKT12" s="425"/>
      <c r="JKU12" s="425"/>
      <c r="JKV12" s="425"/>
      <c r="JKW12" s="425"/>
      <c r="JKX12" s="425"/>
      <c r="JKY12" s="425"/>
      <c r="JKZ12" s="425"/>
      <c r="JLA12" s="425"/>
      <c r="JLB12" s="425"/>
      <c r="JLC12" s="425"/>
      <c r="JLD12" s="425"/>
      <c r="JLE12" s="425"/>
      <c r="JLF12" s="425"/>
      <c r="JLG12" s="425"/>
      <c r="JLH12" s="425"/>
      <c r="JLI12" s="425"/>
      <c r="JLJ12" s="425"/>
      <c r="JLK12" s="425"/>
      <c r="JLL12" s="425"/>
      <c r="JLM12" s="425"/>
      <c r="JLN12" s="425"/>
      <c r="JLO12" s="425"/>
      <c r="JLP12" s="425"/>
      <c r="JLQ12" s="425"/>
      <c r="JLR12" s="425"/>
      <c r="JLS12" s="425"/>
      <c r="JLT12" s="425"/>
      <c r="JLU12" s="425"/>
      <c r="JLV12" s="425"/>
      <c r="JLW12" s="425"/>
      <c r="JLX12" s="425"/>
      <c r="JLY12" s="425"/>
      <c r="JLZ12" s="425"/>
      <c r="JMA12" s="425"/>
      <c r="JMB12" s="425"/>
      <c r="JMC12" s="425"/>
      <c r="JMD12" s="425"/>
      <c r="JME12" s="425"/>
      <c r="JMF12" s="425"/>
      <c r="JMG12" s="425"/>
      <c r="JMH12" s="425"/>
      <c r="JMI12" s="425"/>
      <c r="JMJ12" s="425"/>
      <c r="JMK12" s="425"/>
      <c r="JML12" s="425"/>
      <c r="JMM12" s="425"/>
      <c r="JMN12" s="425"/>
      <c r="JMO12" s="425"/>
      <c r="JMP12" s="425"/>
      <c r="JMQ12" s="425"/>
      <c r="JMR12" s="425"/>
      <c r="JMS12" s="425"/>
      <c r="JMT12" s="425"/>
      <c r="JMU12" s="425"/>
      <c r="JMV12" s="425"/>
      <c r="JMW12" s="425"/>
      <c r="JMX12" s="425"/>
      <c r="JMY12" s="425"/>
      <c r="JMZ12" s="425"/>
      <c r="JNA12" s="425"/>
      <c r="JNB12" s="425"/>
      <c r="JNC12" s="425"/>
      <c r="JND12" s="425"/>
      <c r="JNE12" s="425"/>
      <c r="JNF12" s="425"/>
      <c r="JNG12" s="425"/>
      <c r="JNH12" s="425"/>
      <c r="JNI12" s="425"/>
      <c r="JNJ12" s="425"/>
      <c r="JNK12" s="425"/>
      <c r="JNL12" s="425"/>
      <c r="JNM12" s="425"/>
      <c r="JNN12" s="425"/>
      <c r="JNO12" s="425"/>
      <c r="JNP12" s="425"/>
      <c r="JNQ12" s="425"/>
      <c r="JNR12" s="425"/>
      <c r="JNS12" s="425"/>
      <c r="JNT12" s="425"/>
      <c r="JNU12" s="425"/>
      <c r="JNV12" s="425"/>
      <c r="JNW12" s="425"/>
      <c r="JNX12" s="425"/>
      <c r="JNY12" s="425"/>
      <c r="JNZ12" s="425"/>
      <c r="JOA12" s="425"/>
      <c r="JOB12" s="425"/>
      <c r="JOC12" s="425"/>
      <c r="JOD12" s="425"/>
      <c r="JOE12" s="425"/>
      <c r="JOF12" s="425"/>
      <c r="JOG12" s="425"/>
      <c r="JOH12" s="425"/>
      <c r="JOI12" s="425"/>
      <c r="JOJ12" s="425"/>
      <c r="JOK12" s="425"/>
      <c r="JOL12" s="425"/>
      <c r="JOM12" s="425"/>
      <c r="JON12" s="425"/>
      <c r="JOO12" s="425"/>
      <c r="JOP12" s="425"/>
      <c r="JOQ12" s="425"/>
      <c r="JOR12" s="425"/>
      <c r="JOS12" s="425"/>
      <c r="JOT12" s="425"/>
      <c r="JOU12" s="425"/>
      <c r="JOV12" s="425"/>
      <c r="JOW12" s="425"/>
      <c r="JOX12" s="425"/>
      <c r="JOY12" s="425"/>
      <c r="JOZ12" s="425"/>
      <c r="JPA12" s="425"/>
      <c r="JPB12" s="425"/>
      <c r="JPC12" s="425"/>
      <c r="JPD12" s="425"/>
      <c r="JPE12" s="425"/>
      <c r="JPF12" s="425"/>
      <c r="JPG12" s="425"/>
      <c r="JPH12" s="425"/>
      <c r="JPI12" s="425"/>
      <c r="JPJ12" s="425"/>
      <c r="JPK12" s="425"/>
      <c r="JPL12" s="425"/>
      <c r="JPM12" s="425"/>
      <c r="JPN12" s="425"/>
      <c r="JPO12" s="425"/>
      <c r="JPP12" s="425"/>
      <c r="JPQ12" s="425"/>
      <c r="JPR12" s="425"/>
      <c r="JPS12" s="425"/>
      <c r="JPT12" s="425"/>
      <c r="JPU12" s="425"/>
      <c r="JPV12" s="425"/>
      <c r="JPW12" s="425"/>
      <c r="JPX12" s="425"/>
      <c r="JPY12" s="425"/>
      <c r="JPZ12" s="425"/>
      <c r="JQA12" s="425"/>
      <c r="JQB12" s="425"/>
      <c r="JQC12" s="425"/>
      <c r="JQD12" s="425"/>
      <c r="JQE12" s="425"/>
      <c r="JQF12" s="425"/>
      <c r="JQG12" s="425"/>
      <c r="JQH12" s="425"/>
      <c r="JQI12" s="425"/>
      <c r="JQJ12" s="425"/>
      <c r="JQK12" s="425"/>
      <c r="JQL12" s="425"/>
      <c r="JQM12" s="425"/>
      <c r="JQN12" s="425"/>
      <c r="JQO12" s="425"/>
      <c r="JQP12" s="425"/>
      <c r="JQQ12" s="425"/>
      <c r="JQR12" s="425"/>
      <c r="JQS12" s="425"/>
      <c r="JQT12" s="425"/>
      <c r="JQU12" s="425"/>
      <c r="JQV12" s="425"/>
      <c r="JQW12" s="425"/>
      <c r="JQX12" s="425"/>
      <c r="JQY12" s="425"/>
      <c r="JQZ12" s="425"/>
      <c r="JRA12" s="425"/>
      <c r="JRB12" s="425"/>
      <c r="JRC12" s="425"/>
      <c r="JRD12" s="425"/>
      <c r="JRE12" s="425"/>
      <c r="JRF12" s="425"/>
      <c r="JRG12" s="425"/>
      <c r="JRH12" s="425"/>
      <c r="JRI12" s="425"/>
      <c r="JRJ12" s="425"/>
      <c r="JRK12" s="425"/>
      <c r="JRL12" s="425"/>
      <c r="JRM12" s="425"/>
      <c r="JRN12" s="425"/>
      <c r="JRO12" s="425"/>
      <c r="JRP12" s="425"/>
      <c r="JRQ12" s="425"/>
      <c r="JRR12" s="425"/>
      <c r="JRS12" s="425"/>
      <c r="JRT12" s="425"/>
      <c r="JRU12" s="425"/>
      <c r="JRV12" s="425"/>
      <c r="JRW12" s="425"/>
      <c r="JRX12" s="425"/>
      <c r="JRY12" s="425"/>
      <c r="JRZ12" s="425"/>
      <c r="JSA12" s="425"/>
      <c r="JSB12" s="425"/>
      <c r="JSC12" s="425"/>
      <c r="JSD12" s="425"/>
      <c r="JSE12" s="425"/>
      <c r="JSF12" s="425"/>
      <c r="JSG12" s="425"/>
      <c r="JSH12" s="425"/>
      <c r="JSI12" s="425"/>
      <c r="JSJ12" s="425"/>
      <c r="JSK12" s="425"/>
      <c r="JSL12" s="425"/>
      <c r="JSM12" s="425"/>
      <c r="JSN12" s="425"/>
      <c r="JSO12" s="425"/>
      <c r="JSP12" s="425"/>
      <c r="JSQ12" s="425"/>
      <c r="JSR12" s="425"/>
      <c r="JSS12" s="425"/>
      <c r="JST12" s="425"/>
      <c r="JSU12" s="425"/>
      <c r="JSV12" s="425"/>
      <c r="JSW12" s="425"/>
      <c r="JSX12" s="425"/>
      <c r="JSY12" s="425"/>
      <c r="JSZ12" s="425"/>
      <c r="JTA12" s="425"/>
      <c r="JTB12" s="425"/>
      <c r="JTC12" s="425"/>
      <c r="JTD12" s="425"/>
      <c r="JTE12" s="425"/>
      <c r="JTF12" s="425"/>
      <c r="JTG12" s="425"/>
      <c r="JTH12" s="425"/>
      <c r="JTI12" s="425"/>
      <c r="JTJ12" s="425"/>
      <c r="JTK12" s="425"/>
      <c r="JTL12" s="425"/>
      <c r="JTM12" s="425"/>
      <c r="JTN12" s="425"/>
      <c r="JTO12" s="425"/>
      <c r="JTP12" s="425"/>
      <c r="JTQ12" s="425"/>
      <c r="JTR12" s="425"/>
      <c r="JTS12" s="425"/>
      <c r="JTT12" s="425"/>
      <c r="JTU12" s="425"/>
      <c r="JTV12" s="425"/>
      <c r="JTW12" s="425"/>
      <c r="JTX12" s="425"/>
      <c r="JTY12" s="425"/>
      <c r="JTZ12" s="425"/>
      <c r="JUA12" s="425"/>
      <c r="JUB12" s="425"/>
      <c r="JUC12" s="425"/>
      <c r="JUD12" s="425"/>
      <c r="JUE12" s="425"/>
      <c r="JUF12" s="425"/>
      <c r="JUG12" s="425"/>
      <c r="JUH12" s="425"/>
      <c r="JUI12" s="425"/>
      <c r="JUJ12" s="425"/>
      <c r="JUK12" s="425"/>
      <c r="JUL12" s="425"/>
      <c r="JUM12" s="425"/>
      <c r="JUN12" s="425"/>
      <c r="JUO12" s="425"/>
      <c r="JUP12" s="425"/>
      <c r="JUQ12" s="425"/>
      <c r="JUR12" s="425"/>
      <c r="JUS12" s="425"/>
      <c r="JUT12" s="425"/>
      <c r="JUU12" s="425"/>
      <c r="JUV12" s="425"/>
      <c r="JUW12" s="425"/>
      <c r="JUX12" s="425"/>
      <c r="JUY12" s="425"/>
      <c r="JUZ12" s="425"/>
      <c r="JVA12" s="425"/>
      <c r="JVB12" s="425"/>
      <c r="JVC12" s="425"/>
      <c r="JVD12" s="425"/>
      <c r="JVE12" s="425"/>
      <c r="JVF12" s="425"/>
      <c r="JVG12" s="425"/>
      <c r="JVH12" s="425"/>
      <c r="JVI12" s="425"/>
      <c r="JVJ12" s="425"/>
      <c r="JVK12" s="425"/>
      <c r="JVL12" s="425"/>
      <c r="JVM12" s="425"/>
      <c r="JVN12" s="425"/>
      <c r="JVO12" s="425"/>
      <c r="JVP12" s="425"/>
      <c r="JVQ12" s="425"/>
      <c r="JVR12" s="425"/>
      <c r="JVS12" s="425"/>
      <c r="JVT12" s="425"/>
      <c r="JVU12" s="425"/>
      <c r="JVV12" s="425"/>
      <c r="JVW12" s="425"/>
      <c r="JVX12" s="425"/>
      <c r="JVY12" s="425"/>
      <c r="JVZ12" s="425"/>
      <c r="JWA12" s="425"/>
      <c r="JWB12" s="425"/>
      <c r="JWC12" s="425"/>
      <c r="JWD12" s="425"/>
      <c r="JWE12" s="425"/>
      <c r="JWF12" s="425"/>
      <c r="JWG12" s="425"/>
      <c r="JWH12" s="425"/>
      <c r="JWI12" s="425"/>
      <c r="JWJ12" s="425"/>
      <c r="JWK12" s="425"/>
      <c r="JWL12" s="425"/>
      <c r="JWM12" s="425"/>
      <c r="JWN12" s="425"/>
      <c r="JWO12" s="425"/>
      <c r="JWP12" s="425"/>
      <c r="JWQ12" s="425"/>
      <c r="JWR12" s="425"/>
      <c r="JWS12" s="425"/>
      <c r="JWT12" s="425"/>
      <c r="JWU12" s="425"/>
      <c r="JWV12" s="425"/>
      <c r="JWW12" s="425"/>
      <c r="JWX12" s="425"/>
      <c r="JWY12" s="425"/>
      <c r="JWZ12" s="425"/>
      <c r="JXA12" s="425"/>
      <c r="JXB12" s="425"/>
      <c r="JXC12" s="425"/>
      <c r="JXD12" s="425"/>
      <c r="JXE12" s="425"/>
      <c r="JXF12" s="425"/>
      <c r="JXG12" s="425"/>
      <c r="JXH12" s="425"/>
      <c r="JXI12" s="425"/>
      <c r="JXJ12" s="425"/>
      <c r="JXK12" s="425"/>
      <c r="JXL12" s="425"/>
      <c r="JXM12" s="425"/>
      <c r="JXN12" s="425"/>
      <c r="JXO12" s="425"/>
      <c r="JXP12" s="425"/>
      <c r="JXQ12" s="425"/>
      <c r="JXR12" s="425"/>
      <c r="JXS12" s="425"/>
      <c r="JXT12" s="425"/>
      <c r="JXU12" s="425"/>
      <c r="JXV12" s="425"/>
      <c r="JXW12" s="425"/>
      <c r="JXX12" s="425"/>
      <c r="JXY12" s="425"/>
      <c r="JXZ12" s="425"/>
      <c r="JYA12" s="425"/>
      <c r="JYB12" s="425"/>
      <c r="JYC12" s="425"/>
      <c r="JYD12" s="425"/>
      <c r="JYE12" s="425"/>
      <c r="JYF12" s="425"/>
      <c r="JYG12" s="425"/>
      <c r="JYH12" s="425"/>
      <c r="JYI12" s="425"/>
      <c r="JYJ12" s="425"/>
      <c r="JYK12" s="425"/>
      <c r="JYL12" s="425"/>
      <c r="JYM12" s="425"/>
      <c r="JYN12" s="425"/>
      <c r="JYO12" s="425"/>
      <c r="JYP12" s="425"/>
      <c r="JYQ12" s="425"/>
      <c r="JYR12" s="425"/>
      <c r="JYS12" s="425"/>
      <c r="JYT12" s="425"/>
      <c r="JYU12" s="425"/>
      <c r="JYV12" s="425"/>
      <c r="JYW12" s="425"/>
      <c r="JYX12" s="425"/>
      <c r="JYY12" s="425"/>
      <c r="JYZ12" s="425"/>
      <c r="JZA12" s="425"/>
      <c r="JZB12" s="425"/>
      <c r="JZC12" s="425"/>
      <c r="JZD12" s="425"/>
      <c r="JZE12" s="425"/>
      <c r="JZF12" s="425"/>
      <c r="JZG12" s="425"/>
      <c r="JZH12" s="425"/>
      <c r="JZI12" s="425"/>
      <c r="JZJ12" s="425"/>
      <c r="JZK12" s="425"/>
      <c r="JZL12" s="425"/>
      <c r="JZM12" s="425"/>
      <c r="JZN12" s="425"/>
      <c r="JZO12" s="425"/>
      <c r="JZP12" s="425"/>
      <c r="JZQ12" s="425"/>
      <c r="JZR12" s="425"/>
      <c r="JZS12" s="425"/>
      <c r="JZT12" s="425"/>
      <c r="JZU12" s="425"/>
      <c r="JZV12" s="425"/>
      <c r="JZW12" s="425"/>
      <c r="JZX12" s="425"/>
      <c r="JZY12" s="425"/>
      <c r="JZZ12" s="425"/>
      <c r="KAA12" s="425"/>
      <c r="KAB12" s="425"/>
      <c r="KAC12" s="425"/>
      <c r="KAD12" s="425"/>
      <c r="KAE12" s="425"/>
      <c r="KAF12" s="425"/>
      <c r="KAG12" s="425"/>
      <c r="KAH12" s="425"/>
      <c r="KAI12" s="425"/>
      <c r="KAJ12" s="425"/>
      <c r="KAK12" s="425"/>
      <c r="KAL12" s="425"/>
      <c r="KAM12" s="425"/>
      <c r="KAN12" s="425"/>
      <c r="KAO12" s="425"/>
      <c r="KAP12" s="425"/>
      <c r="KAQ12" s="425"/>
      <c r="KAR12" s="425"/>
      <c r="KAS12" s="425"/>
      <c r="KAT12" s="425"/>
      <c r="KAU12" s="425"/>
      <c r="KAV12" s="425"/>
      <c r="KAW12" s="425"/>
      <c r="KAX12" s="425"/>
      <c r="KAY12" s="425"/>
      <c r="KAZ12" s="425"/>
      <c r="KBA12" s="425"/>
      <c r="KBB12" s="425"/>
      <c r="KBC12" s="425"/>
      <c r="KBD12" s="425"/>
      <c r="KBE12" s="425"/>
      <c r="KBF12" s="425"/>
      <c r="KBG12" s="425"/>
      <c r="KBH12" s="425"/>
      <c r="KBI12" s="425"/>
      <c r="KBJ12" s="425"/>
      <c r="KBK12" s="425"/>
      <c r="KBL12" s="425"/>
      <c r="KBM12" s="425"/>
      <c r="KBN12" s="425"/>
      <c r="KBO12" s="425"/>
      <c r="KBP12" s="425"/>
      <c r="KBQ12" s="425"/>
      <c r="KBR12" s="425"/>
      <c r="KBS12" s="425"/>
      <c r="KBT12" s="425"/>
      <c r="KBU12" s="425"/>
      <c r="KBV12" s="425"/>
      <c r="KBW12" s="425"/>
      <c r="KBX12" s="425"/>
      <c r="KBY12" s="425"/>
      <c r="KBZ12" s="425"/>
      <c r="KCA12" s="425"/>
      <c r="KCB12" s="425"/>
      <c r="KCC12" s="425"/>
      <c r="KCD12" s="425"/>
      <c r="KCE12" s="425"/>
      <c r="KCF12" s="425"/>
      <c r="KCG12" s="425"/>
      <c r="KCH12" s="425"/>
      <c r="KCI12" s="425"/>
      <c r="KCJ12" s="425"/>
      <c r="KCK12" s="425"/>
      <c r="KCL12" s="425"/>
      <c r="KCM12" s="425"/>
      <c r="KCN12" s="425"/>
      <c r="KCO12" s="425"/>
      <c r="KCP12" s="425"/>
      <c r="KCQ12" s="425"/>
      <c r="KCR12" s="425"/>
      <c r="KCS12" s="425"/>
      <c r="KCT12" s="425"/>
      <c r="KCU12" s="425"/>
      <c r="KCV12" s="425"/>
      <c r="KCW12" s="425"/>
      <c r="KCX12" s="425"/>
      <c r="KCY12" s="425"/>
      <c r="KCZ12" s="425"/>
      <c r="KDA12" s="425"/>
      <c r="KDB12" s="425"/>
      <c r="KDC12" s="425"/>
      <c r="KDD12" s="425"/>
      <c r="KDE12" s="425"/>
      <c r="KDF12" s="425"/>
      <c r="KDG12" s="425"/>
      <c r="KDH12" s="425"/>
      <c r="KDI12" s="425"/>
      <c r="KDJ12" s="425"/>
      <c r="KDK12" s="425"/>
      <c r="KDL12" s="425"/>
      <c r="KDM12" s="425"/>
      <c r="KDN12" s="425"/>
      <c r="KDO12" s="425"/>
      <c r="KDP12" s="425"/>
      <c r="KDQ12" s="425"/>
      <c r="KDR12" s="425"/>
      <c r="KDS12" s="425"/>
      <c r="KDT12" s="425"/>
      <c r="KDU12" s="425"/>
      <c r="KDV12" s="425"/>
      <c r="KDW12" s="425"/>
      <c r="KDX12" s="425"/>
      <c r="KDY12" s="425"/>
      <c r="KDZ12" s="425"/>
      <c r="KEA12" s="425"/>
      <c r="KEB12" s="425"/>
      <c r="KEC12" s="425"/>
      <c r="KED12" s="425"/>
      <c r="KEE12" s="425"/>
      <c r="KEF12" s="425"/>
      <c r="KEG12" s="425"/>
      <c r="KEH12" s="425"/>
      <c r="KEI12" s="425"/>
      <c r="KEJ12" s="425"/>
      <c r="KEK12" s="425"/>
      <c r="KEL12" s="425"/>
      <c r="KEM12" s="425"/>
      <c r="KEN12" s="425"/>
      <c r="KEO12" s="425"/>
      <c r="KEP12" s="425"/>
      <c r="KEQ12" s="425"/>
      <c r="KER12" s="425"/>
      <c r="KES12" s="425"/>
      <c r="KET12" s="425"/>
      <c r="KEU12" s="425"/>
      <c r="KEV12" s="425"/>
      <c r="KEW12" s="425"/>
      <c r="KEX12" s="425"/>
      <c r="KEY12" s="425"/>
      <c r="KEZ12" s="425"/>
      <c r="KFA12" s="425"/>
      <c r="KFB12" s="425"/>
      <c r="KFC12" s="425"/>
      <c r="KFD12" s="425"/>
      <c r="KFE12" s="425"/>
      <c r="KFF12" s="425"/>
      <c r="KFG12" s="425"/>
      <c r="KFH12" s="425"/>
      <c r="KFI12" s="425"/>
      <c r="KFJ12" s="425"/>
      <c r="KFK12" s="425"/>
      <c r="KFL12" s="425"/>
      <c r="KFM12" s="425"/>
      <c r="KFN12" s="425"/>
      <c r="KFO12" s="425"/>
      <c r="KFP12" s="425"/>
      <c r="KFQ12" s="425"/>
      <c r="KFR12" s="425"/>
      <c r="KFS12" s="425"/>
      <c r="KFT12" s="425"/>
      <c r="KFU12" s="425"/>
      <c r="KFV12" s="425"/>
      <c r="KFW12" s="425"/>
      <c r="KFX12" s="425"/>
      <c r="KFY12" s="425"/>
      <c r="KFZ12" s="425"/>
      <c r="KGA12" s="425"/>
      <c r="KGB12" s="425"/>
      <c r="KGC12" s="425"/>
      <c r="KGD12" s="425"/>
      <c r="KGE12" s="425"/>
      <c r="KGF12" s="425"/>
      <c r="KGG12" s="425"/>
      <c r="KGH12" s="425"/>
      <c r="KGI12" s="425"/>
      <c r="KGJ12" s="425"/>
      <c r="KGK12" s="425"/>
      <c r="KGL12" s="425"/>
      <c r="KGM12" s="425"/>
      <c r="KGN12" s="425"/>
      <c r="KGO12" s="425"/>
      <c r="KGP12" s="425"/>
      <c r="KGQ12" s="425"/>
      <c r="KGR12" s="425"/>
      <c r="KGS12" s="425"/>
      <c r="KGT12" s="425"/>
      <c r="KGU12" s="425"/>
      <c r="KGV12" s="425"/>
      <c r="KGW12" s="425"/>
      <c r="KGX12" s="425"/>
      <c r="KGY12" s="425"/>
      <c r="KGZ12" s="425"/>
      <c r="KHA12" s="425"/>
      <c r="KHB12" s="425"/>
      <c r="KHC12" s="425"/>
      <c r="KHD12" s="425"/>
      <c r="KHE12" s="425"/>
      <c r="KHF12" s="425"/>
      <c r="KHG12" s="425"/>
      <c r="KHH12" s="425"/>
      <c r="KHI12" s="425"/>
      <c r="KHJ12" s="425"/>
      <c r="KHK12" s="425"/>
      <c r="KHL12" s="425"/>
      <c r="KHM12" s="425"/>
      <c r="KHN12" s="425"/>
      <c r="KHO12" s="425"/>
      <c r="KHP12" s="425"/>
      <c r="KHQ12" s="425"/>
      <c r="KHR12" s="425"/>
      <c r="KHS12" s="425"/>
      <c r="KHT12" s="425"/>
      <c r="KHU12" s="425"/>
      <c r="KHV12" s="425"/>
      <c r="KHW12" s="425"/>
      <c r="KHX12" s="425"/>
      <c r="KHY12" s="425"/>
      <c r="KHZ12" s="425"/>
      <c r="KIA12" s="425"/>
      <c r="KIB12" s="425"/>
      <c r="KIC12" s="425"/>
      <c r="KID12" s="425"/>
      <c r="KIE12" s="425"/>
      <c r="KIF12" s="425"/>
      <c r="KIG12" s="425"/>
      <c r="KIH12" s="425"/>
      <c r="KII12" s="425"/>
      <c r="KIJ12" s="425"/>
      <c r="KIK12" s="425"/>
      <c r="KIL12" s="425"/>
      <c r="KIM12" s="425"/>
      <c r="KIN12" s="425"/>
      <c r="KIO12" s="425"/>
      <c r="KIP12" s="425"/>
      <c r="KIQ12" s="425"/>
      <c r="KIR12" s="425"/>
      <c r="KIS12" s="425"/>
      <c r="KIT12" s="425"/>
      <c r="KIU12" s="425"/>
      <c r="KIV12" s="425"/>
      <c r="KIW12" s="425"/>
      <c r="KIX12" s="425"/>
      <c r="KIY12" s="425"/>
      <c r="KIZ12" s="425"/>
      <c r="KJA12" s="425"/>
      <c r="KJB12" s="425"/>
      <c r="KJC12" s="425"/>
      <c r="KJD12" s="425"/>
      <c r="KJE12" s="425"/>
      <c r="KJF12" s="425"/>
      <c r="KJG12" s="425"/>
      <c r="KJH12" s="425"/>
      <c r="KJI12" s="425"/>
      <c r="KJJ12" s="425"/>
      <c r="KJK12" s="425"/>
      <c r="KJL12" s="425"/>
      <c r="KJM12" s="425"/>
      <c r="KJN12" s="425"/>
      <c r="KJO12" s="425"/>
      <c r="KJP12" s="425"/>
      <c r="KJQ12" s="425"/>
      <c r="KJR12" s="425"/>
      <c r="KJS12" s="425"/>
      <c r="KJT12" s="425"/>
      <c r="KJU12" s="425"/>
      <c r="KJV12" s="425"/>
      <c r="KJW12" s="425"/>
      <c r="KJX12" s="425"/>
      <c r="KJY12" s="425"/>
      <c r="KJZ12" s="425"/>
      <c r="KKA12" s="425"/>
      <c r="KKB12" s="425"/>
      <c r="KKC12" s="425"/>
      <c r="KKD12" s="425"/>
      <c r="KKE12" s="425"/>
      <c r="KKF12" s="425"/>
      <c r="KKG12" s="425"/>
      <c r="KKH12" s="425"/>
      <c r="KKI12" s="425"/>
      <c r="KKJ12" s="425"/>
      <c r="KKK12" s="425"/>
      <c r="KKL12" s="425"/>
      <c r="KKM12" s="425"/>
      <c r="KKN12" s="425"/>
      <c r="KKO12" s="425"/>
      <c r="KKP12" s="425"/>
      <c r="KKQ12" s="425"/>
      <c r="KKR12" s="425"/>
      <c r="KKS12" s="425"/>
      <c r="KKT12" s="425"/>
      <c r="KKU12" s="425"/>
      <c r="KKV12" s="425"/>
      <c r="KKW12" s="425"/>
      <c r="KKX12" s="425"/>
      <c r="KKY12" s="425"/>
      <c r="KKZ12" s="425"/>
      <c r="KLA12" s="425"/>
      <c r="KLB12" s="425"/>
      <c r="KLC12" s="425"/>
      <c r="KLD12" s="425"/>
      <c r="KLE12" s="425"/>
      <c r="KLF12" s="425"/>
      <c r="KLG12" s="425"/>
      <c r="KLH12" s="425"/>
      <c r="KLI12" s="425"/>
      <c r="KLJ12" s="425"/>
      <c r="KLK12" s="425"/>
      <c r="KLL12" s="425"/>
      <c r="KLM12" s="425"/>
      <c r="KLN12" s="425"/>
      <c r="KLO12" s="425"/>
      <c r="KLP12" s="425"/>
      <c r="KLQ12" s="425"/>
      <c r="KLR12" s="425"/>
      <c r="KLS12" s="425"/>
      <c r="KLT12" s="425"/>
      <c r="KLU12" s="425"/>
      <c r="KLV12" s="425"/>
      <c r="KLW12" s="425"/>
      <c r="KLX12" s="425"/>
      <c r="KLY12" s="425"/>
      <c r="KLZ12" s="425"/>
      <c r="KMA12" s="425"/>
      <c r="KMB12" s="425"/>
      <c r="KMC12" s="425"/>
      <c r="KMD12" s="425"/>
      <c r="KME12" s="425"/>
      <c r="KMF12" s="425"/>
      <c r="KMG12" s="425"/>
      <c r="KMH12" s="425"/>
      <c r="KMI12" s="425"/>
      <c r="KMJ12" s="425"/>
      <c r="KMK12" s="425"/>
      <c r="KML12" s="425"/>
      <c r="KMM12" s="425"/>
      <c r="KMN12" s="425"/>
      <c r="KMO12" s="425"/>
      <c r="KMP12" s="425"/>
      <c r="KMQ12" s="425"/>
      <c r="KMR12" s="425"/>
      <c r="KMS12" s="425"/>
      <c r="KMT12" s="425"/>
      <c r="KMU12" s="425"/>
      <c r="KMV12" s="425"/>
      <c r="KMW12" s="425"/>
      <c r="KMX12" s="425"/>
      <c r="KMY12" s="425"/>
      <c r="KMZ12" s="425"/>
      <c r="KNA12" s="425"/>
      <c r="KNB12" s="425"/>
      <c r="KNC12" s="425"/>
      <c r="KND12" s="425"/>
      <c r="KNE12" s="425"/>
      <c r="KNF12" s="425"/>
      <c r="KNG12" s="425"/>
      <c r="KNH12" s="425"/>
      <c r="KNI12" s="425"/>
      <c r="KNJ12" s="425"/>
      <c r="KNK12" s="425"/>
      <c r="KNL12" s="425"/>
      <c r="KNM12" s="425"/>
      <c r="KNN12" s="425"/>
      <c r="KNO12" s="425"/>
      <c r="KNP12" s="425"/>
      <c r="KNQ12" s="425"/>
      <c r="KNR12" s="425"/>
      <c r="KNS12" s="425"/>
      <c r="KNT12" s="425"/>
      <c r="KNU12" s="425"/>
      <c r="KNV12" s="425"/>
      <c r="KNW12" s="425"/>
      <c r="KNX12" s="425"/>
      <c r="KNY12" s="425"/>
      <c r="KNZ12" s="425"/>
      <c r="KOA12" s="425"/>
      <c r="KOB12" s="425"/>
      <c r="KOC12" s="425"/>
      <c r="KOD12" s="425"/>
      <c r="KOE12" s="425"/>
      <c r="KOF12" s="425"/>
      <c r="KOG12" s="425"/>
      <c r="KOH12" s="425"/>
      <c r="KOI12" s="425"/>
      <c r="KOJ12" s="425"/>
      <c r="KOK12" s="425"/>
      <c r="KOL12" s="425"/>
      <c r="KOM12" s="425"/>
      <c r="KON12" s="425"/>
      <c r="KOO12" s="425"/>
      <c r="KOP12" s="425"/>
      <c r="KOQ12" s="425"/>
      <c r="KOR12" s="425"/>
      <c r="KOS12" s="425"/>
      <c r="KOT12" s="425"/>
      <c r="KOU12" s="425"/>
      <c r="KOV12" s="425"/>
      <c r="KOW12" s="425"/>
      <c r="KOX12" s="425"/>
      <c r="KOY12" s="425"/>
      <c r="KOZ12" s="425"/>
      <c r="KPA12" s="425"/>
      <c r="KPB12" s="425"/>
      <c r="KPC12" s="425"/>
      <c r="KPD12" s="425"/>
      <c r="KPE12" s="425"/>
      <c r="KPF12" s="425"/>
      <c r="KPG12" s="425"/>
      <c r="KPH12" s="425"/>
      <c r="KPI12" s="425"/>
      <c r="KPJ12" s="425"/>
      <c r="KPK12" s="425"/>
      <c r="KPL12" s="425"/>
      <c r="KPM12" s="425"/>
      <c r="KPN12" s="425"/>
      <c r="KPO12" s="425"/>
      <c r="KPP12" s="425"/>
      <c r="KPQ12" s="425"/>
      <c r="KPR12" s="425"/>
      <c r="KPS12" s="425"/>
      <c r="KPT12" s="425"/>
      <c r="KPU12" s="425"/>
      <c r="KPV12" s="425"/>
      <c r="KPW12" s="425"/>
      <c r="KPX12" s="425"/>
      <c r="KPY12" s="425"/>
      <c r="KPZ12" s="425"/>
      <c r="KQA12" s="425"/>
      <c r="KQB12" s="425"/>
      <c r="KQC12" s="425"/>
      <c r="KQD12" s="425"/>
      <c r="KQE12" s="425"/>
      <c r="KQF12" s="425"/>
      <c r="KQG12" s="425"/>
      <c r="KQH12" s="425"/>
      <c r="KQI12" s="425"/>
      <c r="KQJ12" s="425"/>
      <c r="KQK12" s="425"/>
      <c r="KQL12" s="425"/>
      <c r="KQM12" s="425"/>
      <c r="KQN12" s="425"/>
      <c r="KQO12" s="425"/>
      <c r="KQP12" s="425"/>
      <c r="KQQ12" s="425"/>
      <c r="KQR12" s="425"/>
      <c r="KQS12" s="425"/>
      <c r="KQT12" s="425"/>
      <c r="KQU12" s="425"/>
      <c r="KQV12" s="425"/>
      <c r="KQW12" s="425"/>
      <c r="KQX12" s="425"/>
      <c r="KQY12" s="425"/>
      <c r="KQZ12" s="425"/>
      <c r="KRA12" s="425"/>
      <c r="KRB12" s="425"/>
      <c r="KRC12" s="425"/>
      <c r="KRD12" s="425"/>
      <c r="KRE12" s="425"/>
      <c r="KRF12" s="425"/>
      <c r="KRG12" s="425"/>
      <c r="KRH12" s="425"/>
      <c r="KRI12" s="425"/>
      <c r="KRJ12" s="425"/>
      <c r="KRK12" s="425"/>
      <c r="KRL12" s="425"/>
      <c r="KRM12" s="425"/>
      <c r="KRN12" s="425"/>
      <c r="KRO12" s="425"/>
      <c r="KRP12" s="425"/>
      <c r="KRQ12" s="425"/>
      <c r="KRR12" s="425"/>
      <c r="KRS12" s="425"/>
      <c r="KRT12" s="425"/>
      <c r="KRU12" s="425"/>
      <c r="KRV12" s="425"/>
      <c r="KRW12" s="425"/>
      <c r="KRX12" s="425"/>
      <c r="KRY12" s="425"/>
      <c r="KRZ12" s="425"/>
      <c r="KSA12" s="425"/>
      <c r="KSB12" s="425"/>
      <c r="KSC12" s="425"/>
      <c r="KSD12" s="425"/>
      <c r="KSE12" s="425"/>
      <c r="KSF12" s="425"/>
      <c r="KSG12" s="425"/>
      <c r="KSH12" s="425"/>
      <c r="KSI12" s="425"/>
      <c r="KSJ12" s="425"/>
      <c r="KSK12" s="425"/>
      <c r="KSL12" s="425"/>
      <c r="KSM12" s="425"/>
      <c r="KSN12" s="425"/>
      <c r="KSO12" s="425"/>
      <c r="KSP12" s="425"/>
      <c r="KSQ12" s="425"/>
      <c r="KSR12" s="425"/>
      <c r="KSS12" s="425"/>
      <c r="KST12" s="425"/>
      <c r="KSU12" s="425"/>
      <c r="KSV12" s="425"/>
      <c r="KSW12" s="425"/>
      <c r="KSX12" s="425"/>
      <c r="KSY12" s="425"/>
      <c r="KSZ12" s="425"/>
      <c r="KTA12" s="425"/>
      <c r="KTB12" s="425"/>
      <c r="KTC12" s="425"/>
      <c r="KTD12" s="425"/>
      <c r="KTE12" s="425"/>
      <c r="KTF12" s="425"/>
      <c r="KTG12" s="425"/>
      <c r="KTH12" s="425"/>
      <c r="KTI12" s="425"/>
      <c r="KTJ12" s="425"/>
      <c r="KTK12" s="425"/>
      <c r="KTL12" s="425"/>
      <c r="KTM12" s="425"/>
      <c r="KTN12" s="425"/>
      <c r="KTO12" s="425"/>
      <c r="KTP12" s="425"/>
      <c r="KTQ12" s="425"/>
      <c r="KTR12" s="425"/>
      <c r="KTS12" s="425"/>
      <c r="KTT12" s="425"/>
      <c r="KTU12" s="425"/>
      <c r="KTV12" s="425"/>
      <c r="KTW12" s="425"/>
      <c r="KTX12" s="425"/>
      <c r="KTY12" s="425"/>
      <c r="KTZ12" s="425"/>
      <c r="KUA12" s="425"/>
      <c r="KUB12" s="425"/>
      <c r="KUC12" s="425"/>
      <c r="KUD12" s="425"/>
      <c r="KUE12" s="425"/>
      <c r="KUF12" s="425"/>
      <c r="KUG12" s="425"/>
      <c r="KUH12" s="425"/>
      <c r="KUI12" s="425"/>
      <c r="KUJ12" s="425"/>
      <c r="KUK12" s="425"/>
      <c r="KUL12" s="425"/>
      <c r="KUM12" s="425"/>
      <c r="KUN12" s="425"/>
      <c r="KUO12" s="425"/>
      <c r="KUP12" s="425"/>
      <c r="KUQ12" s="425"/>
      <c r="KUR12" s="425"/>
      <c r="KUS12" s="425"/>
      <c r="KUT12" s="425"/>
      <c r="KUU12" s="425"/>
      <c r="KUV12" s="425"/>
      <c r="KUW12" s="425"/>
      <c r="KUX12" s="425"/>
      <c r="KUY12" s="425"/>
      <c r="KUZ12" s="425"/>
      <c r="KVA12" s="425"/>
      <c r="KVB12" s="425"/>
      <c r="KVC12" s="425"/>
      <c r="KVD12" s="425"/>
      <c r="KVE12" s="425"/>
      <c r="KVF12" s="425"/>
      <c r="KVG12" s="425"/>
      <c r="KVH12" s="425"/>
      <c r="KVI12" s="425"/>
      <c r="KVJ12" s="425"/>
      <c r="KVK12" s="425"/>
      <c r="KVL12" s="425"/>
      <c r="KVM12" s="425"/>
      <c r="KVN12" s="425"/>
      <c r="KVO12" s="425"/>
      <c r="KVP12" s="425"/>
      <c r="KVQ12" s="425"/>
      <c r="KVR12" s="425"/>
      <c r="KVS12" s="425"/>
      <c r="KVT12" s="425"/>
      <c r="KVU12" s="425"/>
      <c r="KVV12" s="425"/>
      <c r="KVW12" s="425"/>
      <c r="KVX12" s="425"/>
      <c r="KVY12" s="425"/>
      <c r="KVZ12" s="425"/>
      <c r="KWA12" s="425"/>
      <c r="KWB12" s="425"/>
      <c r="KWC12" s="425"/>
      <c r="KWD12" s="425"/>
      <c r="KWE12" s="425"/>
      <c r="KWF12" s="425"/>
      <c r="KWG12" s="425"/>
      <c r="KWH12" s="425"/>
      <c r="KWI12" s="425"/>
      <c r="KWJ12" s="425"/>
      <c r="KWK12" s="425"/>
      <c r="KWL12" s="425"/>
      <c r="KWM12" s="425"/>
      <c r="KWN12" s="425"/>
      <c r="KWO12" s="425"/>
      <c r="KWP12" s="425"/>
      <c r="KWQ12" s="425"/>
      <c r="KWR12" s="425"/>
      <c r="KWS12" s="425"/>
      <c r="KWT12" s="425"/>
      <c r="KWU12" s="425"/>
      <c r="KWV12" s="425"/>
      <c r="KWW12" s="425"/>
      <c r="KWX12" s="425"/>
      <c r="KWY12" s="425"/>
      <c r="KWZ12" s="425"/>
      <c r="KXA12" s="425"/>
      <c r="KXB12" s="425"/>
      <c r="KXC12" s="425"/>
      <c r="KXD12" s="425"/>
      <c r="KXE12" s="425"/>
      <c r="KXF12" s="425"/>
      <c r="KXG12" s="425"/>
      <c r="KXH12" s="425"/>
      <c r="KXI12" s="425"/>
      <c r="KXJ12" s="425"/>
      <c r="KXK12" s="425"/>
      <c r="KXL12" s="425"/>
      <c r="KXM12" s="425"/>
      <c r="KXN12" s="425"/>
      <c r="KXO12" s="425"/>
      <c r="KXP12" s="425"/>
      <c r="KXQ12" s="425"/>
      <c r="KXR12" s="425"/>
      <c r="KXS12" s="425"/>
      <c r="KXT12" s="425"/>
      <c r="KXU12" s="425"/>
      <c r="KXV12" s="425"/>
      <c r="KXW12" s="425"/>
      <c r="KXX12" s="425"/>
      <c r="KXY12" s="425"/>
      <c r="KXZ12" s="425"/>
      <c r="KYA12" s="425"/>
      <c r="KYB12" s="425"/>
      <c r="KYC12" s="425"/>
      <c r="KYD12" s="425"/>
      <c r="KYE12" s="425"/>
      <c r="KYF12" s="425"/>
      <c r="KYG12" s="425"/>
      <c r="KYH12" s="425"/>
      <c r="KYI12" s="425"/>
      <c r="KYJ12" s="425"/>
      <c r="KYK12" s="425"/>
      <c r="KYL12" s="425"/>
      <c r="KYM12" s="425"/>
      <c r="KYN12" s="425"/>
      <c r="KYO12" s="425"/>
      <c r="KYP12" s="425"/>
      <c r="KYQ12" s="425"/>
      <c r="KYR12" s="425"/>
      <c r="KYS12" s="425"/>
      <c r="KYT12" s="425"/>
      <c r="KYU12" s="425"/>
      <c r="KYV12" s="425"/>
      <c r="KYW12" s="425"/>
      <c r="KYX12" s="425"/>
      <c r="KYY12" s="425"/>
      <c r="KYZ12" s="425"/>
      <c r="KZA12" s="425"/>
      <c r="KZB12" s="425"/>
      <c r="KZC12" s="425"/>
      <c r="KZD12" s="425"/>
      <c r="KZE12" s="425"/>
      <c r="KZF12" s="425"/>
      <c r="KZG12" s="425"/>
      <c r="KZH12" s="425"/>
      <c r="KZI12" s="425"/>
      <c r="KZJ12" s="425"/>
      <c r="KZK12" s="425"/>
      <c r="KZL12" s="425"/>
      <c r="KZM12" s="425"/>
      <c r="KZN12" s="425"/>
      <c r="KZO12" s="425"/>
      <c r="KZP12" s="425"/>
      <c r="KZQ12" s="425"/>
      <c r="KZR12" s="425"/>
      <c r="KZS12" s="425"/>
      <c r="KZT12" s="425"/>
      <c r="KZU12" s="425"/>
      <c r="KZV12" s="425"/>
      <c r="KZW12" s="425"/>
      <c r="KZX12" s="425"/>
      <c r="KZY12" s="425"/>
      <c r="KZZ12" s="425"/>
      <c r="LAA12" s="425"/>
      <c r="LAB12" s="425"/>
      <c r="LAC12" s="425"/>
      <c r="LAD12" s="425"/>
      <c r="LAE12" s="425"/>
      <c r="LAF12" s="425"/>
      <c r="LAG12" s="425"/>
      <c r="LAH12" s="425"/>
      <c r="LAI12" s="425"/>
      <c r="LAJ12" s="425"/>
      <c r="LAK12" s="425"/>
      <c r="LAL12" s="425"/>
      <c r="LAM12" s="425"/>
      <c r="LAN12" s="425"/>
      <c r="LAO12" s="425"/>
      <c r="LAP12" s="425"/>
      <c r="LAQ12" s="425"/>
      <c r="LAR12" s="425"/>
      <c r="LAS12" s="425"/>
      <c r="LAT12" s="425"/>
      <c r="LAU12" s="425"/>
      <c r="LAV12" s="425"/>
      <c r="LAW12" s="425"/>
      <c r="LAX12" s="425"/>
      <c r="LAY12" s="425"/>
      <c r="LAZ12" s="425"/>
      <c r="LBA12" s="425"/>
      <c r="LBB12" s="425"/>
      <c r="LBC12" s="425"/>
      <c r="LBD12" s="425"/>
      <c r="LBE12" s="425"/>
      <c r="LBF12" s="425"/>
      <c r="LBG12" s="425"/>
      <c r="LBH12" s="425"/>
      <c r="LBI12" s="425"/>
      <c r="LBJ12" s="425"/>
      <c r="LBK12" s="425"/>
      <c r="LBL12" s="425"/>
      <c r="LBM12" s="425"/>
      <c r="LBN12" s="425"/>
      <c r="LBO12" s="425"/>
      <c r="LBP12" s="425"/>
      <c r="LBQ12" s="425"/>
      <c r="LBR12" s="425"/>
      <c r="LBS12" s="425"/>
      <c r="LBT12" s="425"/>
      <c r="LBU12" s="425"/>
      <c r="LBV12" s="425"/>
      <c r="LBW12" s="425"/>
      <c r="LBX12" s="425"/>
      <c r="LBY12" s="425"/>
      <c r="LBZ12" s="425"/>
      <c r="LCA12" s="425"/>
      <c r="LCB12" s="425"/>
      <c r="LCC12" s="425"/>
      <c r="LCD12" s="425"/>
      <c r="LCE12" s="425"/>
      <c r="LCF12" s="425"/>
      <c r="LCG12" s="425"/>
      <c r="LCH12" s="425"/>
      <c r="LCI12" s="425"/>
      <c r="LCJ12" s="425"/>
      <c r="LCK12" s="425"/>
      <c r="LCL12" s="425"/>
      <c r="LCM12" s="425"/>
      <c r="LCN12" s="425"/>
      <c r="LCO12" s="425"/>
      <c r="LCP12" s="425"/>
      <c r="LCQ12" s="425"/>
      <c r="LCR12" s="425"/>
      <c r="LCS12" s="425"/>
      <c r="LCT12" s="425"/>
      <c r="LCU12" s="425"/>
      <c r="LCV12" s="425"/>
      <c r="LCW12" s="425"/>
      <c r="LCX12" s="425"/>
      <c r="LCY12" s="425"/>
      <c r="LCZ12" s="425"/>
      <c r="LDA12" s="425"/>
      <c r="LDB12" s="425"/>
      <c r="LDC12" s="425"/>
      <c r="LDD12" s="425"/>
      <c r="LDE12" s="425"/>
      <c r="LDF12" s="425"/>
      <c r="LDG12" s="425"/>
      <c r="LDH12" s="425"/>
      <c r="LDI12" s="425"/>
      <c r="LDJ12" s="425"/>
      <c r="LDK12" s="425"/>
      <c r="LDL12" s="425"/>
      <c r="LDM12" s="425"/>
      <c r="LDN12" s="425"/>
      <c r="LDO12" s="425"/>
      <c r="LDP12" s="425"/>
      <c r="LDQ12" s="425"/>
      <c r="LDR12" s="425"/>
      <c r="LDS12" s="425"/>
      <c r="LDT12" s="425"/>
      <c r="LDU12" s="425"/>
      <c r="LDV12" s="425"/>
      <c r="LDW12" s="425"/>
      <c r="LDX12" s="425"/>
      <c r="LDY12" s="425"/>
      <c r="LDZ12" s="425"/>
      <c r="LEA12" s="425"/>
      <c r="LEB12" s="425"/>
      <c r="LEC12" s="425"/>
      <c r="LED12" s="425"/>
      <c r="LEE12" s="425"/>
      <c r="LEF12" s="425"/>
      <c r="LEG12" s="425"/>
      <c r="LEH12" s="425"/>
      <c r="LEI12" s="425"/>
      <c r="LEJ12" s="425"/>
      <c r="LEK12" s="425"/>
      <c r="LEL12" s="425"/>
      <c r="LEM12" s="425"/>
      <c r="LEN12" s="425"/>
      <c r="LEO12" s="425"/>
      <c r="LEP12" s="425"/>
      <c r="LEQ12" s="425"/>
      <c r="LER12" s="425"/>
      <c r="LES12" s="425"/>
      <c r="LET12" s="425"/>
      <c r="LEU12" s="425"/>
      <c r="LEV12" s="425"/>
      <c r="LEW12" s="425"/>
      <c r="LEX12" s="425"/>
      <c r="LEY12" s="425"/>
      <c r="LEZ12" s="425"/>
      <c r="LFA12" s="425"/>
      <c r="LFB12" s="425"/>
      <c r="LFC12" s="425"/>
      <c r="LFD12" s="425"/>
      <c r="LFE12" s="425"/>
      <c r="LFF12" s="425"/>
      <c r="LFG12" s="425"/>
      <c r="LFH12" s="425"/>
      <c r="LFI12" s="425"/>
      <c r="LFJ12" s="425"/>
      <c r="LFK12" s="425"/>
      <c r="LFL12" s="425"/>
      <c r="LFM12" s="425"/>
      <c r="LFN12" s="425"/>
      <c r="LFO12" s="425"/>
      <c r="LFP12" s="425"/>
      <c r="LFQ12" s="425"/>
      <c r="LFR12" s="425"/>
      <c r="LFS12" s="425"/>
      <c r="LFT12" s="425"/>
      <c r="LFU12" s="425"/>
      <c r="LFV12" s="425"/>
      <c r="LFW12" s="425"/>
      <c r="LFX12" s="425"/>
      <c r="LFY12" s="425"/>
      <c r="LFZ12" s="425"/>
      <c r="LGA12" s="425"/>
      <c r="LGB12" s="425"/>
      <c r="LGC12" s="425"/>
      <c r="LGD12" s="425"/>
      <c r="LGE12" s="425"/>
      <c r="LGF12" s="425"/>
      <c r="LGG12" s="425"/>
      <c r="LGH12" s="425"/>
      <c r="LGI12" s="425"/>
      <c r="LGJ12" s="425"/>
      <c r="LGK12" s="425"/>
      <c r="LGL12" s="425"/>
      <c r="LGM12" s="425"/>
      <c r="LGN12" s="425"/>
      <c r="LGO12" s="425"/>
      <c r="LGP12" s="425"/>
      <c r="LGQ12" s="425"/>
      <c r="LGR12" s="425"/>
      <c r="LGS12" s="425"/>
      <c r="LGT12" s="425"/>
      <c r="LGU12" s="425"/>
      <c r="LGV12" s="425"/>
      <c r="LGW12" s="425"/>
      <c r="LGX12" s="425"/>
      <c r="LGY12" s="425"/>
      <c r="LGZ12" s="425"/>
      <c r="LHA12" s="425"/>
      <c r="LHB12" s="425"/>
      <c r="LHC12" s="425"/>
      <c r="LHD12" s="425"/>
      <c r="LHE12" s="425"/>
      <c r="LHF12" s="425"/>
      <c r="LHG12" s="425"/>
      <c r="LHH12" s="425"/>
      <c r="LHI12" s="425"/>
      <c r="LHJ12" s="425"/>
      <c r="LHK12" s="425"/>
      <c r="LHL12" s="425"/>
      <c r="LHM12" s="425"/>
      <c r="LHN12" s="425"/>
      <c r="LHO12" s="425"/>
      <c r="LHP12" s="425"/>
      <c r="LHQ12" s="425"/>
      <c r="LHR12" s="425"/>
      <c r="LHS12" s="425"/>
      <c r="LHT12" s="425"/>
      <c r="LHU12" s="425"/>
      <c r="LHV12" s="425"/>
      <c r="LHW12" s="425"/>
      <c r="LHX12" s="425"/>
      <c r="LHY12" s="425"/>
      <c r="LHZ12" s="425"/>
      <c r="LIA12" s="425"/>
      <c r="LIB12" s="425"/>
      <c r="LIC12" s="425"/>
      <c r="LID12" s="425"/>
      <c r="LIE12" s="425"/>
      <c r="LIF12" s="425"/>
      <c r="LIG12" s="425"/>
      <c r="LIH12" s="425"/>
      <c r="LII12" s="425"/>
      <c r="LIJ12" s="425"/>
      <c r="LIK12" s="425"/>
      <c r="LIL12" s="425"/>
      <c r="LIM12" s="425"/>
      <c r="LIN12" s="425"/>
      <c r="LIO12" s="425"/>
      <c r="LIP12" s="425"/>
      <c r="LIQ12" s="425"/>
      <c r="LIR12" s="425"/>
      <c r="LIS12" s="425"/>
      <c r="LIT12" s="425"/>
      <c r="LIU12" s="425"/>
      <c r="LIV12" s="425"/>
      <c r="LIW12" s="425"/>
      <c r="LIX12" s="425"/>
      <c r="LIY12" s="425"/>
      <c r="LIZ12" s="425"/>
      <c r="LJA12" s="425"/>
      <c r="LJB12" s="425"/>
      <c r="LJC12" s="425"/>
      <c r="LJD12" s="425"/>
      <c r="LJE12" s="425"/>
      <c r="LJF12" s="425"/>
      <c r="LJG12" s="425"/>
      <c r="LJH12" s="425"/>
      <c r="LJI12" s="425"/>
      <c r="LJJ12" s="425"/>
      <c r="LJK12" s="425"/>
      <c r="LJL12" s="425"/>
      <c r="LJM12" s="425"/>
      <c r="LJN12" s="425"/>
      <c r="LJO12" s="425"/>
      <c r="LJP12" s="425"/>
      <c r="LJQ12" s="425"/>
      <c r="LJR12" s="425"/>
      <c r="LJS12" s="425"/>
      <c r="LJT12" s="425"/>
      <c r="LJU12" s="425"/>
      <c r="LJV12" s="425"/>
      <c r="LJW12" s="425"/>
      <c r="LJX12" s="425"/>
      <c r="LJY12" s="425"/>
      <c r="LJZ12" s="425"/>
      <c r="LKA12" s="425"/>
      <c r="LKB12" s="425"/>
      <c r="LKC12" s="425"/>
      <c r="LKD12" s="425"/>
      <c r="LKE12" s="425"/>
      <c r="LKF12" s="425"/>
      <c r="LKG12" s="425"/>
      <c r="LKH12" s="425"/>
      <c r="LKI12" s="425"/>
      <c r="LKJ12" s="425"/>
      <c r="LKK12" s="425"/>
      <c r="LKL12" s="425"/>
      <c r="LKM12" s="425"/>
      <c r="LKN12" s="425"/>
      <c r="LKO12" s="425"/>
      <c r="LKP12" s="425"/>
      <c r="LKQ12" s="425"/>
      <c r="LKR12" s="425"/>
      <c r="LKS12" s="425"/>
      <c r="LKT12" s="425"/>
      <c r="LKU12" s="425"/>
      <c r="LKV12" s="425"/>
      <c r="LKW12" s="425"/>
      <c r="LKX12" s="425"/>
      <c r="LKY12" s="425"/>
      <c r="LKZ12" s="425"/>
      <c r="LLA12" s="425"/>
      <c r="LLB12" s="425"/>
      <c r="LLC12" s="425"/>
      <c r="LLD12" s="425"/>
      <c r="LLE12" s="425"/>
      <c r="LLF12" s="425"/>
      <c r="LLG12" s="425"/>
      <c r="LLH12" s="425"/>
      <c r="LLI12" s="425"/>
      <c r="LLJ12" s="425"/>
      <c r="LLK12" s="425"/>
      <c r="LLL12" s="425"/>
      <c r="LLM12" s="425"/>
      <c r="LLN12" s="425"/>
      <c r="LLO12" s="425"/>
      <c r="LLP12" s="425"/>
      <c r="LLQ12" s="425"/>
      <c r="LLR12" s="425"/>
      <c r="LLS12" s="425"/>
      <c r="LLT12" s="425"/>
      <c r="LLU12" s="425"/>
      <c r="LLV12" s="425"/>
      <c r="LLW12" s="425"/>
      <c r="LLX12" s="425"/>
      <c r="LLY12" s="425"/>
      <c r="LLZ12" s="425"/>
      <c r="LMA12" s="425"/>
      <c r="LMB12" s="425"/>
      <c r="LMC12" s="425"/>
      <c r="LMD12" s="425"/>
      <c r="LME12" s="425"/>
      <c r="LMF12" s="425"/>
      <c r="LMG12" s="425"/>
      <c r="LMH12" s="425"/>
      <c r="LMI12" s="425"/>
      <c r="LMJ12" s="425"/>
      <c r="LMK12" s="425"/>
      <c r="LML12" s="425"/>
      <c r="LMM12" s="425"/>
      <c r="LMN12" s="425"/>
      <c r="LMO12" s="425"/>
      <c r="LMP12" s="425"/>
      <c r="LMQ12" s="425"/>
      <c r="LMR12" s="425"/>
      <c r="LMS12" s="425"/>
      <c r="LMT12" s="425"/>
      <c r="LMU12" s="425"/>
      <c r="LMV12" s="425"/>
      <c r="LMW12" s="425"/>
      <c r="LMX12" s="425"/>
      <c r="LMY12" s="425"/>
      <c r="LMZ12" s="425"/>
      <c r="LNA12" s="425"/>
      <c r="LNB12" s="425"/>
      <c r="LNC12" s="425"/>
      <c r="LND12" s="425"/>
      <c r="LNE12" s="425"/>
      <c r="LNF12" s="425"/>
      <c r="LNG12" s="425"/>
      <c r="LNH12" s="425"/>
      <c r="LNI12" s="425"/>
      <c r="LNJ12" s="425"/>
      <c r="LNK12" s="425"/>
      <c r="LNL12" s="425"/>
      <c r="LNM12" s="425"/>
      <c r="LNN12" s="425"/>
      <c r="LNO12" s="425"/>
      <c r="LNP12" s="425"/>
      <c r="LNQ12" s="425"/>
      <c r="LNR12" s="425"/>
      <c r="LNS12" s="425"/>
      <c r="LNT12" s="425"/>
      <c r="LNU12" s="425"/>
      <c r="LNV12" s="425"/>
      <c r="LNW12" s="425"/>
      <c r="LNX12" s="425"/>
      <c r="LNY12" s="425"/>
      <c r="LNZ12" s="425"/>
      <c r="LOA12" s="425"/>
      <c r="LOB12" s="425"/>
      <c r="LOC12" s="425"/>
      <c r="LOD12" s="425"/>
      <c r="LOE12" s="425"/>
      <c r="LOF12" s="425"/>
      <c r="LOG12" s="425"/>
      <c r="LOH12" s="425"/>
      <c r="LOI12" s="425"/>
      <c r="LOJ12" s="425"/>
      <c r="LOK12" s="425"/>
      <c r="LOL12" s="425"/>
      <c r="LOM12" s="425"/>
      <c r="LON12" s="425"/>
      <c r="LOO12" s="425"/>
      <c r="LOP12" s="425"/>
      <c r="LOQ12" s="425"/>
      <c r="LOR12" s="425"/>
      <c r="LOS12" s="425"/>
      <c r="LOT12" s="425"/>
      <c r="LOU12" s="425"/>
      <c r="LOV12" s="425"/>
      <c r="LOW12" s="425"/>
      <c r="LOX12" s="425"/>
      <c r="LOY12" s="425"/>
      <c r="LOZ12" s="425"/>
      <c r="LPA12" s="425"/>
      <c r="LPB12" s="425"/>
      <c r="LPC12" s="425"/>
      <c r="LPD12" s="425"/>
      <c r="LPE12" s="425"/>
      <c r="LPF12" s="425"/>
      <c r="LPG12" s="425"/>
      <c r="LPH12" s="425"/>
      <c r="LPI12" s="425"/>
      <c r="LPJ12" s="425"/>
      <c r="LPK12" s="425"/>
      <c r="LPL12" s="425"/>
      <c r="LPM12" s="425"/>
      <c r="LPN12" s="425"/>
      <c r="LPO12" s="425"/>
      <c r="LPP12" s="425"/>
      <c r="LPQ12" s="425"/>
      <c r="LPR12" s="425"/>
      <c r="LPS12" s="425"/>
      <c r="LPT12" s="425"/>
      <c r="LPU12" s="425"/>
      <c r="LPV12" s="425"/>
      <c r="LPW12" s="425"/>
      <c r="LPX12" s="425"/>
      <c r="LPY12" s="425"/>
      <c r="LPZ12" s="425"/>
      <c r="LQA12" s="425"/>
      <c r="LQB12" s="425"/>
      <c r="LQC12" s="425"/>
      <c r="LQD12" s="425"/>
      <c r="LQE12" s="425"/>
      <c r="LQF12" s="425"/>
      <c r="LQG12" s="425"/>
      <c r="LQH12" s="425"/>
      <c r="LQI12" s="425"/>
      <c r="LQJ12" s="425"/>
      <c r="LQK12" s="425"/>
      <c r="LQL12" s="425"/>
      <c r="LQM12" s="425"/>
      <c r="LQN12" s="425"/>
      <c r="LQO12" s="425"/>
      <c r="LQP12" s="425"/>
      <c r="LQQ12" s="425"/>
      <c r="LQR12" s="425"/>
      <c r="LQS12" s="425"/>
      <c r="LQT12" s="425"/>
      <c r="LQU12" s="425"/>
      <c r="LQV12" s="425"/>
      <c r="LQW12" s="425"/>
      <c r="LQX12" s="425"/>
      <c r="LQY12" s="425"/>
      <c r="LQZ12" s="425"/>
      <c r="LRA12" s="425"/>
      <c r="LRB12" s="425"/>
      <c r="LRC12" s="425"/>
      <c r="LRD12" s="425"/>
      <c r="LRE12" s="425"/>
      <c r="LRF12" s="425"/>
      <c r="LRG12" s="425"/>
      <c r="LRH12" s="425"/>
      <c r="LRI12" s="425"/>
      <c r="LRJ12" s="425"/>
      <c r="LRK12" s="425"/>
      <c r="LRL12" s="425"/>
      <c r="LRM12" s="425"/>
      <c r="LRN12" s="425"/>
      <c r="LRO12" s="425"/>
      <c r="LRP12" s="425"/>
      <c r="LRQ12" s="425"/>
      <c r="LRR12" s="425"/>
      <c r="LRS12" s="425"/>
      <c r="LRT12" s="425"/>
      <c r="LRU12" s="425"/>
      <c r="LRV12" s="425"/>
      <c r="LRW12" s="425"/>
      <c r="LRX12" s="425"/>
      <c r="LRY12" s="425"/>
      <c r="LRZ12" s="425"/>
      <c r="LSA12" s="425"/>
      <c r="LSB12" s="425"/>
      <c r="LSC12" s="425"/>
      <c r="LSD12" s="425"/>
      <c r="LSE12" s="425"/>
      <c r="LSF12" s="425"/>
      <c r="LSG12" s="425"/>
      <c r="LSH12" s="425"/>
      <c r="LSI12" s="425"/>
      <c r="LSJ12" s="425"/>
      <c r="LSK12" s="425"/>
      <c r="LSL12" s="425"/>
      <c r="LSM12" s="425"/>
      <c r="LSN12" s="425"/>
      <c r="LSO12" s="425"/>
      <c r="LSP12" s="425"/>
      <c r="LSQ12" s="425"/>
      <c r="LSR12" s="425"/>
      <c r="LSS12" s="425"/>
      <c r="LST12" s="425"/>
      <c r="LSU12" s="425"/>
      <c r="LSV12" s="425"/>
      <c r="LSW12" s="425"/>
      <c r="LSX12" s="425"/>
      <c r="LSY12" s="425"/>
      <c r="LSZ12" s="425"/>
      <c r="LTA12" s="425"/>
      <c r="LTB12" s="425"/>
      <c r="LTC12" s="425"/>
      <c r="LTD12" s="425"/>
      <c r="LTE12" s="425"/>
      <c r="LTF12" s="425"/>
      <c r="LTG12" s="425"/>
      <c r="LTH12" s="425"/>
      <c r="LTI12" s="425"/>
      <c r="LTJ12" s="425"/>
      <c r="LTK12" s="425"/>
      <c r="LTL12" s="425"/>
      <c r="LTM12" s="425"/>
      <c r="LTN12" s="425"/>
      <c r="LTO12" s="425"/>
      <c r="LTP12" s="425"/>
      <c r="LTQ12" s="425"/>
      <c r="LTR12" s="425"/>
      <c r="LTS12" s="425"/>
      <c r="LTT12" s="425"/>
      <c r="LTU12" s="425"/>
      <c r="LTV12" s="425"/>
      <c r="LTW12" s="425"/>
      <c r="LTX12" s="425"/>
      <c r="LTY12" s="425"/>
      <c r="LTZ12" s="425"/>
      <c r="LUA12" s="425"/>
      <c r="LUB12" s="425"/>
      <c r="LUC12" s="425"/>
      <c r="LUD12" s="425"/>
      <c r="LUE12" s="425"/>
      <c r="LUF12" s="425"/>
      <c r="LUG12" s="425"/>
      <c r="LUH12" s="425"/>
      <c r="LUI12" s="425"/>
      <c r="LUJ12" s="425"/>
      <c r="LUK12" s="425"/>
      <c r="LUL12" s="425"/>
      <c r="LUM12" s="425"/>
      <c r="LUN12" s="425"/>
      <c r="LUO12" s="425"/>
      <c r="LUP12" s="425"/>
      <c r="LUQ12" s="425"/>
      <c r="LUR12" s="425"/>
      <c r="LUS12" s="425"/>
      <c r="LUT12" s="425"/>
      <c r="LUU12" s="425"/>
      <c r="LUV12" s="425"/>
      <c r="LUW12" s="425"/>
      <c r="LUX12" s="425"/>
      <c r="LUY12" s="425"/>
      <c r="LUZ12" s="425"/>
      <c r="LVA12" s="425"/>
      <c r="LVB12" s="425"/>
      <c r="LVC12" s="425"/>
      <c r="LVD12" s="425"/>
      <c r="LVE12" s="425"/>
      <c r="LVF12" s="425"/>
      <c r="LVG12" s="425"/>
      <c r="LVH12" s="425"/>
      <c r="LVI12" s="425"/>
      <c r="LVJ12" s="425"/>
      <c r="LVK12" s="425"/>
      <c r="LVL12" s="425"/>
      <c r="LVM12" s="425"/>
      <c r="LVN12" s="425"/>
      <c r="LVO12" s="425"/>
      <c r="LVP12" s="425"/>
      <c r="LVQ12" s="425"/>
      <c r="LVR12" s="425"/>
      <c r="LVS12" s="425"/>
      <c r="LVT12" s="425"/>
      <c r="LVU12" s="425"/>
      <c r="LVV12" s="425"/>
      <c r="LVW12" s="425"/>
      <c r="LVX12" s="425"/>
      <c r="LVY12" s="425"/>
      <c r="LVZ12" s="425"/>
      <c r="LWA12" s="425"/>
      <c r="LWB12" s="425"/>
      <c r="LWC12" s="425"/>
      <c r="LWD12" s="425"/>
      <c r="LWE12" s="425"/>
      <c r="LWF12" s="425"/>
      <c r="LWG12" s="425"/>
      <c r="LWH12" s="425"/>
      <c r="LWI12" s="425"/>
      <c r="LWJ12" s="425"/>
      <c r="LWK12" s="425"/>
      <c r="LWL12" s="425"/>
      <c r="LWM12" s="425"/>
      <c r="LWN12" s="425"/>
      <c r="LWO12" s="425"/>
      <c r="LWP12" s="425"/>
      <c r="LWQ12" s="425"/>
      <c r="LWR12" s="425"/>
      <c r="LWS12" s="425"/>
      <c r="LWT12" s="425"/>
      <c r="LWU12" s="425"/>
      <c r="LWV12" s="425"/>
      <c r="LWW12" s="425"/>
      <c r="LWX12" s="425"/>
      <c r="LWY12" s="425"/>
      <c r="LWZ12" s="425"/>
      <c r="LXA12" s="425"/>
      <c r="LXB12" s="425"/>
      <c r="LXC12" s="425"/>
      <c r="LXD12" s="425"/>
      <c r="LXE12" s="425"/>
      <c r="LXF12" s="425"/>
      <c r="LXG12" s="425"/>
      <c r="LXH12" s="425"/>
      <c r="LXI12" s="425"/>
      <c r="LXJ12" s="425"/>
      <c r="LXK12" s="425"/>
      <c r="LXL12" s="425"/>
      <c r="LXM12" s="425"/>
      <c r="LXN12" s="425"/>
      <c r="LXO12" s="425"/>
      <c r="LXP12" s="425"/>
      <c r="LXQ12" s="425"/>
      <c r="LXR12" s="425"/>
      <c r="LXS12" s="425"/>
      <c r="LXT12" s="425"/>
      <c r="LXU12" s="425"/>
      <c r="LXV12" s="425"/>
      <c r="LXW12" s="425"/>
      <c r="LXX12" s="425"/>
      <c r="LXY12" s="425"/>
      <c r="LXZ12" s="425"/>
      <c r="LYA12" s="425"/>
      <c r="LYB12" s="425"/>
      <c r="LYC12" s="425"/>
      <c r="LYD12" s="425"/>
      <c r="LYE12" s="425"/>
      <c r="LYF12" s="425"/>
      <c r="LYG12" s="425"/>
      <c r="LYH12" s="425"/>
      <c r="LYI12" s="425"/>
      <c r="LYJ12" s="425"/>
      <c r="LYK12" s="425"/>
      <c r="LYL12" s="425"/>
      <c r="LYM12" s="425"/>
      <c r="LYN12" s="425"/>
      <c r="LYO12" s="425"/>
      <c r="LYP12" s="425"/>
      <c r="LYQ12" s="425"/>
      <c r="LYR12" s="425"/>
      <c r="LYS12" s="425"/>
      <c r="LYT12" s="425"/>
      <c r="LYU12" s="425"/>
      <c r="LYV12" s="425"/>
      <c r="LYW12" s="425"/>
      <c r="LYX12" s="425"/>
      <c r="LYY12" s="425"/>
      <c r="LYZ12" s="425"/>
      <c r="LZA12" s="425"/>
      <c r="LZB12" s="425"/>
      <c r="LZC12" s="425"/>
      <c r="LZD12" s="425"/>
      <c r="LZE12" s="425"/>
      <c r="LZF12" s="425"/>
      <c r="LZG12" s="425"/>
      <c r="LZH12" s="425"/>
      <c r="LZI12" s="425"/>
      <c r="LZJ12" s="425"/>
      <c r="LZK12" s="425"/>
      <c r="LZL12" s="425"/>
      <c r="LZM12" s="425"/>
      <c r="LZN12" s="425"/>
      <c r="LZO12" s="425"/>
      <c r="LZP12" s="425"/>
      <c r="LZQ12" s="425"/>
      <c r="LZR12" s="425"/>
      <c r="LZS12" s="425"/>
      <c r="LZT12" s="425"/>
      <c r="LZU12" s="425"/>
      <c r="LZV12" s="425"/>
      <c r="LZW12" s="425"/>
      <c r="LZX12" s="425"/>
      <c r="LZY12" s="425"/>
      <c r="LZZ12" s="425"/>
      <c r="MAA12" s="425"/>
      <c r="MAB12" s="425"/>
      <c r="MAC12" s="425"/>
      <c r="MAD12" s="425"/>
      <c r="MAE12" s="425"/>
      <c r="MAF12" s="425"/>
      <c r="MAG12" s="425"/>
      <c r="MAH12" s="425"/>
      <c r="MAI12" s="425"/>
      <c r="MAJ12" s="425"/>
      <c r="MAK12" s="425"/>
      <c r="MAL12" s="425"/>
      <c r="MAM12" s="425"/>
      <c r="MAN12" s="425"/>
      <c r="MAO12" s="425"/>
      <c r="MAP12" s="425"/>
      <c r="MAQ12" s="425"/>
      <c r="MAR12" s="425"/>
      <c r="MAS12" s="425"/>
      <c r="MAT12" s="425"/>
      <c r="MAU12" s="425"/>
      <c r="MAV12" s="425"/>
      <c r="MAW12" s="425"/>
      <c r="MAX12" s="425"/>
      <c r="MAY12" s="425"/>
      <c r="MAZ12" s="425"/>
      <c r="MBA12" s="425"/>
      <c r="MBB12" s="425"/>
      <c r="MBC12" s="425"/>
      <c r="MBD12" s="425"/>
      <c r="MBE12" s="425"/>
      <c r="MBF12" s="425"/>
      <c r="MBG12" s="425"/>
      <c r="MBH12" s="425"/>
      <c r="MBI12" s="425"/>
      <c r="MBJ12" s="425"/>
      <c r="MBK12" s="425"/>
      <c r="MBL12" s="425"/>
      <c r="MBM12" s="425"/>
      <c r="MBN12" s="425"/>
      <c r="MBO12" s="425"/>
      <c r="MBP12" s="425"/>
      <c r="MBQ12" s="425"/>
      <c r="MBR12" s="425"/>
      <c r="MBS12" s="425"/>
      <c r="MBT12" s="425"/>
      <c r="MBU12" s="425"/>
      <c r="MBV12" s="425"/>
      <c r="MBW12" s="425"/>
      <c r="MBX12" s="425"/>
      <c r="MBY12" s="425"/>
      <c r="MBZ12" s="425"/>
      <c r="MCA12" s="425"/>
      <c r="MCB12" s="425"/>
      <c r="MCC12" s="425"/>
      <c r="MCD12" s="425"/>
      <c r="MCE12" s="425"/>
      <c r="MCF12" s="425"/>
      <c r="MCG12" s="425"/>
      <c r="MCH12" s="425"/>
      <c r="MCI12" s="425"/>
      <c r="MCJ12" s="425"/>
      <c r="MCK12" s="425"/>
      <c r="MCL12" s="425"/>
      <c r="MCM12" s="425"/>
      <c r="MCN12" s="425"/>
      <c r="MCO12" s="425"/>
      <c r="MCP12" s="425"/>
      <c r="MCQ12" s="425"/>
      <c r="MCR12" s="425"/>
      <c r="MCS12" s="425"/>
      <c r="MCT12" s="425"/>
      <c r="MCU12" s="425"/>
      <c r="MCV12" s="425"/>
      <c r="MCW12" s="425"/>
      <c r="MCX12" s="425"/>
      <c r="MCY12" s="425"/>
      <c r="MCZ12" s="425"/>
      <c r="MDA12" s="425"/>
      <c r="MDB12" s="425"/>
      <c r="MDC12" s="425"/>
      <c r="MDD12" s="425"/>
      <c r="MDE12" s="425"/>
      <c r="MDF12" s="425"/>
      <c r="MDG12" s="425"/>
      <c r="MDH12" s="425"/>
      <c r="MDI12" s="425"/>
      <c r="MDJ12" s="425"/>
      <c r="MDK12" s="425"/>
      <c r="MDL12" s="425"/>
      <c r="MDM12" s="425"/>
      <c r="MDN12" s="425"/>
      <c r="MDO12" s="425"/>
      <c r="MDP12" s="425"/>
      <c r="MDQ12" s="425"/>
      <c r="MDR12" s="425"/>
      <c r="MDS12" s="425"/>
      <c r="MDT12" s="425"/>
      <c r="MDU12" s="425"/>
      <c r="MDV12" s="425"/>
      <c r="MDW12" s="425"/>
      <c r="MDX12" s="425"/>
      <c r="MDY12" s="425"/>
      <c r="MDZ12" s="425"/>
      <c r="MEA12" s="425"/>
      <c r="MEB12" s="425"/>
      <c r="MEC12" s="425"/>
      <c r="MED12" s="425"/>
      <c r="MEE12" s="425"/>
      <c r="MEF12" s="425"/>
      <c r="MEG12" s="425"/>
      <c r="MEH12" s="425"/>
      <c r="MEI12" s="425"/>
      <c r="MEJ12" s="425"/>
      <c r="MEK12" s="425"/>
      <c r="MEL12" s="425"/>
      <c r="MEM12" s="425"/>
      <c r="MEN12" s="425"/>
      <c r="MEO12" s="425"/>
      <c r="MEP12" s="425"/>
      <c r="MEQ12" s="425"/>
      <c r="MER12" s="425"/>
      <c r="MES12" s="425"/>
      <c r="MET12" s="425"/>
      <c r="MEU12" s="425"/>
      <c r="MEV12" s="425"/>
      <c r="MEW12" s="425"/>
      <c r="MEX12" s="425"/>
      <c r="MEY12" s="425"/>
      <c r="MEZ12" s="425"/>
      <c r="MFA12" s="425"/>
      <c r="MFB12" s="425"/>
      <c r="MFC12" s="425"/>
      <c r="MFD12" s="425"/>
      <c r="MFE12" s="425"/>
      <c r="MFF12" s="425"/>
      <c r="MFG12" s="425"/>
      <c r="MFH12" s="425"/>
      <c r="MFI12" s="425"/>
      <c r="MFJ12" s="425"/>
      <c r="MFK12" s="425"/>
      <c r="MFL12" s="425"/>
      <c r="MFM12" s="425"/>
      <c r="MFN12" s="425"/>
      <c r="MFO12" s="425"/>
      <c r="MFP12" s="425"/>
      <c r="MFQ12" s="425"/>
      <c r="MFR12" s="425"/>
      <c r="MFS12" s="425"/>
      <c r="MFT12" s="425"/>
      <c r="MFU12" s="425"/>
      <c r="MFV12" s="425"/>
      <c r="MFW12" s="425"/>
      <c r="MFX12" s="425"/>
      <c r="MFY12" s="425"/>
      <c r="MFZ12" s="425"/>
      <c r="MGA12" s="425"/>
      <c r="MGB12" s="425"/>
      <c r="MGC12" s="425"/>
      <c r="MGD12" s="425"/>
      <c r="MGE12" s="425"/>
      <c r="MGF12" s="425"/>
      <c r="MGG12" s="425"/>
      <c r="MGH12" s="425"/>
      <c r="MGI12" s="425"/>
      <c r="MGJ12" s="425"/>
      <c r="MGK12" s="425"/>
      <c r="MGL12" s="425"/>
      <c r="MGM12" s="425"/>
      <c r="MGN12" s="425"/>
      <c r="MGO12" s="425"/>
      <c r="MGP12" s="425"/>
      <c r="MGQ12" s="425"/>
      <c r="MGR12" s="425"/>
      <c r="MGS12" s="425"/>
      <c r="MGT12" s="425"/>
      <c r="MGU12" s="425"/>
      <c r="MGV12" s="425"/>
      <c r="MGW12" s="425"/>
      <c r="MGX12" s="425"/>
      <c r="MGY12" s="425"/>
      <c r="MGZ12" s="425"/>
      <c r="MHA12" s="425"/>
      <c r="MHB12" s="425"/>
      <c r="MHC12" s="425"/>
      <c r="MHD12" s="425"/>
      <c r="MHE12" s="425"/>
      <c r="MHF12" s="425"/>
      <c r="MHG12" s="425"/>
      <c r="MHH12" s="425"/>
      <c r="MHI12" s="425"/>
      <c r="MHJ12" s="425"/>
      <c r="MHK12" s="425"/>
      <c r="MHL12" s="425"/>
      <c r="MHM12" s="425"/>
      <c r="MHN12" s="425"/>
      <c r="MHO12" s="425"/>
      <c r="MHP12" s="425"/>
      <c r="MHQ12" s="425"/>
      <c r="MHR12" s="425"/>
      <c r="MHS12" s="425"/>
      <c r="MHT12" s="425"/>
      <c r="MHU12" s="425"/>
      <c r="MHV12" s="425"/>
      <c r="MHW12" s="425"/>
      <c r="MHX12" s="425"/>
      <c r="MHY12" s="425"/>
      <c r="MHZ12" s="425"/>
      <c r="MIA12" s="425"/>
      <c r="MIB12" s="425"/>
      <c r="MIC12" s="425"/>
      <c r="MID12" s="425"/>
      <c r="MIE12" s="425"/>
      <c r="MIF12" s="425"/>
      <c r="MIG12" s="425"/>
      <c r="MIH12" s="425"/>
      <c r="MII12" s="425"/>
      <c r="MIJ12" s="425"/>
      <c r="MIK12" s="425"/>
      <c r="MIL12" s="425"/>
      <c r="MIM12" s="425"/>
      <c r="MIN12" s="425"/>
      <c r="MIO12" s="425"/>
      <c r="MIP12" s="425"/>
      <c r="MIQ12" s="425"/>
      <c r="MIR12" s="425"/>
      <c r="MIS12" s="425"/>
      <c r="MIT12" s="425"/>
      <c r="MIU12" s="425"/>
      <c r="MIV12" s="425"/>
      <c r="MIW12" s="425"/>
      <c r="MIX12" s="425"/>
      <c r="MIY12" s="425"/>
      <c r="MIZ12" s="425"/>
      <c r="MJA12" s="425"/>
      <c r="MJB12" s="425"/>
      <c r="MJC12" s="425"/>
      <c r="MJD12" s="425"/>
      <c r="MJE12" s="425"/>
      <c r="MJF12" s="425"/>
      <c r="MJG12" s="425"/>
      <c r="MJH12" s="425"/>
      <c r="MJI12" s="425"/>
      <c r="MJJ12" s="425"/>
      <c r="MJK12" s="425"/>
      <c r="MJL12" s="425"/>
      <c r="MJM12" s="425"/>
      <c r="MJN12" s="425"/>
      <c r="MJO12" s="425"/>
      <c r="MJP12" s="425"/>
      <c r="MJQ12" s="425"/>
      <c r="MJR12" s="425"/>
      <c r="MJS12" s="425"/>
      <c r="MJT12" s="425"/>
      <c r="MJU12" s="425"/>
      <c r="MJV12" s="425"/>
      <c r="MJW12" s="425"/>
      <c r="MJX12" s="425"/>
      <c r="MJY12" s="425"/>
      <c r="MJZ12" s="425"/>
      <c r="MKA12" s="425"/>
      <c r="MKB12" s="425"/>
      <c r="MKC12" s="425"/>
      <c r="MKD12" s="425"/>
      <c r="MKE12" s="425"/>
      <c r="MKF12" s="425"/>
      <c r="MKG12" s="425"/>
      <c r="MKH12" s="425"/>
      <c r="MKI12" s="425"/>
      <c r="MKJ12" s="425"/>
      <c r="MKK12" s="425"/>
      <c r="MKL12" s="425"/>
      <c r="MKM12" s="425"/>
      <c r="MKN12" s="425"/>
      <c r="MKO12" s="425"/>
      <c r="MKP12" s="425"/>
      <c r="MKQ12" s="425"/>
      <c r="MKR12" s="425"/>
      <c r="MKS12" s="425"/>
      <c r="MKT12" s="425"/>
      <c r="MKU12" s="425"/>
      <c r="MKV12" s="425"/>
      <c r="MKW12" s="425"/>
      <c r="MKX12" s="425"/>
      <c r="MKY12" s="425"/>
      <c r="MKZ12" s="425"/>
      <c r="MLA12" s="425"/>
      <c r="MLB12" s="425"/>
      <c r="MLC12" s="425"/>
      <c r="MLD12" s="425"/>
      <c r="MLE12" s="425"/>
      <c r="MLF12" s="425"/>
      <c r="MLG12" s="425"/>
      <c r="MLH12" s="425"/>
      <c r="MLI12" s="425"/>
      <c r="MLJ12" s="425"/>
      <c r="MLK12" s="425"/>
      <c r="MLL12" s="425"/>
      <c r="MLM12" s="425"/>
      <c r="MLN12" s="425"/>
      <c r="MLO12" s="425"/>
      <c r="MLP12" s="425"/>
      <c r="MLQ12" s="425"/>
      <c r="MLR12" s="425"/>
      <c r="MLS12" s="425"/>
      <c r="MLT12" s="425"/>
      <c r="MLU12" s="425"/>
      <c r="MLV12" s="425"/>
      <c r="MLW12" s="425"/>
      <c r="MLX12" s="425"/>
      <c r="MLY12" s="425"/>
      <c r="MLZ12" s="425"/>
      <c r="MMA12" s="425"/>
      <c r="MMB12" s="425"/>
      <c r="MMC12" s="425"/>
      <c r="MMD12" s="425"/>
      <c r="MME12" s="425"/>
      <c r="MMF12" s="425"/>
      <c r="MMG12" s="425"/>
      <c r="MMH12" s="425"/>
      <c r="MMI12" s="425"/>
      <c r="MMJ12" s="425"/>
      <c r="MMK12" s="425"/>
      <c r="MML12" s="425"/>
      <c r="MMM12" s="425"/>
      <c r="MMN12" s="425"/>
      <c r="MMO12" s="425"/>
      <c r="MMP12" s="425"/>
      <c r="MMQ12" s="425"/>
      <c r="MMR12" s="425"/>
      <c r="MMS12" s="425"/>
      <c r="MMT12" s="425"/>
      <c r="MMU12" s="425"/>
      <c r="MMV12" s="425"/>
      <c r="MMW12" s="425"/>
      <c r="MMX12" s="425"/>
      <c r="MMY12" s="425"/>
      <c r="MMZ12" s="425"/>
      <c r="MNA12" s="425"/>
      <c r="MNB12" s="425"/>
      <c r="MNC12" s="425"/>
      <c r="MND12" s="425"/>
      <c r="MNE12" s="425"/>
      <c r="MNF12" s="425"/>
      <c r="MNG12" s="425"/>
      <c r="MNH12" s="425"/>
      <c r="MNI12" s="425"/>
      <c r="MNJ12" s="425"/>
      <c r="MNK12" s="425"/>
      <c r="MNL12" s="425"/>
      <c r="MNM12" s="425"/>
      <c r="MNN12" s="425"/>
      <c r="MNO12" s="425"/>
      <c r="MNP12" s="425"/>
      <c r="MNQ12" s="425"/>
      <c r="MNR12" s="425"/>
      <c r="MNS12" s="425"/>
      <c r="MNT12" s="425"/>
      <c r="MNU12" s="425"/>
      <c r="MNV12" s="425"/>
      <c r="MNW12" s="425"/>
      <c r="MNX12" s="425"/>
      <c r="MNY12" s="425"/>
      <c r="MNZ12" s="425"/>
      <c r="MOA12" s="425"/>
      <c r="MOB12" s="425"/>
      <c r="MOC12" s="425"/>
      <c r="MOD12" s="425"/>
      <c r="MOE12" s="425"/>
      <c r="MOF12" s="425"/>
      <c r="MOG12" s="425"/>
      <c r="MOH12" s="425"/>
      <c r="MOI12" s="425"/>
      <c r="MOJ12" s="425"/>
      <c r="MOK12" s="425"/>
      <c r="MOL12" s="425"/>
      <c r="MOM12" s="425"/>
      <c r="MON12" s="425"/>
      <c r="MOO12" s="425"/>
      <c r="MOP12" s="425"/>
      <c r="MOQ12" s="425"/>
      <c r="MOR12" s="425"/>
      <c r="MOS12" s="425"/>
      <c r="MOT12" s="425"/>
      <c r="MOU12" s="425"/>
      <c r="MOV12" s="425"/>
      <c r="MOW12" s="425"/>
      <c r="MOX12" s="425"/>
      <c r="MOY12" s="425"/>
      <c r="MOZ12" s="425"/>
      <c r="MPA12" s="425"/>
      <c r="MPB12" s="425"/>
      <c r="MPC12" s="425"/>
      <c r="MPD12" s="425"/>
      <c r="MPE12" s="425"/>
      <c r="MPF12" s="425"/>
      <c r="MPG12" s="425"/>
      <c r="MPH12" s="425"/>
      <c r="MPI12" s="425"/>
      <c r="MPJ12" s="425"/>
      <c r="MPK12" s="425"/>
      <c r="MPL12" s="425"/>
      <c r="MPM12" s="425"/>
      <c r="MPN12" s="425"/>
      <c r="MPO12" s="425"/>
      <c r="MPP12" s="425"/>
      <c r="MPQ12" s="425"/>
      <c r="MPR12" s="425"/>
      <c r="MPS12" s="425"/>
      <c r="MPT12" s="425"/>
      <c r="MPU12" s="425"/>
      <c r="MPV12" s="425"/>
      <c r="MPW12" s="425"/>
      <c r="MPX12" s="425"/>
      <c r="MPY12" s="425"/>
      <c r="MPZ12" s="425"/>
      <c r="MQA12" s="425"/>
      <c r="MQB12" s="425"/>
      <c r="MQC12" s="425"/>
      <c r="MQD12" s="425"/>
      <c r="MQE12" s="425"/>
      <c r="MQF12" s="425"/>
      <c r="MQG12" s="425"/>
      <c r="MQH12" s="425"/>
      <c r="MQI12" s="425"/>
      <c r="MQJ12" s="425"/>
      <c r="MQK12" s="425"/>
      <c r="MQL12" s="425"/>
      <c r="MQM12" s="425"/>
      <c r="MQN12" s="425"/>
      <c r="MQO12" s="425"/>
      <c r="MQP12" s="425"/>
      <c r="MQQ12" s="425"/>
      <c r="MQR12" s="425"/>
      <c r="MQS12" s="425"/>
      <c r="MQT12" s="425"/>
      <c r="MQU12" s="425"/>
      <c r="MQV12" s="425"/>
      <c r="MQW12" s="425"/>
      <c r="MQX12" s="425"/>
      <c r="MQY12" s="425"/>
      <c r="MQZ12" s="425"/>
      <c r="MRA12" s="425"/>
      <c r="MRB12" s="425"/>
      <c r="MRC12" s="425"/>
      <c r="MRD12" s="425"/>
      <c r="MRE12" s="425"/>
      <c r="MRF12" s="425"/>
      <c r="MRG12" s="425"/>
      <c r="MRH12" s="425"/>
      <c r="MRI12" s="425"/>
      <c r="MRJ12" s="425"/>
      <c r="MRK12" s="425"/>
      <c r="MRL12" s="425"/>
      <c r="MRM12" s="425"/>
      <c r="MRN12" s="425"/>
      <c r="MRO12" s="425"/>
      <c r="MRP12" s="425"/>
      <c r="MRQ12" s="425"/>
      <c r="MRR12" s="425"/>
      <c r="MRS12" s="425"/>
      <c r="MRT12" s="425"/>
      <c r="MRU12" s="425"/>
      <c r="MRV12" s="425"/>
      <c r="MRW12" s="425"/>
      <c r="MRX12" s="425"/>
      <c r="MRY12" s="425"/>
      <c r="MRZ12" s="425"/>
      <c r="MSA12" s="425"/>
      <c r="MSB12" s="425"/>
      <c r="MSC12" s="425"/>
      <c r="MSD12" s="425"/>
      <c r="MSE12" s="425"/>
      <c r="MSF12" s="425"/>
      <c r="MSG12" s="425"/>
      <c r="MSH12" s="425"/>
      <c r="MSI12" s="425"/>
      <c r="MSJ12" s="425"/>
      <c r="MSK12" s="425"/>
      <c r="MSL12" s="425"/>
      <c r="MSM12" s="425"/>
      <c r="MSN12" s="425"/>
      <c r="MSO12" s="425"/>
      <c r="MSP12" s="425"/>
      <c r="MSQ12" s="425"/>
      <c r="MSR12" s="425"/>
      <c r="MSS12" s="425"/>
      <c r="MST12" s="425"/>
      <c r="MSU12" s="425"/>
      <c r="MSV12" s="425"/>
      <c r="MSW12" s="425"/>
      <c r="MSX12" s="425"/>
      <c r="MSY12" s="425"/>
      <c r="MSZ12" s="425"/>
      <c r="MTA12" s="425"/>
      <c r="MTB12" s="425"/>
      <c r="MTC12" s="425"/>
      <c r="MTD12" s="425"/>
      <c r="MTE12" s="425"/>
      <c r="MTF12" s="425"/>
      <c r="MTG12" s="425"/>
      <c r="MTH12" s="425"/>
      <c r="MTI12" s="425"/>
      <c r="MTJ12" s="425"/>
      <c r="MTK12" s="425"/>
      <c r="MTL12" s="425"/>
      <c r="MTM12" s="425"/>
      <c r="MTN12" s="425"/>
      <c r="MTO12" s="425"/>
      <c r="MTP12" s="425"/>
      <c r="MTQ12" s="425"/>
      <c r="MTR12" s="425"/>
      <c r="MTS12" s="425"/>
      <c r="MTT12" s="425"/>
      <c r="MTU12" s="425"/>
      <c r="MTV12" s="425"/>
      <c r="MTW12" s="425"/>
      <c r="MTX12" s="425"/>
      <c r="MTY12" s="425"/>
      <c r="MTZ12" s="425"/>
      <c r="MUA12" s="425"/>
      <c r="MUB12" s="425"/>
      <c r="MUC12" s="425"/>
      <c r="MUD12" s="425"/>
      <c r="MUE12" s="425"/>
      <c r="MUF12" s="425"/>
      <c r="MUG12" s="425"/>
      <c r="MUH12" s="425"/>
      <c r="MUI12" s="425"/>
      <c r="MUJ12" s="425"/>
      <c r="MUK12" s="425"/>
      <c r="MUL12" s="425"/>
      <c r="MUM12" s="425"/>
      <c r="MUN12" s="425"/>
      <c r="MUO12" s="425"/>
      <c r="MUP12" s="425"/>
      <c r="MUQ12" s="425"/>
      <c r="MUR12" s="425"/>
      <c r="MUS12" s="425"/>
      <c r="MUT12" s="425"/>
      <c r="MUU12" s="425"/>
      <c r="MUV12" s="425"/>
      <c r="MUW12" s="425"/>
      <c r="MUX12" s="425"/>
      <c r="MUY12" s="425"/>
      <c r="MUZ12" s="425"/>
      <c r="MVA12" s="425"/>
      <c r="MVB12" s="425"/>
      <c r="MVC12" s="425"/>
      <c r="MVD12" s="425"/>
      <c r="MVE12" s="425"/>
      <c r="MVF12" s="425"/>
      <c r="MVG12" s="425"/>
      <c r="MVH12" s="425"/>
      <c r="MVI12" s="425"/>
      <c r="MVJ12" s="425"/>
      <c r="MVK12" s="425"/>
      <c r="MVL12" s="425"/>
      <c r="MVM12" s="425"/>
      <c r="MVN12" s="425"/>
      <c r="MVO12" s="425"/>
      <c r="MVP12" s="425"/>
      <c r="MVQ12" s="425"/>
      <c r="MVR12" s="425"/>
      <c r="MVS12" s="425"/>
      <c r="MVT12" s="425"/>
      <c r="MVU12" s="425"/>
      <c r="MVV12" s="425"/>
      <c r="MVW12" s="425"/>
      <c r="MVX12" s="425"/>
      <c r="MVY12" s="425"/>
      <c r="MVZ12" s="425"/>
      <c r="MWA12" s="425"/>
      <c r="MWB12" s="425"/>
      <c r="MWC12" s="425"/>
      <c r="MWD12" s="425"/>
      <c r="MWE12" s="425"/>
      <c r="MWF12" s="425"/>
      <c r="MWG12" s="425"/>
      <c r="MWH12" s="425"/>
      <c r="MWI12" s="425"/>
      <c r="MWJ12" s="425"/>
      <c r="MWK12" s="425"/>
      <c r="MWL12" s="425"/>
      <c r="MWM12" s="425"/>
      <c r="MWN12" s="425"/>
      <c r="MWO12" s="425"/>
      <c r="MWP12" s="425"/>
      <c r="MWQ12" s="425"/>
      <c r="MWR12" s="425"/>
      <c r="MWS12" s="425"/>
      <c r="MWT12" s="425"/>
      <c r="MWU12" s="425"/>
      <c r="MWV12" s="425"/>
      <c r="MWW12" s="425"/>
      <c r="MWX12" s="425"/>
      <c r="MWY12" s="425"/>
      <c r="MWZ12" s="425"/>
      <c r="MXA12" s="425"/>
      <c r="MXB12" s="425"/>
      <c r="MXC12" s="425"/>
      <c r="MXD12" s="425"/>
      <c r="MXE12" s="425"/>
      <c r="MXF12" s="425"/>
      <c r="MXG12" s="425"/>
      <c r="MXH12" s="425"/>
      <c r="MXI12" s="425"/>
      <c r="MXJ12" s="425"/>
      <c r="MXK12" s="425"/>
      <c r="MXL12" s="425"/>
      <c r="MXM12" s="425"/>
      <c r="MXN12" s="425"/>
      <c r="MXO12" s="425"/>
      <c r="MXP12" s="425"/>
      <c r="MXQ12" s="425"/>
      <c r="MXR12" s="425"/>
      <c r="MXS12" s="425"/>
      <c r="MXT12" s="425"/>
      <c r="MXU12" s="425"/>
      <c r="MXV12" s="425"/>
      <c r="MXW12" s="425"/>
      <c r="MXX12" s="425"/>
      <c r="MXY12" s="425"/>
      <c r="MXZ12" s="425"/>
      <c r="MYA12" s="425"/>
      <c r="MYB12" s="425"/>
      <c r="MYC12" s="425"/>
      <c r="MYD12" s="425"/>
      <c r="MYE12" s="425"/>
      <c r="MYF12" s="425"/>
      <c r="MYG12" s="425"/>
      <c r="MYH12" s="425"/>
      <c r="MYI12" s="425"/>
      <c r="MYJ12" s="425"/>
      <c r="MYK12" s="425"/>
      <c r="MYL12" s="425"/>
      <c r="MYM12" s="425"/>
      <c r="MYN12" s="425"/>
      <c r="MYO12" s="425"/>
      <c r="MYP12" s="425"/>
      <c r="MYQ12" s="425"/>
      <c r="MYR12" s="425"/>
      <c r="MYS12" s="425"/>
      <c r="MYT12" s="425"/>
      <c r="MYU12" s="425"/>
      <c r="MYV12" s="425"/>
      <c r="MYW12" s="425"/>
      <c r="MYX12" s="425"/>
      <c r="MYY12" s="425"/>
      <c r="MYZ12" s="425"/>
      <c r="MZA12" s="425"/>
      <c r="MZB12" s="425"/>
      <c r="MZC12" s="425"/>
      <c r="MZD12" s="425"/>
      <c r="MZE12" s="425"/>
      <c r="MZF12" s="425"/>
      <c r="MZG12" s="425"/>
      <c r="MZH12" s="425"/>
      <c r="MZI12" s="425"/>
      <c r="MZJ12" s="425"/>
      <c r="MZK12" s="425"/>
      <c r="MZL12" s="425"/>
      <c r="MZM12" s="425"/>
      <c r="MZN12" s="425"/>
      <c r="MZO12" s="425"/>
      <c r="MZP12" s="425"/>
      <c r="MZQ12" s="425"/>
      <c r="MZR12" s="425"/>
      <c r="MZS12" s="425"/>
      <c r="MZT12" s="425"/>
      <c r="MZU12" s="425"/>
      <c r="MZV12" s="425"/>
      <c r="MZW12" s="425"/>
      <c r="MZX12" s="425"/>
      <c r="MZY12" s="425"/>
      <c r="MZZ12" s="425"/>
      <c r="NAA12" s="425"/>
      <c r="NAB12" s="425"/>
      <c r="NAC12" s="425"/>
      <c r="NAD12" s="425"/>
      <c r="NAE12" s="425"/>
      <c r="NAF12" s="425"/>
      <c r="NAG12" s="425"/>
      <c r="NAH12" s="425"/>
      <c r="NAI12" s="425"/>
      <c r="NAJ12" s="425"/>
      <c r="NAK12" s="425"/>
      <c r="NAL12" s="425"/>
      <c r="NAM12" s="425"/>
      <c r="NAN12" s="425"/>
      <c r="NAO12" s="425"/>
      <c r="NAP12" s="425"/>
      <c r="NAQ12" s="425"/>
      <c r="NAR12" s="425"/>
      <c r="NAS12" s="425"/>
      <c r="NAT12" s="425"/>
      <c r="NAU12" s="425"/>
      <c r="NAV12" s="425"/>
      <c r="NAW12" s="425"/>
      <c r="NAX12" s="425"/>
      <c r="NAY12" s="425"/>
      <c r="NAZ12" s="425"/>
      <c r="NBA12" s="425"/>
      <c r="NBB12" s="425"/>
      <c r="NBC12" s="425"/>
      <c r="NBD12" s="425"/>
      <c r="NBE12" s="425"/>
      <c r="NBF12" s="425"/>
      <c r="NBG12" s="425"/>
      <c r="NBH12" s="425"/>
      <c r="NBI12" s="425"/>
      <c r="NBJ12" s="425"/>
      <c r="NBK12" s="425"/>
      <c r="NBL12" s="425"/>
      <c r="NBM12" s="425"/>
      <c r="NBN12" s="425"/>
      <c r="NBO12" s="425"/>
      <c r="NBP12" s="425"/>
      <c r="NBQ12" s="425"/>
      <c r="NBR12" s="425"/>
      <c r="NBS12" s="425"/>
      <c r="NBT12" s="425"/>
      <c r="NBU12" s="425"/>
      <c r="NBV12" s="425"/>
      <c r="NBW12" s="425"/>
      <c r="NBX12" s="425"/>
      <c r="NBY12" s="425"/>
      <c r="NBZ12" s="425"/>
      <c r="NCA12" s="425"/>
      <c r="NCB12" s="425"/>
      <c r="NCC12" s="425"/>
      <c r="NCD12" s="425"/>
      <c r="NCE12" s="425"/>
      <c r="NCF12" s="425"/>
      <c r="NCG12" s="425"/>
      <c r="NCH12" s="425"/>
      <c r="NCI12" s="425"/>
      <c r="NCJ12" s="425"/>
      <c r="NCK12" s="425"/>
      <c r="NCL12" s="425"/>
      <c r="NCM12" s="425"/>
      <c r="NCN12" s="425"/>
      <c r="NCO12" s="425"/>
      <c r="NCP12" s="425"/>
      <c r="NCQ12" s="425"/>
      <c r="NCR12" s="425"/>
      <c r="NCS12" s="425"/>
      <c r="NCT12" s="425"/>
      <c r="NCU12" s="425"/>
      <c r="NCV12" s="425"/>
      <c r="NCW12" s="425"/>
      <c r="NCX12" s="425"/>
      <c r="NCY12" s="425"/>
      <c r="NCZ12" s="425"/>
      <c r="NDA12" s="425"/>
      <c r="NDB12" s="425"/>
      <c r="NDC12" s="425"/>
      <c r="NDD12" s="425"/>
      <c r="NDE12" s="425"/>
      <c r="NDF12" s="425"/>
      <c r="NDG12" s="425"/>
      <c r="NDH12" s="425"/>
      <c r="NDI12" s="425"/>
      <c r="NDJ12" s="425"/>
      <c r="NDK12" s="425"/>
      <c r="NDL12" s="425"/>
      <c r="NDM12" s="425"/>
      <c r="NDN12" s="425"/>
      <c r="NDO12" s="425"/>
      <c r="NDP12" s="425"/>
      <c r="NDQ12" s="425"/>
      <c r="NDR12" s="425"/>
      <c r="NDS12" s="425"/>
      <c r="NDT12" s="425"/>
      <c r="NDU12" s="425"/>
      <c r="NDV12" s="425"/>
      <c r="NDW12" s="425"/>
      <c r="NDX12" s="425"/>
      <c r="NDY12" s="425"/>
      <c r="NDZ12" s="425"/>
      <c r="NEA12" s="425"/>
      <c r="NEB12" s="425"/>
      <c r="NEC12" s="425"/>
      <c r="NED12" s="425"/>
      <c r="NEE12" s="425"/>
      <c r="NEF12" s="425"/>
      <c r="NEG12" s="425"/>
      <c r="NEH12" s="425"/>
      <c r="NEI12" s="425"/>
      <c r="NEJ12" s="425"/>
      <c r="NEK12" s="425"/>
      <c r="NEL12" s="425"/>
      <c r="NEM12" s="425"/>
      <c r="NEN12" s="425"/>
      <c r="NEO12" s="425"/>
      <c r="NEP12" s="425"/>
      <c r="NEQ12" s="425"/>
      <c r="NER12" s="425"/>
      <c r="NES12" s="425"/>
      <c r="NET12" s="425"/>
      <c r="NEU12" s="425"/>
      <c r="NEV12" s="425"/>
      <c r="NEW12" s="425"/>
      <c r="NEX12" s="425"/>
      <c r="NEY12" s="425"/>
      <c r="NEZ12" s="425"/>
      <c r="NFA12" s="425"/>
      <c r="NFB12" s="425"/>
      <c r="NFC12" s="425"/>
      <c r="NFD12" s="425"/>
      <c r="NFE12" s="425"/>
      <c r="NFF12" s="425"/>
      <c r="NFG12" s="425"/>
      <c r="NFH12" s="425"/>
      <c r="NFI12" s="425"/>
      <c r="NFJ12" s="425"/>
      <c r="NFK12" s="425"/>
      <c r="NFL12" s="425"/>
      <c r="NFM12" s="425"/>
      <c r="NFN12" s="425"/>
      <c r="NFO12" s="425"/>
      <c r="NFP12" s="425"/>
      <c r="NFQ12" s="425"/>
      <c r="NFR12" s="425"/>
      <c r="NFS12" s="425"/>
      <c r="NFT12" s="425"/>
      <c r="NFU12" s="425"/>
      <c r="NFV12" s="425"/>
      <c r="NFW12" s="425"/>
      <c r="NFX12" s="425"/>
      <c r="NFY12" s="425"/>
      <c r="NFZ12" s="425"/>
      <c r="NGA12" s="425"/>
      <c r="NGB12" s="425"/>
      <c r="NGC12" s="425"/>
      <c r="NGD12" s="425"/>
      <c r="NGE12" s="425"/>
      <c r="NGF12" s="425"/>
      <c r="NGG12" s="425"/>
      <c r="NGH12" s="425"/>
      <c r="NGI12" s="425"/>
      <c r="NGJ12" s="425"/>
      <c r="NGK12" s="425"/>
      <c r="NGL12" s="425"/>
      <c r="NGM12" s="425"/>
      <c r="NGN12" s="425"/>
      <c r="NGO12" s="425"/>
      <c r="NGP12" s="425"/>
      <c r="NGQ12" s="425"/>
      <c r="NGR12" s="425"/>
      <c r="NGS12" s="425"/>
      <c r="NGT12" s="425"/>
      <c r="NGU12" s="425"/>
      <c r="NGV12" s="425"/>
      <c r="NGW12" s="425"/>
      <c r="NGX12" s="425"/>
      <c r="NGY12" s="425"/>
      <c r="NGZ12" s="425"/>
      <c r="NHA12" s="425"/>
      <c r="NHB12" s="425"/>
      <c r="NHC12" s="425"/>
      <c r="NHD12" s="425"/>
      <c r="NHE12" s="425"/>
      <c r="NHF12" s="425"/>
      <c r="NHG12" s="425"/>
      <c r="NHH12" s="425"/>
      <c r="NHI12" s="425"/>
      <c r="NHJ12" s="425"/>
      <c r="NHK12" s="425"/>
      <c r="NHL12" s="425"/>
      <c r="NHM12" s="425"/>
      <c r="NHN12" s="425"/>
      <c r="NHO12" s="425"/>
      <c r="NHP12" s="425"/>
      <c r="NHQ12" s="425"/>
      <c r="NHR12" s="425"/>
      <c r="NHS12" s="425"/>
      <c r="NHT12" s="425"/>
      <c r="NHU12" s="425"/>
      <c r="NHV12" s="425"/>
      <c r="NHW12" s="425"/>
      <c r="NHX12" s="425"/>
      <c r="NHY12" s="425"/>
      <c r="NHZ12" s="425"/>
      <c r="NIA12" s="425"/>
      <c r="NIB12" s="425"/>
      <c r="NIC12" s="425"/>
      <c r="NID12" s="425"/>
      <c r="NIE12" s="425"/>
      <c r="NIF12" s="425"/>
      <c r="NIG12" s="425"/>
      <c r="NIH12" s="425"/>
      <c r="NII12" s="425"/>
      <c r="NIJ12" s="425"/>
      <c r="NIK12" s="425"/>
      <c r="NIL12" s="425"/>
      <c r="NIM12" s="425"/>
      <c r="NIN12" s="425"/>
      <c r="NIO12" s="425"/>
      <c r="NIP12" s="425"/>
      <c r="NIQ12" s="425"/>
      <c r="NIR12" s="425"/>
      <c r="NIS12" s="425"/>
      <c r="NIT12" s="425"/>
      <c r="NIU12" s="425"/>
      <c r="NIV12" s="425"/>
      <c r="NIW12" s="425"/>
      <c r="NIX12" s="425"/>
      <c r="NIY12" s="425"/>
      <c r="NIZ12" s="425"/>
      <c r="NJA12" s="425"/>
      <c r="NJB12" s="425"/>
      <c r="NJC12" s="425"/>
      <c r="NJD12" s="425"/>
      <c r="NJE12" s="425"/>
      <c r="NJF12" s="425"/>
      <c r="NJG12" s="425"/>
      <c r="NJH12" s="425"/>
      <c r="NJI12" s="425"/>
      <c r="NJJ12" s="425"/>
      <c r="NJK12" s="425"/>
      <c r="NJL12" s="425"/>
      <c r="NJM12" s="425"/>
      <c r="NJN12" s="425"/>
      <c r="NJO12" s="425"/>
      <c r="NJP12" s="425"/>
      <c r="NJQ12" s="425"/>
      <c r="NJR12" s="425"/>
      <c r="NJS12" s="425"/>
      <c r="NJT12" s="425"/>
      <c r="NJU12" s="425"/>
      <c r="NJV12" s="425"/>
      <c r="NJW12" s="425"/>
      <c r="NJX12" s="425"/>
      <c r="NJY12" s="425"/>
      <c r="NJZ12" s="425"/>
      <c r="NKA12" s="425"/>
      <c r="NKB12" s="425"/>
      <c r="NKC12" s="425"/>
      <c r="NKD12" s="425"/>
      <c r="NKE12" s="425"/>
      <c r="NKF12" s="425"/>
      <c r="NKG12" s="425"/>
      <c r="NKH12" s="425"/>
      <c r="NKI12" s="425"/>
      <c r="NKJ12" s="425"/>
      <c r="NKK12" s="425"/>
      <c r="NKL12" s="425"/>
      <c r="NKM12" s="425"/>
      <c r="NKN12" s="425"/>
      <c r="NKO12" s="425"/>
      <c r="NKP12" s="425"/>
      <c r="NKQ12" s="425"/>
      <c r="NKR12" s="425"/>
      <c r="NKS12" s="425"/>
      <c r="NKT12" s="425"/>
      <c r="NKU12" s="425"/>
      <c r="NKV12" s="425"/>
      <c r="NKW12" s="425"/>
      <c r="NKX12" s="425"/>
      <c r="NKY12" s="425"/>
      <c r="NKZ12" s="425"/>
      <c r="NLA12" s="425"/>
      <c r="NLB12" s="425"/>
      <c r="NLC12" s="425"/>
      <c r="NLD12" s="425"/>
      <c r="NLE12" s="425"/>
      <c r="NLF12" s="425"/>
      <c r="NLG12" s="425"/>
      <c r="NLH12" s="425"/>
      <c r="NLI12" s="425"/>
      <c r="NLJ12" s="425"/>
      <c r="NLK12" s="425"/>
      <c r="NLL12" s="425"/>
      <c r="NLM12" s="425"/>
      <c r="NLN12" s="425"/>
      <c r="NLO12" s="425"/>
      <c r="NLP12" s="425"/>
      <c r="NLQ12" s="425"/>
      <c r="NLR12" s="425"/>
      <c r="NLS12" s="425"/>
      <c r="NLT12" s="425"/>
      <c r="NLU12" s="425"/>
      <c r="NLV12" s="425"/>
      <c r="NLW12" s="425"/>
      <c r="NLX12" s="425"/>
      <c r="NLY12" s="425"/>
      <c r="NLZ12" s="425"/>
      <c r="NMA12" s="425"/>
      <c r="NMB12" s="425"/>
      <c r="NMC12" s="425"/>
      <c r="NMD12" s="425"/>
      <c r="NME12" s="425"/>
      <c r="NMF12" s="425"/>
      <c r="NMG12" s="425"/>
      <c r="NMH12" s="425"/>
      <c r="NMI12" s="425"/>
      <c r="NMJ12" s="425"/>
      <c r="NMK12" s="425"/>
      <c r="NML12" s="425"/>
      <c r="NMM12" s="425"/>
      <c r="NMN12" s="425"/>
      <c r="NMO12" s="425"/>
      <c r="NMP12" s="425"/>
      <c r="NMQ12" s="425"/>
      <c r="NMR12" s="425"/>
      <c r="NMS12" s="425"/>
      <c r="NMT12" s="425"/>
      <c r="NMU12" s="425"/>
      <c r="NMV12" s="425"/>
      <c r="NMW12" s="425"/>
      <c r="NMX12" s="425"/>
      <c r="NMY12" s="425"/>
      <c r="NMZ12" s="425"/>
      <c r="NNA12" s="425"/>
      <c r="NNB12" s="425"/>
      <c r="NNC12" s="425"/>
      <c r="NND12" s="425"/>
      <c r="NNE12" s="425"/>
      <c r="NNF12" s="425"/>
      <c r="NNG12" s="425"/>
      <c r="NNH12" s="425"/>
      <c r="NNI12" s="425"/>
      <c r="NNJ12" s="425"/>
      <c r="NNK12" s="425"/>
      <c r="NNL12" s="425"/>
      <c r="NNM12" s="425"/>
      <c r="NNN12" s="425"/>
      <c r="NNO12" s="425"/>
      <c r="NNP12" s="425"/>
      <c r="NNQ12" s="425"/>
      <c r="NNR12" s="425"/>
      <c r="NNS12" s="425"/>
      <c r="NNT12" s="425"/>
      <c r="NNU12" s="425"/>
      <c r="NNV12" s="425"/>
      <c r="NNW12" s="425"/>
      <c r="NNX12" s="425"/>
      <c r="NNY12" s="425"/>
      <c r="NNZ12" s="425"/>
      <c r="NOA12" s="425"/>
      <c r="NOB12" s="425"/>
      <c r="NOC12" s="425"/>
      <c r="NOD12" s="425"/>
      <c r="NOE12" s="425"/>
      <c r="NOF12" s="425"/>
      <c r="NOG12" s="425"/>
      <c r="NOH12" s="425"/>
      <c r="NOI12" s="425"/>
      <c r="NOJ12" s="425"/>
      <c r="NOK12" s="425"/>
      <c r="NOL12" s="425"/>
      <c r="NOM12" s="425"/>
      <c r="NON12" s="425"/>
      <c r="NOO12" s="425"/>
      <c r="NOP12" s="425"/>
      <c r="NOQ12" s="425"/>
      <c r="NOR12" s="425"/>
      <c r="NOS12" s="425"/>
      <c r="NOT12" s="425"/>
      <c r="NOU12" s="425"/>
      <c r="NOV12" s="425"/>
      <c r="NOW12" s="425"/>
      <c r="NOX12" s="425"/>
      <c r="NOY12" s="425"/>
      <c r="NOZ12" s="425"/>
      <c r="NPA12" s="425"/>
      <c r="NPB12" s="425"/>
      <c r="NPC12" s="425"/>
      <c r="NPD12" s="425"/>
      <c r="NPE12" s="425"/>
      <c r="NPF12" s="425"/>
      <c r="NPG12" s="425"/>
      <c r="NPH12" s="425"/>
      <c r="NPI12" s="425"/>
      <c r="NPJ12" s="425"/>
      <c r="NPK12" s="425"/>
      <c r="NPL12" s="425"/>
      <c r="NPM12" s="425"/>
      <c r="NPN12" s="425"/>
      <c r="NPO12" s="425"/>
      <c r="NPP12" s="425"/>
      <c r="NPQ12" s="425"/>
      <c r="NPR12" s="425"/>
      <c r="NPS12" s="425"/>
      <c r="NPT12" s="425"/>
      <c r="NPU12" s="425"/>
      <c r="NPV12" s="425"/>
      <c r="NPW12" s="425"/>
      <c r="NPX12" s="425"/>
      <c r="NPY12" s="425"/>
      <c r="NPZ12" s="425"/>
      <c r="NQA12" s="425"/>
      <c r="NQB12" s="425"/>
      <c r="NQC12" s="425"/>
      <c r="NQD12" s="425"/>
      <c r="NQE12" s="425"/>
      <c r="NQF12" s="425"/>
      <c r="NQG12" s="425"/>
      <c r="NQH12" s="425"/>
      <c r="NQI12" s="425"/>
      <c r="NQJ12" s="425"/>
      <c r="NQK12" s="425"/>
      <c r="NQL12" s="425"/>
      <c r="NQM12" s="425"/>
      <c r="NQN12" s="425"/>
      <c r="NQO12" s="425"/>
      <c r="NQP12" s="425"/>
      <c r="NQQ12" s="425"/>
      <c r="NQR12" s="425"/>
      <c r="NQS12" s="425"/>
      <c r="NQT12" s="425"/>
      <c r="NQU12" s="425"/>
      <c r="NQV12" s="425"/>
      <c r="NQW12" s="425"/>
      <c r="NQX12" s="425"/>
      <c r="NQY12" s="425"/>
      <c r="NQZ12" s="425"/>
      <c r="NRA12" s="425"/>
      <c r="NRB12" s="425"/>
      <c r="NRC12" s="425"/>
      <c r="NRD12" s="425"/>
      <c r="NRE12" s="425"/>
      <c r="NRF12" s="425"/>
      <c r="NRG12" s="425"/>
      <c r="NRH12" s="425"/>
      <c r="NRI12" s="425"/>
      <c r="NRJ12" s="425"/>
      <c r="NRK12" s="425"/>
      <c r="NRL12" s="425"/>
      <c r="NRM12" s="425"/>
      <c r="NRN12" s="425"/>
      <c r="NRO12" s="425"/>
      <c r="NRP12" s="425"/>
      <c r="NRQ12" s="425"/>
      <c r="NRR12" s="425"/>
      <c r="NRS12" s="425"/>
      <c r="NRT12" s="425"/>
      <c r="NRU12" s="425"/>
      <c r="NRV12" s="425"/>
      <c r="NRW12" s="425"/>
      <c r="NRX12" s="425"/>
      <c r="NRY12" s="425"/>
      <c r="NRZ12" s="425"/>
      <c r="NSA12" s="425"/>
      <c r="NSB12" s="425"/>
      <c r="NSC12" s="425"/>
      <c r="NSD12" s="425"/>
      <c r="NSE12" s="425"/>
      <c r="NSF12" s="425"/>
      <c r="NSG12" s="425"/>
      <c r="NSH12" s="425"/>
      <c r="NSI12" s="425"/>
      <c r="NSJ12" s="425"/>
      <c r="NSK12" s="425"/>
      <c r="NSL12" s="425"/>
      <c r="NSM12" s="425"/>
      <c r="NSN12" s="425"/>
      <c r="NSO12" s="425"/>
      <c r="NSP12" s="425"/>
      <c r="NSQ12" s="425"/>
      <c r="NSR12" s="425"/>
      <c r="NSS12" s="425"/>
      <c r="NST12" s="425"/>
      <c r="NSU12" s="425"/>
      <c r="NSV12" s="425"/>
      <c r="NSW12" s="425"/>
      <c r="NSX12" s="425"/>
      <c r="NSY12" s="425"/>
      <c r="NSZ12" s="425"/>
      <c r="NTA12" s="425"/>
      <c r="NTB12" s="425"/>
      <c r="NTC12" s="425"/>
      <c r="NTD12" s="425"/>
      <c r="NTE12" s="425"/>
      <c r="NTF12" s="425"/>
      <c r="NTG12" s="425"/>
      <c r="NTH12" s="425"/>
      <c r="NTI12" s="425"/>
      <c r="NTJ12" s="425"/>
      <c r="NTK12" s="425"/>
      <c r="NTL12" s="425"/>
      <c r="NTM12" s="425"/>
      <c r="NTN12" s="425"/>
      <c r="NTO12" s="425"/>
      <c r="NTP12" s="425"/>
      <c r="NTQ12" s="425"/>
      <c r="NTR12" s="425"/>
      <c r="NTS12" s="425"/>
      <c r="NTT12" s="425"/>
      <c r="NTU12" s="425"/>
      <c r="NTV12" s="425"/>
      <c r="NTW12" s="425"/>
      <c r="NTX12" s="425"/>
      <c r="NTY12" s="425"/>
      <c r="NTZ12" s="425"/>
      <c r="NUA12" s="425"/>
      <c r="NUB12" s="425"/>
      <c r="NUC12" s="425"/>
      <c r="NUD12" s="425"/>
      <c r="NUE12" s="425"/>
      <c r="NUF12" s="425"/>
      <c r="NUG12" s="425"/>
      <c r="NUH12" s="425"/>
      <c r="NUI12" s="425"/>
      <c r="NUJ12" s="425"/>
      <c r="NUK12" s="425"/>
      <c r="NUL12" s="425"/>
      <c r="NUM12" s="425"/>
      <c r="NUN12" s="425"/>
      <c r="NUO12" s="425"/>
      <c r="NUP12" s="425"/>
      <c r="NUQ12" s="425"/>
      <c r="NUR12" s="425"/>
      <c r="NUS12" s="425"/>
      <c r="NUT12" s="425"/>
      <c r="NUU12" s="425"/>
      <c r="NUV12" s="425"/>
      <c r="NUW12" s="425"/>
      <c r="NUX12" s="425"/>
      <c r="NUY12" s="425"/>
      <c r="NUZ12" s="425"/>
      <c r="NVA12" s="425"/>
      <c r="NVB12" s="425"/>
      <c r="NVC12" s="425"/>
      <c r="NVD12" s="425"/>
      <c r="NVE12" s="425"/>
      <c r="NVF12" s="425"/>
      <c r="NVG12" s="425"/>
      <c r="NVH12" s="425"/>
      <c r="NVI12" s="425"/>
      <c r="NVJ12" s="425"/>
      <c r="NVK12" s="425"/>
      <c r="NVL12" s="425"/>
      <c r="NVM12" s="425"/>
      <c r="NVN12" s="425"/>
      <c r="NVO12" s="425"/>
      <c r="NVP12" s="425"/>
      <c r="NVQ12" s="425"/>
      <c r="NVR12" s="425"/>
      <c r="NVS12" s="425"/>
      <c r="NVT12" s="425"/>
      <c r="NVU12" s="425"/>
      <c r="NVV12" s="425"/>
      <c r="NVW12" s="425"/>
      <c r="NVX12" s="425"/>
      <c r="NVY12" s="425"/>
      <c r="NVZ12" s="425"/>
      <c r="NWA12" s="425"/>
      <c r="NWB12" s="425"/>
      <c r="NWC12" s="425"/>
      <c r="NWD12" s="425"/>
      <c r="NWE12" s="425"/>
      <c r="NWF12" s="425"/>
      <c r="NWG12" s="425"/>
      <c r="NWH12" s="425"/>
      <c r="NWI12" s="425"/>
      <c r="NWJ12" s="425"/>
      <c r="NWK12" s="425"/>
      <c r="NWL12" s="425"/>
      <c r="NWM12" s="425"/>
      <c r="NWN12" s="425"/>
      <c r="NWO12" s="425"/>
      <c r="NWP12" s="425"/>
      <c r="NWQ12" s="425"/>
      <c r="NWR12" s="425"/>
      <c r="NWS12" s="425"/>
      <c r="NWT12" s="425"/>
      <c r="NWU12" s="425"/>
      <c r="NWV12" s="425"/>
      <c r="NWW12" s="425"/>
      <c r="NWX12" s="425"/>
      <c r="NWY12" s="425"/>
      <c r="NWZ12" s="425"/>
      <c r="NXA12" s="425"/>
      <c r="NXB12" s="425"/>
      <c r="NXC12" s="425"/>
      <c r="NXD12" s="425"/>
      <c r="NXE12" s="425"/>
      <c r="NXF12" s="425"/>
      <c r="NXG12" s="425"/>
      <c r="NXH12" s="425"/>
      <c r="NXI12" s="425"/>
      <c r="NXJ12" s="425"/>
      <c r="NXK12" s="425"/>
      <c r="NXL12" s="425"/>
      <c r="NXM12" s="425"/>
      <c r="NXN12" s="425"/>
      <c r="NXO12" s="425"/>
      <c r="NXP12" s="425"/>
      <c r="NXQ12" s="425"/>
      <c r="NXR12" s="425"/>
      <c r="NXS12" s="425"/>
      <c r="NXT12" s="425"/>
      <c r="NXU12" s="425"/>
      <c r="NXV12" s="425"/>
      <c r="NXW12" s="425"/>
      <c r="NXX12" s="425"/>
      <c r="NXY12" s="425"/>
      <c r="NXZ12" s="425"/>
      <c r="NYA12" s="425"/>
      <c r="NYB12" s="425"/>
      <c r="NYC12" s="425"/>
      <c r="NYD12" s="425"/>
      <c r="NYE12" s="425"/>
      <c r="NYF12" s="425"/>
      <c r="NYG12" s="425"/>
      <c r="NYH12" s="425"/>
      <c r="NYI12" s="425"/>
      <c r="NYJ12" s="425"/>
      <c r="NYK12" s="425"/>
      <c r="NYL12" s="425"/>
      <c r="NYM12" s="425"/>
      <c r="NYN12" s="425"/>
      <c r="NYO12" s="425"/>
      <c r="NYP12" s="425"/>
      <c r="NYQ12" s="425"/>
      <c r="NYR12" s="425"/>
      <c r="NYS12" s="425"/>
      <c r="NYT12" s="425"/>
      <c r="NYU12" s="425"/>
      <c r="NYV12" s="425"/>
      <c r="NYW12" s="425"/>
      <c r="NYX12" s="425"/>
      <c r="NYY12" s="425"/>
      <c r="NYZ12" s="425"/>
      <c r="NZA12" s="425"/>
      <c r="NZB12" s="425"/>
      <c r="NZC12" s="425"/>
      <c r="NZD12" s="425"/>
      <c r="NZE12" s="425"/>
      <c r="NZF12" s="425"/>
      <c r="NZG12" s="425"/>
      <c r="NZH12" s="425"/>
      <c r="NZI12" s="425"/>
      <c r="NZJ12" s="425"/>
      <c r="NZK12" s="425"/>
      <c r="NZL12" s="425"/>
      <c r="NZM12" s="425"/>
      <c r="NZN12" s="425"/>
      <c r="NZO12" s="425"/>
      <c r="NZP12" s="425"/>
      <c r="NZQ12" s="425"/>
      <c r="NZR12" s="425"/>
      <c r="NZS12" s="425"/>
      <c r="NZT12" s="425"/>
      <c r="NZU12" s="425"/>
      <c r="NZV12" s="425"/>
      <c r="NZW12" s="425"/>
      <c r="NZX12" s="425"/>
      <c r="NZY12" s="425"/>
      <c r="NZZ12" s="425"/>
      <c r="OAA12" s="425"/>
      <c r="OAB12" s="425"/>
      <c r="OAC12" s="425"/>
      <c r="OAD12" s="425"/>
      <c r="OAE12" s="425"/>
      <c r="OAF12" s="425"/>
      <c r="OAG12" s="425"/>
      <c r="OAH12" s="425"/>
      <c r="OAI12" s="425"/>
      <c r="OAJ12" s="425"/>
      <c r="OAK12" s="425"/>
      <c r="OAL12" s="425"/>
      <c r="OAM12" s="425"/>
      <c r="OAN12" s="425"/>
      <c r="OAO12" s="425"/>
      <c r="OAP12" s="425"/>
      <c r="OAQ12" s="425"/>
      <c r="OAR12" s="425"/>
      <c r="OAS12" s="425"/>
      <c r="OAT12" s="425"/>
      <c r="OAU12" s="425"/>
      <c r="OAV12" s="425"/>
      <c r="OAW12" s="425"/>
      <c r="OAX12" s="425"/>
      <c r="OAY12" s="425"/>
      <c r="OAZ12" s="425"/>
      <c r="OBA12" s="425"/>
      <c r="OBB12" s="425"/>
      <c r="OBC12" s="425"/>
      <c r="OBD12" s="425"/>
      <c r="OBE12" s="425"/>
      <c r="OBF12" s="425"/>
      <c r="OBG12" s="425"/>
      <c r="OBH12" s="425"/>
      <c r="OBI12" s="425"/>
      <c r="OBJ12" s="425"/>
      <c r="OBK12" s="425"/>
      <c r="OBL12" s="425"/>
      <c r="OBM12" s="425"/>
      <c r="OBN12" s="425"/>
      <c r="OBO12" s="425"/>
      <c r="OBP12" s="425"/>
      <c r="OBQ12" s="425"/>
      <c r="OBR12" s="425"/>
      <c r="OBS12" s="425"/>
      <c r="OBT12" s="425"/>
      <c r="OBU12" s="425"/>
      <c r="OBV12" s="425"/>
      <c r="OBW12" s="425"/>
      <c r="OBX12" s="425"/>
      <c r="OBY12" s="425"/>
      <c r="OBZ12" s="425"/>
      <c r="OCA12" s="425"/>
      <c r="OCB12" s="425"/>
      <c r="OCC12" s="425"/>
      <c r="OCD12" s="425"/>
      <c r="OCE12" s="425"/>
      <c r="OCF12" s="425"/>
      <c r="OCG12" s="425"/>
      <c r="OCH12" s="425"/>
      <c r="OCI12" s="425"/>
      <c r="OCJ12" s="425"/>
      <c r="OCK12" s="425"/>
      <c r="OCL12" s="425"/>
      <c r="OCM12" s="425"/>
      <c r="OCN12" s="425"/>
      <c r="OCO12" s="425"/>
      <c r="OCP12" s="425"/>
      <c r="OCQ12" s="425"/>
      <c r="OCR12" s="425"/>
      <c r="OCS12" s="425"/>
      <c r="OCT12" s="425"/>
      <c r="OCU12" s="425"/>
      <c r="OCV12" s="425"/>
      <c r="OCW12" s="425"/>
      <c r="OCX12" s="425"/>
      <c r="OCY12" s="425"/>
      <c r="OCZ12" s="425"/>
      <c r="ODA12" s="425"/>
      <c r="ODB12" s="425"/>
      <c r="ODC12" s="425"/>
      <c r="ODD12" s="425"/>
      <c r="ODE12" s="425"/>
      <c r="ODF12" s="425"/>
      <c r="ODG12" s="425"/>
      <c r="ODH12" s="425"/>
      <c r="ODI12" s="425"/>
      <c r="ODJ12" s="425"/>
      <c r="ODK12" s="425"/>
      <c r="ODL12" s="425"/>
      <c r="ODM12" s="425"/>
      <c r="ODN12" s="425"/>
      <c r="ODO12" s="425"/>
      <c r="ODP12" s="425"/>
      <c r="ODQ12" s="425"/>
      <c r="ODR12" s="425"/>
      <c r="ODS12" s="425"/>
      <c r="ODT12" s="425"/>
      <c r="ODU12" s="425"/>
      <c r="ODV12" s="425"/>
      <c r="ODW12" s="425"/>
      <c r="ODX12" s="425"/>
      <c r="ODY12" s="425"/>
      <c r="ODZ12" s="425"/>
      <c r="OEA12" s="425"/>
      <c r="OEB12" s="425"/>
      <c r="OEC12" s="425"/>
      <c r="OED12" s="425"/>
      <c r="OEE12" s="425"/>
      <c r="OEF12" s="425"/>
      <c r="OEG12" s="425"/>
      <c r="OEH12" s="425"/>
      <c r="OEI12" s="425"/>
      <c r="OEJ12" s="425"/>
      <c r="OEK12" s="425"/>
      <c r="OEL12" s="425"/>
      <c r="OEM12" s="425"/>
      <c r="OEN12" s="425"/>
      <c r="OEO12" s="425"/>
      <c r="OEP12" s="425"/>
      <c r="OEQ12" s="425"/>
      <c r="OER12" s="425"/>
      <c r="OES12" s="425"/>
      <c r="OET12" s="425"/>
      <c r="OEU12" s="425"/>
      <c r="OEV12" s="425"/>
      <c r="OEW12" s="425"/>
      <c r="OEX12" s="425"/>
      <c r="OEY12" s="425"/>
      <c r="OEZ12" s="425"/>
      <c r="OFA12" s="425"/>
      <c r="OFB12" s="425"/>
      <c r="OFC12" s="425"/>
      <c r="OFD12" s="425"/>
      <c r="OFE12" s="425"/>
      <c r="OFF12" s="425"/>
      <c r="OFG12" s="425"/>
      <c r="OFH12" s="425"/>
      <c r="OFI12" s="425"/>
      <c r="OFJ12" s="425"/>
      <c r="OFK12" s="425"/>
      <c r="OFL12" s="425"/>
      <c r="OFM12" s="425"/>
      <c r="OFN12" s="425"/>
      <c r="OFO12" s="425"/>
      <c r="OFP12" s="425"/>
      <c r="OFQ12" s="425"/>
      <c r="OFR12" s="425"/>
      <c r="OFS12" s="425"/>
      <c r="OFT12" s="425"/>
      <c r="OFU12" s="425"/>
      <c r="OFV12" s="425"/>
      <c r="OFW12" s="425"/>
      <c r="OFX12" s="425"/>
      <c r="OFY12" s="425"/>
      <c r="OFZ12" s="425"/>
      <c r="OGA12" s="425"/>
      <c r="OGB12" s="425"/>
      <c r="OGC12" s="425"/>
      <c r="OGD12" s="425"/>
      <c r="OGE12" s="425"/>
      <c r="OGF12" s="425"/>
      <c r="OGG12" s="425"/>
      <c r="OGH12" s="425"/>
      <c r="OGI12" s="425"/>
      <c r="OGJ12" s="425"/>
      <c r="OGK12" s="425"/>
      <c r="OGL12" s="425"/>
      <c r="OGM12" s="425"/>
      <c r="OGN12" s="425"/>
      <c r="OGO12" s="425"/>
      <c r="OGP12" s="425"/>
      <c r="OGQ12" s="425"/>
      <c r="OGR12" s="425"/>
      <c r="OGS12" s="425"/>
      <c r="OGT12" s="425"/>
      <c r="OGU12" s="425"/>
      <c r="OGV12" s="425"/>
      <c r="OGW12" s="425"/>
      <c r="OGX12" s="425"/>
      <c r="OGY12" s="425"/>
      <c r="OGZ12" s="425"/>
      <c r="OHA12" s="425"/>
      <c r="OHB12" s="425"/>
      <c r="OHC12" s="425"/>
      <c r="OHD12" s="425"/>
      <c r="OHE12" s="425"/>
      <c r="OHF12" s="425"/>
      <c r="OHG12" s="425"/>
      <c r="OHH12" s="425"/>
      <c r="OHI12" s="425"/>
      <c r="OHJ12" s="425"/>
      <c r="OHK12" s="425"/>
      <c r="OHL12" s="425"/>
      <c r="OHM12" s="425"/>
      <c r="OHN12" s="425"/>
      <c r="OHO12" s="425"/>
      <c r="OHP12" s="425"/>
      <c r="OHQ12" s="425"/>
      <c r="OHR12" s="425"/>
      <c r="OHS12" s="425"/>
      <c r="OHT12" s="425"/>
      <c r="OHU12" s="425"/>
      <c r="OHV12" s="425"/>
      <c r="OHW12" s="425"/>
      <c r="OHX12" s="425"/>
      <c r="OHY12" s="425"/>
      <c r="OHZ12" s="425"/>
      <c r="OIA12" s="425"/>
      <c r="OIB12" s="425"/>
      <c r="OIC12" s="425"/>
      <c r="OID12" s="425"/>
      <c r="OIE12" s="425"/>
      <c r="OIF12" s="425"/>
      <c r="OIG12" s="425"/>
      <c r="OIH12" s="425"/>
      <c r="OII12" s="425"/>
      <c r="OIJ12" s="425"/>
      <c r="OIK12" s="425"/>
      <c r="OIL12" s="425"/>
      <c r="OIM12" s="425"/>
      <c r="OIN12" s="425"/>
      <c r="OIO12" s="425"/>
      <c r="OIP12" s="425"/>
      <c r="OIQ12" s="425"/>
      <c r="OIR12" s="425"/>
      <c r="OIS12" s="425"/>
      <c r="OIT12" s="425"/>
      <c r="OIU12" s="425"/>
      <c r="OIV12" s="425"/>
      <c r="OIW12" s="425"/>
      <c r="OIX12" s="425"/>
      <c r="OIY12" s="425"/>
      <c r="OIZ12" s="425"/>
      <c r="OJA12" s="425"/>
      <c r="OJB12" s="425"/>
      <c r="OJC12" s="425"/>
      <c r="OJD12" s="425"/>
      <c r="OJE12" s="425"/>
      <c r="OJF12" s="425"/>
      <c r="OJG12" s="425"/>
      <c r="OJH12" s="425"/>
      <c r="OJI12" s="425"/>
      <c r="OJJ12" s="425"/>
      <c r="OJK12" s="425"/>
      <c r="OJL12" s="425"/>
      <c r="OJM12" s="425"/>
      <c r="OJN12" s="425"/>
      <c r="OJO12" s="425"/>
      <c r="OJP12" s="425"/>
      <c r="OJQ12" s="425"/>
      <c r="OJR12" s="425"/>
      <c r="OJS12" s="425"/>
      <c r="OJT12" s="425"/>
      <c r="OJU12" s="425"/>
      <c r="OJV12" s="425"/>
      <c r="OJW12" s="425"/>
      <c r="OJX12" s="425"/>
      <c r="OJY12" s="425"/>
      <c r="OJZ12" s="425"/>
      <c r="OKA12" s="425"/>
      <c r="OKB12" s="425"/>
      <c r="OKC12" s="425"/>
      <c r="OKD12" s="425"/>
      <c r="OKE12" s="425"/>
      <c r="OKF12" s="425"/>
      <c r="OKG12" s="425"/>
      <c r="OKH12" s="425"/>
      <c r="OKI12" s="425"/>
      <c r="OKJ12" s="425"/>
      <c r="OKK12" s="425"/>
      <c r="OKL12" s="425"/>
      <c r="OKM12" s="425"/>
      <c r="OKN12" s="425"/>
      <c r="OKO12" s="425"/>
      <c r="OKP12" s="425"/>
      <c r="OKQ12" s="425"/>
      <c r="OKR12" s="425"/>
      <c r="OKS12" s="425"/>
      <c r="OKT12" s="425"/>
      <c r="OKU12" s="425"/>
      <c r="OKV12" s="425"/>
      <c r="OKW12" s="425"/>
      <c r="OKX12" s="425"/>
      <c r="OKY12" s="425"/>
      <c r="OKZ12" s="425"/>
      <c r="OLA12" s="425"/>
      <c r="OLB12" s="425"/>
      <c r="OLC12" s="425"/>
      <c r="OLD12" s="425"/>
      <c r="OLE12" s="425"/>
      <c r="OLF12" s="425"/>
      <c r="OLG12" s="425"/>
      <c r="OLH12" s="425"/>
      <c r="OLI12" s="425"/>
      <c r="OLJ12" s="425"/>
      <c r="OLK12" s="425"/>
      <c r="OLL12" s="425"/>
      <c r="OLM12" s="425"/>
      <c r="OLN12" s="425"/>
      <c r="OLO12" s="425"/>
      <c r="OLP12" s="425"/>
      <c r="OLQ12" s="425"/>
      <c r="OLR12" s="425"/>
      <c r="OLS12" s="425"/>
      <c r="OLT12" s="425"/>
      <c r="OLU12" s="425"/>
      <c r="OLV12" s="425"/>
      <c r="OLW12" s="425"/>
      <c r="OLX12" s="425"/>
      <c r="OLY12" s="425"/>
      <c r="OLZ12" s="425"/>
      <c r="OMA12" s="425"/>
      <c r="OMB12" s="425"/>
      <c r="OMC12" s="425"/>
      <c r="OMD12" s="425"/>
      <c r="OME12" s="425"/>
      <c r="OMF12" s="425"/>
      <c r="OMG12" s="425"/>
      <c r="OMH12" s="425"/>
      <c r="OMI12" s="425"/>
      <c r="OMJ12" s="425"/>
      <c r="OMK12" s="425"/>
      <c r="OML12" s="425"/>
      <c r="OMM12" s="425"/>
      <c r="OMN12" s="425"/>
      <c r="OMO12" s="425"/>
      <c r="OMP12" s="425"/>
      <c r="OMQ12" s="425"/>
      <c r="OMR12" s="425"/>
      <c r="OMS12" s="425"/>
      <c r="OMT12" s="425"/>
      <c r="OMU12" s="425"/>
      <c r="OMV12" s="425"/>
      <c r="OMW12" s="425"/>
      <c r="OMX12" s="425"/>
      <c r="OMY12" s="425"/>
      <c r="OMZ12" s="425"/>
      <c r="ONA12" s="425"/>
      <c r="ONB12" s="425"/>
      <c r="ONC12" s="425"/>
      <c r="OND12" s="425"/>
      <c r="ONE12" s="425"/>
      <c r="ONF12" s="425"/>
      <c r="ONG12" s="425"/>
      <c r="ONH12" s="425"/>
      <c r="ONI12" s="425"/>
      <c r="ONJ12" s="425"/>
      <c r="ONK12" s="425"/>
      <c r="ONL12" s="425"/>
      <c r="ONM12" s="425"/>
      <c r="ONN12" s="425"/>
      <c r="ONO12" s="425"/>
      <c r="ONP12" s="425"/>
      <c r="ONQ12" s="425"/>
      <c r="ONR12" s="425"/>
      <c r="ONS12" s="425"/>
      <c r="ONT12" s="425"/>
      <c r="ONU12" s="425"/>
      <c r="ONV12" s="425"/>
      <c r="ONW12" s="425"/>
      <c r="ONX12" s="425"/>
      <c r="ONY12" s="425"/>
      <c r="ONZ12" s="425"/>
      <c r="OOA12" s="425"/>
      <c r="OOB12" s="425"/>
      <c r="OOC12" s="425"/>
      <c r="OOD12" s="425"/>
      <c r="OOE12" s="425"/>
      <c r="OOF12" s="425"/>
      <c r="OOG12" s="425"/>
      <c r="OOH12" s="425"/>
      <c r="OOI12" s="425"/>
      <c r="OOJ12" s="425"/>
      <c r="OOK12" s="425"/>
      <c r="OOL12" s="425"/>
      <c r="OOM12" s="425"/>
      <c r="OON12" s="425"/>
      <c r="OOO12" s="425"/>
      <c r="OOP12" s="425"/>
      <c r="OOQ12" s="425"/>
      <c r="OOR12" s="425"/>
      <c r="OOS12" s="425"/>
      <c r="OOT12" s="425"/>
      <c r="OOU12" s="425"/>
      <c r="OOV12" s="425"/>
      <c r="OOW12" s="425"/>
      <c r="OOX12" s="425"/>
      <c r="OOY12" s="425"/>
      <c r="OOZ12" s="425"/>
      <c r="OPA12" s="425"/>
      <c r="OPB12" s="425"/>
      <c r="OPC12" s="425"/>
      <c r="OPD12" s="425"/>
      <c r="OPE12" s="425"/>
      <c r="OPF12" s="425"/>
      <c r="OPG12" s="425"/>
      <c r="OPH12" s="425"/>
      <c r="OPI12" s="425"/>
      <c r="OPJ12" s="425"/>
      <c r="OPK12" s="425"/>
      <c r="OPL12" s="425"/>
      <c r="OPM12" s="425"/>
      <c r="OPN12" s="425"/>
      <c r="OPO12" s="425"/>
      <c r="OPP12" s="425"/>
      <c r="OPQ12" s="425"/>
      <c r="OPR12" s="425"/>
      <c r="OPS12" s="425"/>
      <c r="OPT12" s="425"/>
      <c r="OPU12" s="425"/>
      <c r="OPV12" s="425"/>
      <c r="OPW12" s="425"/>
      <c r="OPX12" s="425"/>
      <c r="OPY12" s="425"/>
      <c r="OPZ12" s="425"/>
      <c r="OQA12" s="425"/>
      <c r="OQB12" s="425"/>
      <c r="OQC12" s="425"/>
      <c r="OQD12" s="425"/>
      <c r="OQE12" s="425"/>
      <c r="OQF12" s="425"/>
      <c r="OQG12" s="425"/>
      <c r="OQH12" s="425"/>
      <c r="OQI12" s="425"/>
      <c r="OQJ12" s="425"/>
      <c r="OQK12" s="425"/>
      <c r="OQL12" s="425"/>
      <c r="OQM12" s="425"/>
      <c r="OQN12" s="425"/>
      <c r="OQO12" s="425"/>
      <c r="OQP12" s="425"/>
      <c r="OQQ12" s="425"/>
      <c r="OQR12" s="425"/>
      <c r="OQS12" s="425"/>
      <c r="OQT12" s="425"/>
      <c r="OQU12" s="425"/>
      <c r="OQV12" s="425"/>
      <c r="OQW12" s="425"/>
      <c r="OQX12" s="425"/>
      <c r="OQY12" s="425"/>
      <c r="OQZ12" s="425"/>
      <c r="ORA12" s="425"/>
      <c r="ORB12" s="425"/>
      <c r="ORC12" s="425"/>
      <c r="ORD12" s="425"/>
      <c r="ORE12" s="425"/>
      <c r="ORF12" s="425"/>
      <c r="ORG12" s="425"/>
      <c r="ORH12" s="425"/>
      <c r="ORI12" s="425"/>
      <c r="ORJ12" s="425"/>
      <c r="ORK12" s="425"/>
      <c r="ORL12" s="425"/>
      <c r="ORM12" s="425"/>
      <c r="ORN12" s="425"/>
      <c r="ORO12" s="425"/>
      <c r="ORP12" s="425"/>
      <c r="ORQ12" s="425"/>
      <c r="ORR12" s="425"/>
      <c r="ORS12" s="425"/>
      <c r="ORT12" s="425"/>
      <c r="ORU12" s="425"/>
      <c r="ORV12" s="425"/>
      <c r="ORW12" s="425"/>
      <c r="ORX12" s="425"/>
      <c r="ORY12" s="425"/>
      <c r="ORZ12" s="425"/>
      <c r="OSA12" s="425"/>
      <c r="OSB12" s="425"/>
      <c r="OSC12" s="425"/>
      <c r="OSD12" s="425"/>
      <c r="OSE12" s="425"/>
      <c r="OSF12" s="425"/>
      <c r="OSG12" s="425"/>
      <c r="OSH12" s="425"/>
      <c r="OSI12" s="425"/>
      <c r="OSJ12" s="425"/>
      <c r="OSK12" s="425"/>
      <c r="OSL12" s="425"/>
      <c r="OSM12" s="425"/>
      <c r="OSN12" s="425"/>
      <c r="OSO12" s="425"/>
      <c r="OSP12" s="425"/>
      <c r="OSQ12" s="425"/>
      <c r="OSR12" s="425"/>
      <c r="OSS12" s="425"/>
      <c r="OST12" s="425"/>
      <c r="OSU12" s="425"/>
      <c r="OSV12" s="425"/>
      <c r="OSW12" s="425"/>
      <c r="OSX12" s="425"/>
      <c r="OSY12" s="425"/>
      <c r="OSZ12" s="425"/>
      <c r="OTA12" s="425"/>
      <c r="OTB12" s="425"/>
      <c r="OTC12" s="425"/>
      <c r="OTD12" s="425"/>
      <c r="OTE12" s="425"/>
      <c r="OTF12" s="425"/>
      <c r="OTG12" s="425"/>
      <c r="OTH12" s="425"/>
      <c r="OTI12" s="425"/>
      <c r="OTJ12" s="425"/>
      <c r="OTK12" s="425"/>
      <c r="OTL12" s="425"/>
      <c r="OTM12" s="425"/>
      <c r="OTN12" s="425"/>
      <c r="OTO12" s="425"/>
      <c r="OTP12" s="425"/>
      <c r="OTQ12" s="425"/>
      <c r="OTR12" s="425"/>
      <c r="OTS12" s="425"/>
      <c r="OTT12" s="425"/>
      <c r="OTU12" s="425"/>
      <c r="OTV12" s="425"/>
      <c r="OTW12" s="425"/>
      <c r="OTX12" s="425"/>
      <c r="OTY12" s="425"/>
      <c r="OTZ12" s="425"/>
      <c r="OUA12" s="425"/>
      <c r="OUB12" s="425"/>
      <c r="OUC12" s="425"/>
      <c r="OUD12" s="425"/>
      <c r="OUE12" s="425"/>
      <c r="OUF12" s="425"/>
      <c r="OUG12" s="425"/>
      <c r="OUH12" s="425"/>
      <c r="OUI12" s="425"/>
      <c r="OUJ12" s="425"/>
      <c r="OUK12" s="425"/>
      <c r="OUL12" s="425"/>
      <c r="OUM12" s="425"/>
      <c r="OUN12" s="425"/>
      <c r="OUO12" s="425"/>
      <c r="OUP12" s="425"/>
      <c r="OUQ12" s="425"/>
      <c r="OUR12" s="425"/>
      <c r="OUS12" s="425"/>
      <c r="OUT12" s="425"/>
      <c r="OUU12" s="425"/>
      <c r="OUV12" s="425"/>
      <c r="OUW12" s="425"/>
      <c r="OUX12" s="425"/>
      <c r="OUY12" s="425"/>
      <c r="OUZ12" s="425"/>
      <c r="OVA12" s="425"/>
      <c r="OVB12" s="425"/>
      <c r="OVC12" s="425"/>
      <c r="OVD12" s="425"/>
      <c r="OVE12" s="425"/>
      <c r="OVF12" s="425"/>
      <c r="OVG12" s="425"/>
      <c r="OVH12" s="425"/>
      <c r="OVI12" s="425"/>
      <c r="OVJ12" s="425"/>
      <c r="OVK12" s="425"/>
      <c r="OVL12" s="425"/>
      <c r="OVM12" s="425"/>
      <c r="OVN12" s="425"/>
      <c r="OVO12" s="425"/>
      <c r="OVP12" s="425"/>
      <c r="OVQ12" s="425"/>
      <c r="OVR12" s="425"/>
      <c r="OVS12" s="425"/>
      <c r="OVT12" s="425"/>
      <c r="OVU12" s="425"/>
      <c r="OVV12" s="425"/>
      <c r="OVW12" s="425"/>
      <c r="OVX12" s="425"/>
      <c r="OVY12" s="425"/>
      <c r="OVZ12" s="425"/>
      <c r="OWA12" s="425"/>
      <c r="OWB12" s="425"/>
      <c r="OWC12" s="425"/>
      <c r="OWD12" s="425"/>
      <c r="OWE12" s="425"/>
      <c r="OWF12" s="425"/>
      <c r="OWG12" s="425"/>
      <c r="OWH12" s="425"/>
      <c r="OWI12" s="425"/>
      <c r="OWJ12" s="425"/>
      <c r="OWK12" s="425"/>
      <c r="OWL12" s="425"/>
      <c r="OWM12" s="425"/>
      <c r="OWN12" s="425"/>
      <c r="OWO12" s="425"/>
      <c r="OWP12" s="425"/>
      <c r="OWQ12" s="425"/>
      <c r="OWR12" s="425"/>
      <c r="OWS12" s="425"/>
      <c r="OWT12" s="425"/>
      <c r="OWU12" s="425"/>
      <c r="OWV12" s="425"/>
      <c r="OWW12" s="425"/>
      <c r="OWX12" s="425"/>
      <c r="OWY12" s="425"/>
      <c r="OWZ12" s="425"/>
      <c r="OXA12" s="425"/>
      <c r="OXB12" s="425"/>
      <c r="OXC12" s="425"/>
      <c r="OXD12" s="425"/>
      <c r="OXE12" s="425"/>
      <c r="OXF12" s="425"/>
      <c r="OXG12" s="425"/>
      <c r="OXH12" s="425"/>
      <c r="OXI12" s="425"/>
      <c r="OXJ12" s="425"/>
      <c r="OXK12" s="425"/>
      <c r="OXL12" s="425"/>
      <c r="OXM12" s="425"/>
      <c r="OXN12" s="425"/>
      <c r="OXO12" s="425"/>
      <c r="OXP12" s="425"/>
      <c r="OXQ12" s="425"/>
      <c r="OXR12" s="425"/>
      <c r="OXS12" s="425"/>
      <c r="OXT12" s="425"/>
      <c r="OXU12" s="425"/>
      <c r="OXV12" s="425"/>
      <c r="OXW12" s="425"/>
      <c r="OXX12" s="425"/>
      <c r="OXY12" s="425"/>
      <c r="OXZ12" s="425"/>
      <c r="OYA12" s="425"/>
      <c r="OYB12" s="425"/>
      <c r="OYC12" s="425"/>
      <c r="OYD12" s="425"/>
      <c r="OYE12" s="425"/>
      <c r="OYF12" s="425"/>
      <c r="OYG12" s="425"/>
      <c r="OYH12" s="425"/>
      <c r="OYI12" s="425"/>
      <c r="OYJ12" s="425"/>
      <c r="OYK12" s="425"/>
      <c r="OYL12" s="425"/>
      <c r="OYM12" s="425"/>
      <c r="OYN12" s="425"/>
      <c r="OYO12" s="425"/>
      <c r="OYP12" s="425"/>
      <c r="OYQ12" s="425"/>
      <c r="OYR12" s="425"/>
      <c r="OYS12" s="425"/>
      <c r="OYT12" s="425"/>
      <c r="OYU12" s="425"/>
      <c r="OYV12" s="425"/>
      <c r="OYW12" s="425"/>
      <c r="OYX12" s="425"/>
      <c r="OYY12" s="425"/>
      <c r="OYZ12" s="425"/>
      <c r="OZA12" s="425"/>
      <c r="OZB12" s="425"/>
      <c r="OZC12" s="425"/>
      <c r="OZD12" s="425"/>
      <c r="OZE12" s="425"/>
      <c r="OZF12" s="425"/>
      <c r="OZG12" s="425"/>
      <c r="OZH12" s="425"/>
      <c r="OZI12" s="425"/>
      <c r="OZJ12" s="425"/>
      <c r="OZK12" s="425"/>
      <c r="OZL12" s="425"/>
      <c r="OZM12" s="425"/>
      <c r="OZN12" s="425"/>
      <c r="OZO12" s="425"/>
      <c r="OZP12" s="425"/>
      <c r="OZQ12" s="425"/>
      <c r="OZR12" s="425"/>
      <c r="OZS12" s="425"/>
      <c r="OZT12" s="425"/>
      <c r="OZU12" s="425"/>
      <c r="OZV12" s="425"/>
      <c r="OZW12" s="425"/>
      <c r="OZX12" s="425"/>
      <c r="OZY12" s="425"/>
      <c r="OZZ12" s="425"/>
      <c r="PAA12" s="425"/>
      <c r="PAB12" s="425"/>
      <c r="PAC12" s="425"/>
      <c r="PAD12" s="425"/>
      <c r="PAE12" s="425"/>
      <c r="PAF12" s="425"/>
      <c r="PAG12" s="425"/>
      <c r="PAH12" s="425"/>
      <c r="PAI12" s="425"/>
      <c r="PAJ12" s="425"/>
      <c r="PAK12" s="425"/>
      <c r="PAL12" s="425"/>
      <c r="PAM12" s="425"/>
      <c r="PAN12" s="425"/>
      <c r="PAO12" s="425"/>
      <c r="PAP12" s="425"/>
      <c r="PAQ12" s="425"/>
      <c r="PAR12" s="425"/>
      <c r="PAS12" s="425"/>
      <c r="PAT12" s="425"/>
      <c r="PAU12" s="425"/>
      <c r="PAV12" s="425"/>
      <c r="PAW12" s="425"/>
      <c r="PAX12" s="425"/>
      <c r="PAY12" s="425"/>
      <c r="PAZ12" s="425"/>
      <c r="PBA12" s="425"/>
      <c r="PBB12" s="425"/>
      <c r="PBC12" s="425"/>
      <c r="PBD12" s="425"/>
      <c r="PBE12" s="425"/>
      <c r="PBF12" s="425"/>
      <c r="PBG12" s="425"/>
      <c r="PBH12" s="425"/>
      <c r="PBI12" s="425"/>
      <c r="PBJ12" s="425"/>
      <c r="PBK12" s="425"/>
      <c r="PBL12" s="425"/>
      <c r="PBM12" s="425"/>
      <c r="PBN12" s="425"/>
      <c r="PBO12" s="425"/>
      <c r="PBP12" s="425"/>
      <c r="PBQ12" s="425"/>
      <c r="PBR12" s="425"/>
      <c r="PBS12" s="425"/>
      <c r="PBT12" s="425"/>
      <c r="PBU12" s="425"/>
      <c r="PBV12" s="425"/>
      <c r="PBW12" s="425"/>
      <c r="PBX12" s="425"/>
      <c r="PBY12" s="425"/>
      <c r="PBZ12" s="425"/>
      <c r="PCA12" s="425"/>
      <c r="PCB12" s="425"/>
      <c r="PCC12" s="425"/>
      <c r="PCD12" s="425"/>
      <c r="PCE12" s="425"/>
      <c r="PCF12" s="425"/>
      <c r="PCG12" s="425"/>
      <c r="PCH12" s="425"/>
      <c r="PCI12" s="425"/>
      <c r="PCJ12" s="425"/>
      <c r="PCK12" s="425"/>
      <c r="PCL12" s="425"/>
      <c r="PCM12" s="425"/>
      <c r="PCN12" s="425"/>
      <c r="PCO12" s="425"/>
      <c r="PCP12" s="425"/>
      <c r="PCQ12" s="425"/>
      <c r="PCR12" s="425"/>
      <c r="PCS12" s="425"/>
      <c r="PCT12" s="425"/>
      <c r="PCU12" s="425"/>
      <c r="PCV12" s="425"/>
      <c r="PCW12" s="425"/>
      <c r="PCX12" s="425"/>
      <c r="PCY12" s="425"/>
      <c r="PCZ12" s="425"/>
      <c r="PDA12" s="425"/>
      <c r="PDB12" s="425"/>
      <c r="PDC12" s="425"/>
      <c r="PDD12" s="425"/>
      <c r="PDE12" s="425"/>
      <c r="PDF12" s="425"/>
      <c r="PDG12" s="425"/>
      <c r="PDH12" s="425"/>
      <c r="PDI12" s="425"/>
      <c r="PDJ12" s="425"/>
      <c r="PDK12" s="425"/>
      <c r="PDL12" s="425"/>
      <c r="PDM12" s="425"/>
      <c r="PDN12" s="425"/>
      <c r="PDO12" s="425"/>
      <c r="PDP12" s="425"/>
      <c r="PDQ12" s="425"/>
      <c r="PDR12" s="425"/>
      <c r="PDS12" s="425"/>
      <c r="PDT12" s="425"/>
      <c r="PDU12" s="425"/>
      <c r="PDV12" s="425"/>
      <c r="PDW12" s="425"/>
      <c r="PDX12" s="425"/>
      <c r="PDY12" s="425"/>
      <c r="PDZ12" s="425"/>
      <c r="PEA12" s="425"/>
      <c r="PEB12" s="425"/>
      <c r="PEC12" s="425"/>
      <c r="PED12" s="425"/>
      <c r="PEE12" s="425"/>
      <c r="PEF12" s="425"/>
      <c r="PEG12" s="425"/>
      <c r="PEH12" s="425"/>
      <c r="PEI12" s="425"/>
      <c r="PEJ12" s="425"/>
      <c r="PEK12" s="425"/>
      <c r="PEL12" s="425"/>
      <c r="PEM12" s="425"/>
      <c r="PEN12" s="425"/>
      <c r="PEO12" s="425"/>
      <c r="PEP12" s="425"/>
      <c r="PEQ12" s="425"/>
      <c r="PER12" s="425"/>
      <c r="PES12" s="425"/>
      <c r="PET12" s="425"/>
      <c r="PEU12" s="425"/>
      <c r="PEV12" s="425"/>
      <c r="PEW12" s="425"/>
      <c r="PEX12" s="425"/>
      <c r="PEY12" s="425"/>
      <c r="PEZ12" s="425"/>
      <c r="PFA12" s="425"/>
      <c r="PFB12" s="425"/>
      <c r="PFC12" s="425"/>
      <c r="PFD12" s="425"/>
      <c r="PFE12" s="425"/>
      <c r="PFF12" s="425"/>
      <c r="PFG12" s="425"/>
      <c r="PFH12" s="425"/>
      <c r="PFI12" s="425"/>
      <c r="PFJ12" s="425"/>
      <c r="PFK12" s="425"/>
      <c r="PFL12" s="425"/>
      <c r="PFM12" s="425"/>
      <c r="PFN12" s="425"/>
      <c r="PFO12" s="425"/>
      <c r="PFP12" s="425"/>
      <c r="PFQ12" s="425"/>
      <c r="PFR12" s="425"/>
      <c r="PFS12" s="425"/>
      <c r="PFT12" s="425"/>
      <c r="PFU12" s="425"/>
      <c r="PFV12" s="425"/>
      <c r="PFW12" s="425"/>
      <c r="PFX12" s="425"/>
      <c r="PFY12" s="425"/>
      <c r="PFZ12" s="425"/>
      <c r="PGA12" s="425"/>
      <c r="PGB12" s="425"/>
      <c r="PGC12" s="425"/>
      <c r="PGD12" s="425"/>
      <c r="PGE12" s="425"/>
      <c r="PGF12" s="425"/>
      <c r="PGG12" s="425"/>
      <c r="PGH12" s="425"/>
      <c r="PGI12" s="425"/>
      <c r="PGJ12" s="425"/>
      <c r="PGK12" s="425"/>
      <c r="PGL12" s="425"/>
      <c r="PGM12" s="425"/>
      <c r="PGN12" s="425"/>
      <c r="PGO12" s="425"/>
      <c r="PGP12" s="425"/>
      <c r="PGQ12" s="425"/>
      <c r="PGR12" s="425"/>
      <c r="PGS12" s="425"/>
      <c r="PGT12" s="425"/>
      <c r="PGU12" s="425"/>
      <c r="PGV12" s="425"/>
      <c r="PGW12" s="425"/>
      <c r="PGX12" s="425"/>
      <c r="PGY12" s="425"/>
      <c r="PGZ12" s="425"/>
      <c r="PHA12" s="425"/>
      <c r="PHB12" s="425"/>
      <c r="PHC12" s="425"/>
      <c r="PHD12" s="425"/>
      <c r="PHE12" s="425"/>
      <c r="PHF12" s="425"/>
      <c r="PHG12" s="425"/>
      <c r="PHH12" s="425"/>
      <c r="PHI12" s="425"/>
      <c r="PHJ12" s="425"/>
      <c r="PHK12" s="425"/>
      <c r="PHL12" s="425"/>
      <c r="PHM12" s="425"/>
      <c r="PHN12" s="425"/>
      <c r="PHO12" s="425"/>
      <c r="PHP12" s="425"/>
      <c r="PHQ12" s="425"/>
      <c r="PHR12" s="425"/>
      <c r="PHS12" s="425"/>
      <c r="PHT12" s="425"/>
      <c r="PHU12" s="425"/>
      <c r="PHV12" s="425"/>
      <c r="PHW12" s="425"/>
      <c r="PHX12" s="425"/>
      <c r="PHY12" s="425"/>
      <c r="PHZ12" s="425"/>
      <c r="PIA12" s="425"/>
      <c r="PIB12" s="425"/>
      <c r="PIC12" s="425"/>
      <c r="PID12" s="425"/>
      <c r="PIE12" s="425"/>
      <c r="PIF12" s="425"/>
      <c r="PIG12" s="425"/>
      <c r="PIH12" s="425"/>
      <c r="PII12" s="425"/>
      <c r="PIJ12" s="425"/>
      <c r="PIK12" s="425"/>
      <c r="PIL12" s="425"/>
      <c r="PIM12" s="425"/>
      <c r="PIN12" s="425"/>
      <c r="PIO12" s="425"/>
      <c r="PIP12" s="425"/>
      <c r="PIQ12" s="425"/>
      <c r="PIR12" s="425"/>
      <c r="PIS12" s="425"/>
      <c r="PIT12" s="425"/>
      <c r="PIU12" s="425"/>
      <c r="PIV12" s="425"/>
      <c r="PIW12" s="425"/>
      <c r="PIX12" s="425"/>
      <c r="PIY12" s="425"/>
      <c r="PIZ12" s="425"/>
      <c r="PJA12" s="425"/>
      <c r="PJB12" s="425"/>
      <c r="PJC12" s="425"/>
      <c r="PJD12" s="425"/>
      <c r="PJE12" s="425"/>
      <c r="PJF12" s="425"/>
      <c r="PJG12" s="425"/>
      <c r="PJH12" s="425"/>
      <c r="PJI12" s="425"/>
      <c r="PJJ12" s="425"/>
      <c r="PJK12" s="425"/>
      <c r="PJL12" s="425"/>
      <c r="PJM12" s="425"/>
      <c r="PJN12" s="425"/>
      <c r="PJO12" s="425"/>
      <c r="PJP12" s="425"/>
      <c r="PJQ12" s="425"/>
      <c r="PJR12" s="425"/>
      <c r="PJS12" s="425"/>
      <c r="PJT12" s="425"/>
      <c r="PJU12" s="425"/>
      <c r="PJV12" s="425"/>
      <c r="PJW12" s="425"/>
      <c r="PJX12" s="425"/>
      <c r="PJY12" s="425"/>
      <c r="PJZ12" s="425"/>
      <c r="PKA12" s="425"/>
      <c r="PKB12" s="425"/>
      <c r="PKC12" s="425"/>
      <c r="PKD12" s="425"/>
      <c r="PKE12" s="425"/>
      <c r="PKF12" s="425"/>
      <c r="PKG12" s="425"/>
      <c r="PKH12" s="425"/>
      <c r="PKI12" s="425"/>
      <c r="PKJ12" s="425"/>
      <c r="PKK12" s="425"/>
      <c r="PKL12" s="425"/>
      <c r="PKM12" s="425"/>
      <c r="PKN12" s="425"/>
      <c r="PKO12" s="425"/>
      <c r="PKP12" s="425"/>
      <c r="PKQ12" s="425"/>
      <c r="PKR12" s="425"/>
      <c r="PKS12" s="425"/>
      <c r="PKT12" s="425"/>
      <c r="PKU12" s="425"/>
      <c r="PKV12" s="425"/>
      <c r="PKW12" s="425"/>
      <c r="PKX12" s="425"/>
      <c r="PKY12" s="425"/>
      <c r="PKZ12" s="425"/>
      <c r="PLA12" s="425"/>
      <c r="PLB12" s="425"/>
      <c r="PLC12" s="425"/>
      <c r="PLD12" s="425"/>
      <c r="PLE12" s="425"/>
      <c r="PLF12" s="425"/>
      <c r="PLG12" s="425"/>
      <c r="PLH12" s="425"/>
      <c r="PLI12" s="425"/>
      <c r="PLJ12" s="425"/>
      <c r="PLK12" s="425"/>
      <c r="PLL12" s="425"/>
      <c r="PLM12" s="425"/>
      <c r="PLN12" s="425"/>
      <c r="PLO12" s="425"/>
      <c r="PLP12" s="425"/>
      <c r="PLQ12" s="425"/>
      <c r="PLR12" s="425"/>
      <c r="PLS12" s="425"/>
      <c r="PLT12" s="425"/>
      <c r="PLU12" s="425"/>
      <c r="PLV12" s="425"/>
      <c r="PLW12" s="425"/>
      <c r="PLX12" s="425"/>
      <c r="PLY12" s="425"/>
      <c r="PLZ12" s="425"/>
      <c r="PMA12" s="425"/>
      <c r="PMB12" s="425"/>
      <c r="PMC12" s="425"/>
      <c r="PMD12" s="425"/>
      <c r="PME12" s="425"/>
      <c r="PMF12" s="425"/>
      <c r="PMG12" s="425"/>
      <c r="PMH12" s="425"/>
      <c r="PMI12" s="425"/>
      <c r="PMJ12" s="425"/>
      <c r="PMK12" s="425"/>
      <c r="PML12" s="425"/>
      <c r="PMM12" s="425"/>
      <c r="PMN12" s="425"/>
      <c r="PMO12" s="425"/>
      <c r="PMP12" s="425"/>
      <c r="PMQ12" s="425"/>
      <c r="PMR12" s="425"/>
      <c r="PMS12" s="425"/>
      <c r="PMT12" s="425"/>
      <c r="PMU12" s="425"/>
      <c r="PMV12" s="425"/>
      <c r="PMW12" s="425"/>
      <c r="PMX12" s="425"/>
      <c r="PMY12" s="425"/>
      <c r="PMZ12" s="425"/>
      <c r="PNA12" s="425"/>
      <c r="PNB12" s="425"/>
      <c r="PNC12" s="425"/>
      <c r="PND12" s="425"/>
      <c r="PNE12" s="425"/>
      <c r="PNF12" s="425"/>
      <c r="PNG12" s="425"/>
      <c r="PNH12" s="425"/>
      <c r="PNI12" s="425"/>
      <c r="PNJ12" s="425"/>
      <c r="PNK12" s="425"/>
      <c r="PNL12" s="425"/>
      <c r="PNM12" s="425"/>
      <c r="PNN12" s="425"/>
      <c r="PNO12" s="425"/>
      <c r="PNP12" s="425"/>
      <c r="PNQ12" s="425"/>
      <c r="PNR12" s="425"/>
      <c r="PNS12" s="425"/>
      <c r="PNT12" s="425"/>
      <c r="PNU12" s="425"/>
      <c r="PNV12" s="425"/>
      <c r="PNW12" s="425"/>
      <c r="PNX12" s="425"/>
      <c r="PNY12" s="425"/>
      <c r="PNZ12" s="425"/>
      <c r="POA12" s="425"/>
      <c r="POB12" s="425"/>
      <c r="POC12" s="425"/>
      <c r="POD12" s="425"/>
      <c r="POE12" s="425"/>
      <c r="POF12" s="425"/>
      <c r="POG12" s="425"/>
      <c r="POH12" s="425"/>
      <c r="POI12" s="425"/>
      <c r="POJ12" s="425"/>
      <c r="POK12" s="425"/>
      <c r="POL12" s="425"/>
      <c r="POM12" s="425"/>
      <c r="PON12" s="425"/>
      <c r="POO12" s="425"/>
      <c r="POP12" s="425"/>
      <c r="POQ12" s="425"/>
      <c r="POR12" s="425"/>
      <c r="POS12" s="425"/>
      <c r="POT12" s="425"/>
      <c r="POU12" s="425"/>
      <c r="POV12" s="425"/>
      <c r="POW12" s="425"/>
      <c r="POX12" s="425"/>
      <c r="POY12" s="425"/>
      <c r="POZ12" s="425"/>
      <c r="PPA12" s="425"/>
      <c r="PPB12" s="425"/>
      <c r="PPC12" s="425"/>
      <c r="PPD12" s="425"/>
      <c r="PPE12" s="425"/>
      <c r="PPF12" s="425"/>
      <c r="PPG12" s="425"/>
      <c r="PPH12" s="425"/>
      <c r="PPI12" s="425"/>
      <c r="PPJ12" s="425"/>
      <c r="PPK12" s="425"/>
      <c r="PPL12" s="425"/>
      <c r="PPM12" s="425"/>
      <c r="PPN12" s="425"/>
      <c r="PPO12" s="425"/>
      <c r="PPP12" s="425"/>
      <c r="PPQ12" s="425"/>
      <c r="PPR12" s="425"/>
      <c r="PPS12" s="425"/>
      <c r="PPT12" s="425"/>
      <c r="PPU12" s="425"/>
      <c r="PPV12" s="425"/>
      <c r="PPW12" s="425"/>
      <c r="PPX12" s="425"/>
      <c r="PPY12" s="425"/>
      <c r="PPZ12" s="425"/>
      <c r="PQA12" s="425"/>
      <c r="PQB12" s="425"/>
      <c r="PQC12" s="425"/>
      <c r="PQD12" s="425"/>
      <c r="PQE12" s="425"/>
      <c r="PQF12" s="425"/>
      <c r="PQG12" s="425"/>
      <c r="PQH12" s="425"/>
      <c r="PQI12" s="425"/>
      <c r="PQJ12" s="425"/>
      <c r="PQK12" s="425"/>
      <c r="PQL12" s="425"/>
      <c r="PQM12" s="425"/>
      <c r="PQN12" s="425"/>
      <c r="PQO12" s="425"/>
      <c r="PQP12" s="425"/>
      <c r="PQQ12" s="425"/>
      <c r="PQR12" s="425"/>
      <c r="PQS12" s="425"/>
      <c r="PQT12" s="425"/>
      <c r="PQU12" s="425"/>
      <c r="PQV12" s="425"/>
      <c r="PQW12" s="425"/>
      <c r="PQX12" s="425"/>
      <c r="PQY12" s="425"/>
      <c r="PQZ12" s="425"/>
      <c r="PRA12" s="425"/>
      <c r="PRB12" s="425"/>
      <c r="PRC12" s="425"/>
      <c r="PRD12" s="425"/>
      <c r="PRE12" s="425"/>
      <c r="PRF12" s="425"/>
      <c r="PRG12" s="425"/>
      <c r="PRH12" s="425"/>
      <c r="PRI12" s="425"/>
      <c r="PRJ12" s="425"/>
      <c r="PRK12" s="425"/>
      <c r="PRL12" s="425"/>
      <c r="PRM12" s="425"/>
      <c r="PRN12" s="425"/>
      <c r="PRO12" s="425"/>
      <c r="PRP12" s="425"/>
      <c r="PRQ12" s="425"/>
      <c r="PRR12" s="425"/>
      <c r="PRS12" s="425"/>
      <c r="PRT12" s="425"/>
      <c r="PRU12" s="425"/>
      <c r="PRV12" s="425"/>
      <c r="PRW12" s="425"/>
      <c r="PRX12" s="425"/>
      <c r="PRY12" s="425"/>
      <c r="PRZ12" s="425"/>
      <c r="PSA12" s="425"/>
      <c r="PSB12" s="425"/>
      <c r="PSC12" s="425"/>
      <c r="PSD12" s="425"/>
      <c r="PSE12" s="425"/>
      <c r="PSF12" s="425"/>
      <c r="PSG12" s="425"/>
      <c r="PSH12" s="425"/>
      <c r="PSI12" s="425"/>
      <c r="PSJ12" s="425"/>
      <c r="PSK12" s="425"/>
      <c r="PSL12" s="425"/>
      <c r="PSM12" s="425"/>
      <c r="PSN12" s="425"/>
      <c r="PSO12" s="425"/>
      <c r="PSP12" s="425"/>
      <c r="PSQ12" s="425"/>
      <c r="PSR12" s="425"/>
      <c r="PSS12" s="425"/>
      <c r="PST12" s="425"/>
      <c r="PSU12" s="425"/>
      <c r="PSV12" s="425"/>
      <c r="PSW12" s="425"/>
      <c r="PSX12" s="425"/>
      <c r="PSY12" s="425"/>
      <c r="PSZ12" s="425"/>
      <c r="PTA12" s="425"/>
      <c r="PTB12" s="425"/>
      <c r="PTC12" s="425"/>
      <c r="PTD12" s="425"/>
      <c r="PTE12" s="425"/>
      <c r="PTF12" s="425"/>
      <c r="PTG12" s="425"/>
      <c r="PTH12" s="425"/>
      <c r="PTI12" s="425"/>
      <c r="PTJ12" s="425"/>
      <c r="PTK12" s="425"/>
      <c r="PTL12" s="425"/>
      <c r="PTM12" s="425"/>
      <c r="PTN12" s="425"/>
      <c r="PTO12" s="425"/>
      <c r="PTP12" s="425"/>
      <c r="PTQ12" s="425"/>
      <c r="PTR12" s="425"/>
      <c r="PTS12" s="425"/>
      <c r="PTT12" s="425"/>
      <c r="PTU12" s="425"/>
      <c r="PTV12" s="425"/>
      <c r="PTW12" s="425"/>
      <c r="PTX12" s="425"/>
      <c r="PTY12" s="425"/>
      <c r="PTZ12" s="425"/>
      <c r="PUA12" s="425"/>
      <c r="PUB12" s="425"/>
      <c r="PUC12" s="425"/>
      <c r="PUD12" s="425"/>
      <c r="PUE12" s="425"/>
      <c r="PUF12" s="425"/>
      <c r="PUG12" s="425"/>
      <c r="PUH12" s="425"/>
      <c r="PUI12" s="425"/>
      <c r="PUJ12" s="425"/>
      <c r="PUK12" s="425"/>
      <c r="PUL12" s="425"/>
      <c r="PUM12" s="425"/>
      <c r="PUN12" s="425"/>
      <c r="PUO12" s="425"/>
      <c r="PUP12" s="425"/>
      <c r="PUQ12" s="425"/>
      <c r="PUR12" s="425"/>
      <c r="PUS12" s="425"/>
      <c r="PUT12" s="425"/>
      <c r="PUU12" s="425"/>
      <c r="PUV12" s="425"/>
      <c r="PUW12" s="425"/>
      <c r="PUX12" s="425"/>
      <c r="PUY12" s="425"/>
      <c r="PUZ12" s="425"/>
      <c r="PVA12" s="425"/>
      <c r="PVB12" s="425"/>
      <c r="PVC12" s="425"/>
      <c r="PVD12" s="425"/>
      <c r="PVE12" s="425"/>
      <c r="PVF12" s="425"/>
      <c r="PVG12" s="425"/>
      <c r="PVH12" s="425"/>
      <c r="PVI12" s="425"/>
      <c r="PVJ12" s="425"/>
      <c r="PVK12" s="425"/>
      <c r="PVL12" s="425"/>
      <c r="PVM12" s="425"/>
      <c r="PVN12" s="425"/>
      <c r="PVO12" s="425"/>
      <c r="PVP12" s="425"/>
      <c r="PVQ12" s="425"/>
      <c r="PVR12" s="425"/>
      <c r="PVS12" s="425"/>
      <c r="PVT12" s="425"/>
      <c r="PVU12" s="425"/>
      <c r="PVV12" s="425"/>
      <c r="PVW12" s="425"/>
      <c r="PVX12" s="425"/>
      <c r="PVY12" s="425"/>
      <c r="PVZ12" s="425"/>
      <c r="PWA12" s="425"/>
      <c r="PWB12" s="425"/>
      <c r="PWC12" s="425"/>
      <c r="PWD12" s="425"/>
      <c r="PWE12" s="425"/>
      <c r="PWF12" s="425"/>
      <c r="PWG12" s="425"/>
      <c r="PWH12" s="425"/>
      <c r="PWI12" s="425"/>
      <c r="PWJ12" s="425"/>
      <c r="PWK12" s="425"/>
      <c r="PWL12" s="425"/>
      <c r="PWM12" s="425"/>
      <c r="PWN12" s="425"/>
      <c r="PWO12" s="425"/>
      <c r="PWP12" s="425"/>
      <c r="PWQ12" s="425"/>
      <c r="PWR12" s="425"/>
      <c r="PWS12" s="425"/>
      <c r="PWT12" s="425"/>
      <c r="PWU12" s="425"/>
      <c r="PWV12" s="425"/>
      <c r="PWW12" s="425"/>
      <c r="PWX12" s="425"/>
      <c r="PWY12" s="425"/>
      <c r="PWZ12" s="425"/>
      <c r="PXA12" s="425"/>
      <c r="PXB12" s="425"/>
      <c r="PXC12" s="425"/>
      <c r="PXD12" s="425"/>
      <c r="PXE12" s="425"/>
      <c r="PXF12" s="425"/>
      <c r="PXG12" s="425"/>
      <c r="PXH12" s="425"/>
      <c r="PXI12" s="425"/>
      <c r="PXJ12" s="425"/>
      <c r="PXK12" s="425"/>
      <c r="PXL12" s="425"/>
      <c r="PXM12" s="425"/>
      <c r="PXN12" s="425"/>
      <c r="PXO12" s="425"/>
      <c r="PXP12" s="425"/>
      <c r="PXQ12" s="425"/>
      <c r="PXR12" s="425"/>
      <c r="PXS12" s="425"/>
      <c r="PXT12" s="425"/>
      <c r="PXU12" s="425"/>
      <c r="PXV12" s="425"/>
      <c r="PXW12" s="425"/>
      <c r="PXX12" s="425"/>
      <c r="PXY12" s="425"/>
      <c r="PXZ12" s="425"/>
      <c r="PYA12" s="425"/>
      <c r="PYB12" s="425"/>
      <c r="PYC12" s="425"/>
      <c r="PYD12" s="425"/>
      <c r="PYE12" s="425"/>
      <c r="PYF12" s="425"/>
      <c r="PYG12" s="425"/>
      <c r="PYH12" s="425"/>
      <c r="PYI12" s="425"/>
      <c r="PYJ12" s="425"/>
      <c r="PYK12" s="425"/>
      <c r="PYL12" s="425"/>
      <c r="PYM12" s="425"/>
      <c r="PYN12" s="425"/>
      <c r="PYO12" s="425"/>
      <c r="PYP12" s="425"/>
      <c r="PYQ12" s="425"/>
      <c r="PYR12" s="425"/>
      <c r="PYS12" s="425"/>
      <c r="PYT12" s="425"/>
      <c r="PYU12" s="425"/>
      <c r="PYV12" s="425"/>
      <c r="PYW12" s="425"/>
      <c r="PYX12" s="425"/>
      <c r="PYY12" s="425"/>
      <c r="PYZ12" s="425"/>
      <c r="PZA12" s="425"/>
      <c r="PZB12" s="425"/>
      <c r="PZC12" s="425"/>
      <c r="PZD12" s="425"/>
      <c r="PZE12" s="425"/>
      <c r="PZF12" s="425"/>
      <c r="PZG12" s="425"/>
      <c r="PZH12" s="425"/>
      <c r="PZI12" s="425"/>
      <c r="PZJ12" s="425"/>
      <c r="PZK12" s="425"/>
      <c r="PZL12" s="425"/>
      <c r="PZM12" s="425"/>
      <c r="PZN12" s="425"/>
      <c r="PZO12" s="425"/>
      <c r="PZP12" s="425"/>
      <c r="PZQ12" s="425"/>
      <c r="PZR12" s="425"/>
      <c r="PZS12" s="425"/>
      <c r="PZT12" s="425"/>
      <c r="PZU12" s="425"/>
      <c r="PZV12" s="425"/>
      <c r="PZW12" s="425"/>
      <c r="PZX12" s="425"/>
      <c r="PZY12" s="425"/>
      <c r="PZZ12" s="425"/>
      <c r="QAA12" s="425"/>
      <c r="QAB12" s="425"/>
      <c r="QAC12" s="425"/>
      <c r="QAD12" s="425"/>
      <c r="QAE12" s="425"/>
      <c r="QAF12" s="425"/>
      <c r="QAG12" s="425"/>
      <c r="QAH12" s="425"/>
      <c r="QAI12" s="425"/>
      <c r="QAJ12" s="425"/>
      <c r="QAK12" s="425"/>
      <c r="QAL12" s="425"/>
      <c r="QAM12" s="425"/>
      <c r="QAN12" s="425"/>
      <c r="QAO12" s="425"/>
      <c r="QAP12" s="425"/>
      <c r="QAQ12" s="425"/>
      <c r="QAR12" s="425"/>
      <c r="QAS12" s="425"/>
      <c r="QAT12" s="425"/>
      <c r="QAU12" s="425"/>
      <c r="QAV12" s="425"/>
      <c r="QAW12" s="425"/>
      <c r="QAX12" s="425"/>
      <c r="QAY12" s="425"/>
      <c r="QAZ12" s="425"/>
      <c r="QBA12" s="425"/>
      <c r="QBB12" s="425"/>
      <c r="QBC12" s="425"/>
      <c r="QBD12" s="425"/>
      <c r="QBE12" s="425"/>
      <c r="QBF12" s="425"/>
      <c r="QBG12" s="425"/>
      <c r="QBH12" s="425"/>
      <c r="QBI12" s="425"/>
      <c r="QBJ12" s="425"/>
      <c r="QBK12" s="425"/>
      <c r="QBL12" s="425"/>
      <c r="QBM12" s="425"/>
      <c r="QBN12" s="425"/>
      <c r="QBO12" s="425"/>
      <c r="QBP12" s="425"/>
      <c r="QBQ12" s="425"/>
      <c r="QBR12" s="425"/>
      <c r="QBS12" s="425"/>
      <c r="QBT12" s="425"/>
      <c r="QBU12" s="425"/>
      <c r="QBV12" s="425"/>
      <c r="QBW12" s="425"/>
      <c r="QBX12" s="425"/>
      <c r="QBY12" s="425"/>
      <c r="QBZ12" s="425"/>
      <c r="QCA12" s="425"/>
      <c r="QCB12" s="425"/>
      <c r="QCC12" s="425"/>
      <c r="QCD12" s="425"/>
      <c r="QCE12" s="425"/>
      <c r="QCF12" s="425"/>
      <c r="QCG12" s="425"/>
      <c r="QCH12" s="425"/>
      <c r="QCI12" s="425"/>
      <c r="QCJ12" s="425"/>
      <c r="QCK12" s="425"/>
      <c r="QCL12" s="425"/>
      <c r="QCM12" s="425"/>
      <c r="QCN12" s="425"/>
      <c r="QCO12" s="425"/>
      <c r="QCP12" s="425"/>
      <c r="QCQ12" s="425"/>
      <c r="QCR12" s="425"/>
      <c r="QCS12" s="425"/>
      <c r="QCT12" s="425"/>
      <c r="QCU12" s="425"/>
      <c r="QCV12" s="425"/>
      <c r="QCW12" s="425"/>
      <c r="QCX12" s="425"/>
      <c r="QCY12" s="425"/>
      <c r="QCZ12" s="425"/>
      <c r="QDA12" s="425"/>
      <c r="QDB12" s="425"/>
      <c r="QDC12" s="425"/>
      <c r="QDD12" s="425"/>
      <c r="QDE12" s="425"/>
      <c r="QDF12" s="425"/>
      <c r="QDG12" s="425"/>
      <c r="QDH12" s="425"/>
      <c r="QDI12" s="425"/>
      <c r="QDJ12" s="425"/>
      <c r="QDK12" s="425"/>
      <c r="QDL12" s="425"/>
      <c r="QDM12" s="425"/>
      <c r="QDN12" s="425"/>
      <c r="QDO12" s="425"/>
      <c r="QDP12" s="425"/>
      <c r="QDQ12" s="425"/>
      <c r="QDR12" s="425"/>
      <c r="QDS12" s="425"/>
      <c r="QDT12" s="425"/>
      <c r="QDU12" s="425"/>
      <c r="QDV12" s="425"/>
      <c r="QDW12" s="425"/>
      <c r="QDX12" s="425"/>
      <c r="QDY12" s="425"/>
      <c r="QDZ12" s="425"/>
      <c r="QEA12" s="425"/>
      <c r="QEB12" s="425"/>
      <c r="QEC12" s="425"/>
      <c r="QED12" s="425"/>
      <c r="QEE12" s="425"/>
      <c r="QEF12" s="425"/>
      <c r="QEG12" s="425"/>
      <c r="QEH12" s="425"/>
      <c r="QEI12" s="425"/>
      <c r="QEJ12" s="425"/>
      <c r="QEK12" s="425"/>
      <c r="QEL12" s="425"/>
      <c r="QEM12" s="425"/>
      <c r="QEN12" s="425"/>
      <c r="QEO12" s="425"/>
      <c r="QEP12" s="425"/>
      <c r="QEQ12" s="425"/>
      <c r="QER12" s="425"/>
      <c r="QES12" s="425"/>
      <c r="QET12" s="425"/>
      <c r="QEU12" s="425"/>
      <c r="QEV12" s="425"/>
      <c r="QEW12" s="425"/>
      <c r="QEX12" s="425"/>
      <c r="QEY12" s="425"/>
      <c r="QEZ12" s="425"/>
      <c r="QFA12" s="425"/>
      <c r="QFB12" s="425"/>
      <c r="QFC12" s="425"/>
      <c r="QFD12" s="425"/>
      <c r="QFE12" s="425"/>
      <c r="QFF12" s="425"/>
      <c r="QFG12" s="425"/>
      <c r="QFH12" s="425"/>
      <c r="QFI12" s="425"/>
      <c r="QFJ12" s="425"/>
      <c r="QFK12" s="425"/>
      <c r="QFL12" s="425"/>
      <c r="QFM12" s="425"/>
      <c r="QFN12" s="425"/>
      <c r="QFO12" s="425"/>
      <c r="QFP12" s="425"/>
      <c r="QFQ12" s="425"/>
      <c r="QFR12" s="425"/>
      <c r="QFS12" s="425"/>
      <c r="QFT12" s="425"/>
      <c r="QFU12" s="425"/>
      <c r="QFV12" s="425"/>
      <c r="QFW12" s="425"/>
      <c r="QFX12" s="425"/>
      <c r="QFY12" s="425"/>
      <c r="QFZ12" s="425"/>
      <c r="QGA12" s="425"/>
      <c r="QGB12" s="425"/>
      <c r="QGC12" s="425"/>
      <c r="QGD12" s="425"/>
      <c r="QGE12" s="425"/>
      <c r="QGF12" s="425"/>
      <c r="QGG12" s="425"/>
      <c r="QGH12" s="425"/>
      <c r="QGI12" s="425"/>
      <c r="QGJ12" s="425"/>
      <c r="QGK12" s="425"/>
      <c r="QGL12" s="425"/>
      <c r="QGM12" s="425"/>
      <c r="QGN12" s="425"/>
      <c r="QGO12" s="425"/>
      <c r="QGP12" s="425"/>
      <c r="QGQ12" s="425"/>
      <c r="QGR12" s="425"/>
      <c r="QGS12" s="425"/>
      <c r="QGT12" s="425"/>
      <c r="QGU12" s="425"/>
      <c r="QGV12" s="425"/>
      <c r="QGW12" s="425"/>
      <c r="QGX12" s="425"/>
      <c r="QGY12" s="425"/>
      <c r="QGZ12" s="425"/>
      <c r="QHA12" s="425"/>
      <c r="QHB12" s="425"/>
      <c r="QHC12" s="425"/>
      <c r="QHD12" s="425"/>
      <c r="QHE12" s="425"/>
      <c r="QHF12" s="425"/>
      <c r="QHG12" s="425"/>
      <c r="QHH12" s="425"/>
      <c r="QHI12" s="425"/>
      <c r="QHJ12" s="425"/>
      <c r="QHK12" s="425"/>
      <c r="QHL12" s="425"/>
      <c r="QHM12" s="425"/>
      <c r="QHN12" s="425"/>
      <c r="QHO12" s="425"/>
      <c r="QHP12" s="425"/>
      <c r="QHQ12" s="425"/>
      <c r="QHR12" s="425"/>
      <c r="QHS12" s="425"/>
      <c r="QHT12" s="425"/>
      <c r="QHU12" s="425"/>
      <c r="QHV12" s="425"/>
      <c r="QHW12" s="425"/>
      <c r="QHX12" s="425"/>
      <c r="QHY12" s="425"/>
      <c r="QHZ12" s="425"/>
      <c r="QIA12" s="425"/>
      <c r="QIB12" s="425"/>
      <c r="QIC12" s="425"/>
      <c r="QID12" s="425"/>
      <c r="QIE12" s="425"/>
      <c r="QIF12" s="425"/>
      <c r="QIG12" s="425"/>
      <c r="QIH12" s="425"/>
      <c r="QII12" s="425"/>
      <c r="QIJ12" s="425"/>
      <c r="QIK12" s="425"/>
      <c r="QIL12" s="425"/>
      <c r="QIM12" s="425"/>
      <c r="QIN12" s="425"/>
      <c r="QIO12" s="425"/>
      <c r="QIP12" s="425"/>
      <c r="QIQ12" s="425"/>
      <c r="QIR12" s="425"/>
      <c r="QIS12" s="425"/>
      <c r="QIT12" s="425"/>
      <c r="QIU12" s="425"/>
      <c r="QIV12" s="425"/>
      <c r="QIW12" s="425"/>
      <c r="QIX12" s="425"/>
      <c r="QIY12" s="425"/>
      <c r="QIZ12" s="425"/>
      <c r="QJA12" s="425"/>
      <c r="QJB12" s="425"/>
      <c r="QJC12" s="425"/>
      <c r="QJD12" s="425"/>
      <c r="QJE12" s="425"/>
      <c r="QJF12" s="425"/>
      <c r="QJG12" s="425"/>
      <c r="QJH12" s="425"/>
      <c r="QJI12" s="425"/>
      <c r="QJJ12" s="425"/>
      <c r="QJK12" s="425"/>
      <c r="QJL12" s="425"/>
      <c r="QJM12" s="425"/>
      <c r="QJN12" s="425"/>
      <c r="QJO12" s="425"/>
      <c r="QJP12" s="425"/>
      <c r="QJQ12" s="425"/>
      <c r="QJR12" s="425"/>
      <c r="QJS12" s="425"/>
      <c r="QJT12" s="425"/>
      <c r="QJU12" s="425"/>
      <c r="QJV12" s="425"/>
      <c r="QJW12" s="425"/>
      <c r="QJX12" s="425"/>
      <c r="QJY12" s="425"/>
      <c r="QJZ12" s="425"/>
      <c r="QKA12" s="425"/>
      <c r="QKB12" s="425"/>
      <c r="QKC12" s="425"/>
      <c r="QKD12" s="425"/>
      <c r="QKE12" s="425"/>
      <c r="QKF12" s="425"/>
      <c r="QKG12" s="425"/>
      <c r="QKH12" s="425"/>
      <c r="QKI12" s="425"/>
      <c r="QKJ12" s="425"/>
      <c r="QKK12" s="425"/>
      <c r="QKL12" s="425"/>
      <c r="QKM12" s="425"/>
      <c r="QKN12" s="425"/>
      <c r="QKO12" s="425"/>
      <c r="QKP12" s="425"/>
      <c r="QKQ12" s="425"/>
      <c r="QKR12" s="425"/>
      <c r="QKS12" s="425"/>
      <c r="QKT12" s="425"/>
      <c r="QKU12" s="425"/>
      <c r="QKV12" s="425"/>
      <c r="QKW12" s="425"/>
      <c r="QKX12" s="425"/>
      <c r="QKY12" s="425"/>
      <c r="QKZ12" s="425"/>
      <c r="QLA12" s="425"/>
      <c r="QLB12" s="425"/>
      <c r="QLC12" s="425"/>
      <c r="QLD12" s="425"/>
      <c r="QLE12" s="425"/>
      <c r="QLF12" s="425"/>
      <c r="QLG12" s="425"/>
      <c r="QLH12" s="425"/>
      <c r="QLI12" s="425"/>
      <c r="QLJ12" s="425"/>
      <c r="QLK12" s="425"/>
      <c r="QLL12" s="425"/>
      <c r="QLM12" s="425"/>
      <c r="QLN12" s="425"/>
      <c r="QLO12" s="425"/>
      <c r="QLP12" s="425"/>
      <c r="QLQ12" s="425"/>
      <c r="QLR12" s="425"/>
      <c r="QLS12" s="425"/>
      <c r="QLT12" s="425"/>
      <c r="QLU12" s="425"/>
      <c r="QLV12" s="425"/>
      <c r="QLW12" s="425"/>
      <c r="QLX12" s="425"/>
      <c r="QLY12" s="425"/>
      <c r="QLZ12" s="425"/>
      <c r="QMA12" s="425"/>
      <c r="QMB12" s="425"/>
      <c r="QMC12" s="425"/>
      <c r="QMD12" s="425"/>
      <c r="QME12" s="425"/>
      <c r="QMF12" s="425"/>
      <c r="QMG12" s="425"/>
      <c r="QMH12" s="425"/>
      <c r="QMI12" s="425"/>
      <c r="QMJ12" s="425"/>
      <c r="QMK12" s="425"/>
      <c r="QML12" s="425"/>
      <c r="QMM12" s="425"/>
      <c r="QMN12" s="425"/>
      <c r="QMO12" s="425"/>
      <c r="QMP12" s="425"/>
      <c r="QMQ12" s="425"/>
      <c r="QMR12" s="425"/>
      <c r="QMS12" s="425"/>
      <c r="QMT12" s="425"/>
      <c r="QMU12" s="425"/>
      <c r="QMV12" s="425"/>
      <c r="QMW12" s="425"/>
      <c r="QMX12" s="425"/>
      <c r="QMY12" s="425"/>
      <c r="QMZ12" s="425"/>
      <c r="QNA12" s="425"/>
      <c r="QNB12" s="425"/>
      <c r="QNC12" s="425"/>
      <c r="QND12" s="425"/>
      <c r="QNE12" s="425"/>
      <c r="QNF12" s="425"/>
      <c r="QNG12" s="425"/>
      <c r="QNH12" s="425"/>
      <c r="QNI12" s="425"/>
      <c r="QNJ12" s="425"/>
      <c r="QNK12" s="425"/>
      <c r="QNL12" s="425"/>
      <c r="QNM12" s="425"/>
      <c r="QNN12" s="425"/>
      <c r="QNO12" s="425"/>
      <c r="QNP12" s="425"/>
      <c r="QNQ12" s="425"/>
      <c r="QNR12" s="425"/>
      <c r="QNS12" s="425"/>
      <c r="QNT12" s="425"/>
      <c r="QNU12" s="425"/>
      <c r="QNV12" s="425"/>
      <c r="QNW12" s="425"/>
      <c r="QNX12" s="425"/>
      <c r="QNY12" s="425"/>
      <c r="QNZ12" s="425"/>
      <c r="QOA12" s="425"/>
      <c r="QOB12" s="425"/>
      <c r="QOC12" s="425"/>
      <c r="QOD12" s="425"/>
      <c r="QOE12" s="425"/>
      <c r="QOF12" s="425"/>
      <c r="QOG12" s="425"/>
      <c r="QOH12" s="425"/>
      <c r="QOI12" s="425"/>
      <c r="QOJ12" s="425"/>
      <c r="QOK12" s="425"/>
      <c r="QOL12" s="425"/>
      <c r="QOM12" s="425"/>
      <c r="QON12" s="425"/>
      <c r="QOO12" s="425"/>
      <c r="QOP12" s="425"/>
      <c r="QOQ12" s="425"/>
      <c r="QOR12" s="425"/>
      <c r="QOS12" s="425"/>
      <c r="QOT12" s="425"/>
      <c r="QOU12" s="425"/>
      <c r="QOV12" s="425"/>
      <c r="QOW12" s="425"/>
      <c r="QOX12" s="425"/>
      <c r="QOY12" s="425"/>
      <c r="QOZ12" s="425"/>
      <c r="QPA12" s="425"/>
      <c r="QPB12" s="425"/>
      <c r="QPC12" s="425"/>
      <c r="QPD12" s="425"/>
      <c r="QPE12" s="425"/>
      <c r="QPF12" s="425"/>
      <c r="QPG12" s="425"/>
      <c r="QPH12" s="425"/>
      <c r="QPI12" s="425"/>
      <c r="QPJ12" s="425"/>
      <c r="QPK12" s="425"/>
      <c r="QPL12" s="425"/>
      <c r="QPM12" s="425"/>
      <c r="QPN12" s="425"/>
      <c r="QPO12" s="425"/>
      <c r="QPP12" s="425"/>
      <c r="QPQ12" s="425"/>
      <c r="QPR12" s="425"/>
      <c r="QPS12" s="425"/>
      <c r="QPT12" s="425"/>
      <c r="QPU12" s="425"/>
      <c r="QPV12" s="425"/>
      <c r="QPW12" s="425"/>
      <c r="QPX12" s="425"/>
      <c r="QPY12" s="425"/>
      <c r="QPZ12" s="425"/>
      <c r="QQA12" s="425"/>
      <c r="QQB12" s="425"/>
      <c r="QQC12" s="425"/>
      <c r="QQD12" s="425"/>
      <c r="QQE12" s="425"/>
      <c r="QQF12" s="425"/>
      <c r="QQG12" s="425"/>
      <c r="QQH12" s="425"/>
      <c r="QQI12" s="425"/>
      <c r="QQJ12" s="425"/>
      <c r="QQK12" s="425"/>
      <c r="QQL12" s="425"/>
      <c r="QQM12" s="425"/>
      <c r="QQN12" s="425"/>
      <c r="QQO12" s="425"/>
      <c r="QQP12" s="425"/>
      <c r="QQQ12" s="425"/>
      <c r="QQR12" s="425"/>
      <c r="QQS12" s="425"/>
      <c r="QQT12" s="425"/>
      <c r="QQU12" s="425"/>
      <c r="QQV12" s="425"/>
      <c r="QQW12" s="425"/>
      <c r="QQX12" s="425"/>
      <c r="QQY12" s="425"/>
      <c r="QQZ12" s="425"/>
      <c r="QRA12" s="425"/>
      <c r="QRB12" s="425"/>
      <c r="QRC12" s="425"/>
      <c r="QRD12" s="425"/>
      <c r="QRE12" s="425"/>
      <c r="QRF12" s="425"/>
      <c r="QRG12" s="425"/>
      <c r="QRH12" s="425"/>
      <c r="QRI12" s="425"/>
      <c r="QRJ12" s="425"/>
      <c r="QRK12" s="425"/>
      <c r="QRL12" s="425"/>
      <c r="QRM12" s="425"/>
      <c r="QRN12" s="425"/>
      <c r="QRO12" s="425"/>
      <c r="QRP12" s="425"/>
      <c r="QRQ12" s="425"/>
      <c r="QRR12" s="425"/>
      <c r="QRS12" s="425"/>
      <c r="QRT12" s="425"/>
      <c r="QRU12" s="425"/>
      <c r="QRV12" s="425"/>
      <c r="QRW12" s="425"/>
      <c r="QRX12" s="425"/>
      <c r="QRY12" s="425"/>
      <c r="QRZ12" s="425"/>
      <c r="QSA12" s="425"/>
      <c r="QSB12" s="425"/>
      <c r="QSC12" s="425"/>
      <c r="QSD12" s="425"/>
      <c r="QSE12" s="425"/>
      <c r="QSF12" s="425"/>
      <c r="QSG12" s="425"/>
      <c r="QSH12" s="425"/>
      <c r="QSI12" s="425"/>
      <c r="QSJ12" s="425"/>
      <c r="QSK12" s="425"/>
      <c r="QSL12" s="425"/>
      <c r="QSM12" s="425"/>
      <c r="QSN12" s="425"/>
      <c r="QSO12" s="425"/>
      <c r="QSP12" s="425"/>
      <c r="QSQ12" s="425"/>
      <c r="QSR12" s="425"/>
      <c r="QSS12" s="425"/>
      <c r="QST12" s="425"/>
      <c r="QSU12" s="425"/>
      <c r="QSV12" s="425"/>
      <c r="QSW12" s="425"/>
      <c r="QSX12" s="425"/>
      <c r="QSY12" s="425"/>
      <c r="QSZ12" s="425"/>
      <c r="QTA12" s="425"/>
      <c r="QTB12" s="425"/>
      <c r="QTC12" s="425"/>
      <c r="QTD12" s="425"/>
      <c r="QTE12" s="425"/>
      <c r="QTF12" s="425"/>
      <c r="QTG12" s="425"/>
      <c r="QTH12" s="425"/>
      <c r="QTI12" s="425"/>
      <c r="QTJ12" s="425"/>
      <c r="QTK12" s="425"/>
      <c r="QTL12" s="425"/>
      <c r="QTM12" s="425"/>
      <c r="QTN12" s="425"/>
      <c r="QTO12" s="425"/>
      <c r="QTP12" s="425"/>
      <c r="QTQ12" s="425"/>
      <c r="QTR12" s="425"/>
      <c r="QTS12" s="425"/>
      <c r="QTT12" s="425"/>
      <c r="QTU12" s="425"/>
      <c r="QTV12" s="425"/>
      <c r="QTW12" s="425"/>
      <c r="QTX12" s="425"/>
      <c r="QTY12" s="425"/>
      <c r="QTZ12" s="425"/>
      <c r="QUA12" s="425"/>
      <c r="QUB12" s="425"/>
      <c r="QUC12" s="425"/>
      <c r="QUD12" s="425"/>
      <c r="QUE12" s="425"/>
      <c r="QUF12" s="425"/>
      <c r="QUG12" s="425"/>
      <c r="QUH12" s="425"/>
      <c r="QUI12" s="425"/>
      <c r="QUJ12" s="425"/>
      <c r="QUK12" s="425"/>
      <c r="QUL12" s="425"/>
      <c r="QUM12" s="425"/>
      <c r="QUN12" s="425"/>
      <c r="QUO12" s="425"/>
      <c r="QUP12" s="425"/>
      <c r="QUQ12" s="425"/>
      <c r="QUR12" s="425"/>
      <c r="QUS12" s="425"/>
      <c r="QUT12" s="425"/>
      <c r="QUU12" s="425"/>
      <c r="QUV12" s="425"/>
      <c r="QUW12" s="425"/>
      <c r="QUX12" s="425"/>
      <c r="QUY12" s="425"/>
      <c r="QUZ12" s="425"/>
      <c r="QVA12" s="425"/>
      <c r="QVB12" s="425"/>
      <c r="QVC12" s="425"/>
      <c r="QVD12" s="425"/>
      <c r="QVE12" s="425"/>
      <c r="QVF12" s="425"/>
      <c r="QVG12" s="425"/>
      <c r="QVH12" s="425"/>
      <c r="QVI12" s="425"/>
      <c r="QVJ12" s="425"/>
      <c r="QVK12" s="425"/>
      <c r="QVL12" s="425"/>
      <c r="QVM12" s="425"/>
      <c r="QVN12" s="425"/>
      <c r="QVO12" s="425"/>
      <c r="QVP12" s="425"/>
      <c r="QVQ12" s="425"/>
      <c r="QVR12" s="425"/>
      <c r="QVS12" s="425"/>
      <c r="QVT12" s="425"/>
      <c r="QVU12" s="425"/>
      <c r="QVV12" s="425"/>
      <c r="QVW12" s="425"/>
      <c r="QVX12" s="425"/>
      <c r="QVY12" s="425"/>
      <c r="QVZ12" s="425"/>
      <c r="QWA12" s="425"/>
      <c r="QWB12" s="425"/>
      <c r="QWC12" s="425"/>
      <c r="QWD12" s="425"/>
      <c r="QWE12" s="425"/>
      <c r="QWF12" s="425"/>
      <c r="QWG12" s="425"/>
      <c r="QWH12" s="425"/>
      <c r="QWI12" s="425"/>
      <c r="QWJ12" s="425"/>
      <c r="QWK12" s="425"/>
      <c r="QWL12" s="425"/>
      <c r="QWM12" s="425"/>
      <c r="QWN12" s="425"/>
      <c r="QWO12" s="425"/>
      <c r="QWP12" s="425"/>
      <c r="QWQ12" s="425"/>
      <c r="QWR12" s="425"/>
      <c r="QWS12" s="425"/>
      <c r="QWT12" s="425"/>
      <c r="QWU12" s="425"/>
      <c r="QWV12" s="425"/>
      <c r="QWW12" s="425"/>
      <c r="QWX12" s="425"/>
      <c r="QWY12" s="425"/>
      <c r="QWZ12" s="425"/>
      <c r="QXA12" s="425"/>
      <c r="QXB12" s="425"/>
      <c r="QXC12" s="425"/>
      <c r="QXD12" s="425"/>
      <c r="QXE12" s="425"/>
      <c r="QXF12" s="425"/>
      <c r="QXG12" s="425"/>
      <c r="QXH12" s="425"/>
      <c r="QXI12" s="425"/>
      <c r="QXJ12" s="425"/>
      <c r="QXK12" s="425"/>
      <c r="QXL12" s="425"/>
      <c r="QXM12" s="425"/>
      <c r="QXN12" s="425"/>
      <c r="QXO12" s="425"/>
      <c r="QXP12" s="425"/>
      <c r="QXQ12" s="425"/>
      <c r="QXR12" s="425"/>
      <c r="QXS12" s="425"/>
      <c r="QXT12" s="425"/>
      <c r="QXU12" s="425"/>
      <c r="QXV12" s="425"/>
      <c r="QXW12" s="425"/>
      <c r="QXX12" s="425"/>
      <c r="QXY12" s="425"/>
      <c r="QXZ12" s="425"/>
      <c r="QYA12" s="425"/>
      <c r="QYB12" s="425"/>
      <c r="QYC12" s="425"/>
      <c r="QYD12" s="425"/>
      <c r="QYE12" s="425"/>
      <c r="QYF12" s="425"/>
      <c r="QYG12" s="425"/>
      <c r="QYH12" s="425"/>
      <c r="QYI12" s="425"/>
      <c r="QYJ12" s="425"/>
      <c r="QYK12" s="425"/>
      <c r="QYL12" s="425"/>
      <c r="QYM12" s="425"/>
      <c r="QYN12" s="425"/>
      <c r="QYO12" s="425"/>
      <c r="QYP12" s="425"/>
      <c r="QYQ12" s="425"/>
      <c r="QYR12" s="425"/>
      <c r="QYS12" s="425"/>
      <c r="QYT12" s="425"/>
      <c r="QYU12" s="425"/>
      <c r="QYV12" s="425"/>
      <c r="QYW12" s="425"/>
      <c r="QYX12" s="425"/>
      <c r="QYY12" s="425"/>
      <c r="QYZ12" s="425"/>
      <c r="QZA12" s="425"/>
      <c r="QZB12" s="425"/>
      <c r="QZC12" s="425"/>
      <c r="QZD12" s="425"/>
      <c r="QZE12" s="425"/>
      <c r="QZF12" s="425"/>
      <c r="QZG12" s="425"/>
      <c r="QZH12" s="425"/>
      <c r="QZI12" s="425"/>
      <c r="QZJ12" s="425"/>
      <c r="QZK12" s="425"/>
      <c r="QZL12" s="425"/>
      <c r="QZM12" s="425"/>
      <c r="QZN12" s="425"/>
      <c r="QZO12" s="425"/>
      <c r="QZP12" s="425"/>
      <c r="QZQ12" s="425"/>
      <c r="QZR12" s="425"/>
      <c r="QZS12" s="425"/>
      <c r="QZT12" s="425"/>
      <c r="QZU12" s="425"/>
      <c r="QZV12" s="425"/>
      <c r="QZW12" s="425"/>
      <c r="QZX12" s="425"/>
      <c r="QZY12" s="425"/>
      <c r="QZZ12" s="425"/>
      <c r="RAA12" s="425"/>
      <c r="RAB12" s="425"/>
      <c r="RAC12" s="425"/>
      <c r="RAD12" s="425"/>
      <c r="RAE12" s="425"/>
      <c r="RAF12" s="425"/>
      <c r="RAG12" s="425"/>
      <c r="RAH12" s="425"/>
      <c r="RAI12" s="425"/>
      <c r="RAJ12" s="425"/>
      <c r="RAK12" s="425"/>
      <c r="RAL12" s="425"/>
      <c r="RAM12" s="425"/>
      <c r="RAN12" s="425"/>
      <c r="RAO12" s="425"/>
      <c r="RAP12" s="425"/>
      <c r="RAQ12" s="425"/>
      <c r="RAR12" s="425"/>
      <c r="RAS12" s="425"/>
      <c r="RAT12" s="425"/>
      <c r="RAU12" s="425"/>
      <c r="RAV12" s="425"/>
      <c r="RAW12" s="425"/>
      <c r="RAX12" s="425"/>
      <c r="RAY12" s="425"/>
      <c r="RAZ12" s="425"/>
      <c r="RBA12" s="425"/>
      <c r="RBB12" s="425"/>
      <c r="RBC12" s="425"/>
      <c r="RBD12" s="425"/>
      <c r="RBE12" s="425"/>
      <c r="RBF12" s="425"/>
      <c r="RBG12" s="425"/>
      <c r="RBH12" s="425"/>
      <c r="RBI12" s="425"/>
      <c r="RBJ12" s="425"/>
      <c r="RBK12" s="425"/>
      <c r="RBL12" s="425"/>
      <c r="RBM12" s="425"/>
      <c r="RBN12" s="425"/>
      <c r="RBO12" s="425"/>
      <c r="RBP12" s="425"/>
      <c r="RBQ12" s="425"/>
      <c r="RBR12" s="425"/>
      <c r="RBS12" s="425"/>
      <c r="RBT12" s="425"/>
      <c r="RBU12" s="425"/>
      <c r="RBV12" s="425"/>
      <c r="RBW12" s="425"/>
      <c r="RBX12" s="425"/>
      <c r="RBY12" s="425"/>
      <c r="RBZ12" s="425"/>
      <c r="RCA12" s="425"/>
      <c r="RCB12" s="425"/>
      <c r="RCC12" s="425"/>
      <c r="RCD12" s="425"/>
      <c r="RCE12" s="425"/>
      <c r="RCF12" s="425"/>
      <c r="RCG12" s="425"/>
      <c r="RCH12" s="425"/>
      <c r="RCI12" s="425"/>
      <c r="RCJ12" s="425"/>
      <c r="RCK12" s="425"/>
      <c r="RCL12" s="425"/>
      <c r="RCM12" s="425"/>
      <c r="RCN12" s="425"/>
      <c r="RCO12" s="425"/>
      <c r="RCP12" s="425"/>
      <c r="RCQ12" s="425"/>
      <c r="RCR12" s="425"/>
      <c r="RCS12" s="425"/>
      <c r="RCT12" s="425"/>
      <c r="RCU12" s="425"/>
      <c r="RCV12" s="425"/>
      <c r="RCW12" s="425"/>
      <c r="RCX12" s="425"/>
      <c r="RCY12" s="425"/>
      <c r="RCZ12" s="425"/>
      <c r="RDA12" s="425"/>
      <c r="RDB12" s="425"/>
      <c r="RDC12" s="425"/>
      <c r="RDD12" s="425"/>
      <c r="RDE12" s="425"/>
      <c r="RDF12" s="425"/>
      <c r="RDG12" s="425"/>
      <c r="RDH12" s="425"/>
      <c r="RDI12" s="425"/>
      <c r="RDJ12" s="425"/>
      <c r="RDK12" s="425"/>
      <c r="RDL12" s="425"/>
      <c r="RDM12" s="425"/>
      <c r="RDN12" s="425"/>
      <c r="RDO12" s="425"/>
      <c r="RDP12" s="425"/>
      <c r="RDQ12" s="425"/>
      <c r="RDR12" s="425"/>
      <c r="RDS12" s="425"/>
      <c r="RDT12" s="425"/>
      <c r="RDU12" s="425"/>
      <c r="RDV12" s="425"/>
      <c r="RDW12" s="425"/>
      <c r="RDX12" s="425"/>
      <c r="RDY12" s="425"/>
      <c r="RDZ12" s="425"/>
      <c r="REA12" s="425"/>
      <c r="REB12" s="425"/>
      <c r="REC12" s="425"/>
      <c r="RED12" s="425"/>
      <c r="REE12" s="425"/>
      <c r="REF12" s="425"/>
      <c r="REG12" s="425"/>
      <c r="REH12" s="425"/>
      <c r="REI12" s="425"/>
      <c r="REJ12" s="425"/>
      <c r="REK12" s="425"/>
      <c r="REL12" s="425"/>
      <c r="REM12" s="425"/>
      <c r="REN12" s="425"/>
      <c r="REO12" s="425"/>
      <c r="REP12" s="425"/>
      <c r="REQ12" s="425"/>
      <c r="RER12" s="425"/>
      <c r="RES12" s="425"/>
      <c r="RET12" s="425"/>
      <c r="REU12" s="425"/>
      <c r="REV12" s="425"/>
      <c r="REW12" s="425"/>
      <c r="REX12" s="425"/>
      <c r="REY12" s="425"/>
      <c r="REZ12" s="425"/>
      <c r="RFA12" s="425"/>
      <c r="RFB12" s="425"/>
      <c r="RFC12" s="425"/>
      <c r="RFD12" s="425"/>
      <c r="RFE12" s="425"/>
      <c r="RFF12" s="425"/>
      <c r="RFG12" s="425"/>
      <c r="RFH12" s="425"/>
      <c r="RFI12" s="425"/>
      <c r="RFJ12" s="425"/>
      <c r="RFK12" s="425"/>
      <c r="RFL12" s="425"/>
      <c r="RFM12" s="425"/>
      <c r="RFN12" s="425"/>
      <c r="RFO12" s="425"/>
      <c r="RFP12" s="425"/>
      <c r="RFQ12" s="425"/>
      <c r="RFR12" s="425"/>
      <c r="RFS12" s="425"/>
      <c r="RFT12" s="425"/>
      <c r="RFU12" s="425"/>
      <c r="RFV12" s="425"/>
      <c r="RFW12" s="425"/>
      <c r="RFX12" s="425"/>
      <c r="RFY12" s="425"/>
      <c r="RFZ12" s="425"/>
      <c r="RGA12" s="425"/>
      <c r="RGB12" s="425"/>
      <c r="RGC12" s="425"/>
      <c r="RGD12" s="425"/>
      <c r="RGE12" s="425"/>
      <c r="RGF12" s="425"/>
      <c r="RGG12" s="425"/>
      <c r="RGH12" s="425"/>
      <c r="RGI12" s="425"/>
      <c r="RGJ12" s="425"/>
      <c r="RGK12" s="425"/>
      <c r="RGL12" s="425"/>
      <c r="RGM12" s="425"/>
      <c r="RGN12" s="425"/>
      <c r="RGO12" s="425"/>
      <c r="RGP12" s="425"/>
      <c r="RGQ12" s="425"/>
      <c r="RGR12" s="425"/>
      <c r="RGS12" s="425"/>
      <c r="RGT12" s="425"/>
      <c r="RGU12" s="425"/>
      <c r="RGV12" s="425"/>
      <c r="RGW12" s="425"/>
      <c r="RGX12" s="425"/>
      <c r="RGY12" s="425"/>
      <c r="RGZ12" s="425"/>
      <c r="RHA12" s="425"/>
      <c r="RHB12" s="425"/>
      <c r="RHC12" s="425"/>
      <c r="RHD12" s="425"/>
      <c r="RHE12" s="425"/>
      <c r="RHF12" s="425"/>
      <c r="RHG12" s="425"/>
      <c r="RHH12" s="425"/>
      <c r="RHI12" s="425"/>
      <c r="RHJ12" s="425"/>
      <c r="RHK12" s="425"/>
      <c r="RHL12" s="425"/>
      <c r="RHM12" s="425"/>
      <c r="RHN12" s="425"/>
      <c r="RHO12" s="425"/>
      <c r="RHP12" s="425"/>
      <c r="RHQ12" s="425"/>
      <c r="RHR12" s="425"/>
      <c r="RHS12" s="425"/>
      <c r="RHT12" s="425"/>
      <c r="RHU12" s="425"/>
      <c r="RHV12" s="425"/>
      <c r="RHW12" s="425"/>
      <c r="RHX12" s="425"/>
      <c r="RHY12" s="425"/>
      <c r="RHZ12" s="425"/>
      <c r="RIA12" s="425"/>
      <c r="RIB12" s="425"/>
      <c r="RIC12" s="425"/>
      <c r="RID12" s="425"/>
      <c r="RIE12" s="425"/>
      <c r="RIF12" s="425"/>
      <c r="RIG12" s="425"/>
      <c r="RIH12" s="425"/>
      <c r="RII12" s="425"/>
      <c r="RIJ12" s="425"/>
      <c r="RIK12" s="425"/>
      <c r="RIL12" s="425"/>
      <c r="RIM12" s="425"/>
      <c r="RIN12" s="425"/>
      <c r="RIO12" s="425"/>
      <c r="RIP12" s="425"/>
      <c r="RIQ12" s="425"/>
      <c r="RIR12" s="425"/>
      <c r="RIS12" s="425"/>
      <c r="RIT12" s="425"/>
      <c r="RIU12" s="425"/>
      <c r="RIV12" s="425"/>
      <c r="RIW12" s="425"/>
      <c r="RIX12" s="425"/>
      <c r="RIY12" s="425"/>
      <c r="RIZ12" s="425"/>
      <c r="RJA12" s="425"/>
      <c r="RJB12" s="425"/>
      <c r="RJC12" s="425"/>
      <c r="RJD12" s="425"/>
      <c r="RJE12" s="425"/>
      <c r="RJF12" s="425"/>
      <c r="RJG12" s="425"/>
      <c r="RJH12" s="425"/>
      <c r="RJI12" s="425"/>
      <c r="RJJ12" s="425"/>
      <c r="RJK12" s="425"/>
      <c r="RJL12" s="425"/>
      <c r="RJM12" s="425"/>
      <c r="RJN12" s="425"/>
      <c r="RJO12" s="425"/>
      <c r="RJP12" s="425"/>
      <c r="RJQ12" s="425"/>
      <c r="RJR12" s="425"/>
      <c r="RJS12" s="425"/>
      <c r="RJT12" s="425"/>
      <c r="RJU12" s="425"/>
      <c r="RJV12" s="425"/>
      <c r="RJW12" s="425"/>
      <c r="RJX12" s="425"/>
      <c r="RJY12" s="425"/>
      <c r="RJZ12" s="425"/>
      <c r="RKA12" s="425"/>
      <c r="RKB12" s="425"/>
      <c r="RKC12" s="425"/>
      <c r="RKD12" s="425"/>
      <c r="RKE12" s="425"/>
      <c r="RKF12" s="425"/>
      <c r="RKG12" s="425"/>
      <c r="RKH12" s="425"/>
      <c r="RKI12" s="425"/>
      <c r="RKJ12" s="425"/>
      <c r="RKK12" s="425"/>
      <c r="RKL12" s="425"/>
      <c r="RKM12" s="425"/>
      <c r="RKN12" s="425"/>
      <c r="RKO12" s="425"/>
      <c r="RKP12" s="425"/>
      <c r="RKQ12" s="425"/>
      <c r="RKR12" s="425"/>
      <c r="RKS12" s="425"/>
      <c r="RKT12" s="425"/>
      <c r="RKU12" s="425"/>
      <c r="RKV12" s="425"/>
      <c r="RKW12" s="425"/>
      <c r="RKX12" s="425"/>
      <c r="RKY12" s="425"/>
      <c r="RKZ12" s="425"/>
      <c r="RLA12" s="425"/>
      <c r="RLB12" s="425"/>
      <c r="RLC12" s="425"/>
      <c r="RLD12" s="425"/>
      <c r="RLE12" s="425"/>
      <c r="RLF12" s="425"/>
      <c r="RLG12" s="425"/>
      <c r="RLH12" s="425"/>
      <c r="RLI12" s="425"/>
      <c r="RLJ12" s="425"/>
      <c r="RLK12" s="425"/>
      <c r="RLL12" s="425"/>
      <c r="RLM12" s="425"/>
      <c r="RLN12" s="425"/>
      <c r="RLO12" s="425"/>
      <c r="RLP12" s="425"/>
      <c r="RLQ12" s="425"/>
      <c r="RLR12" s="425"/>
      <c r="RLS12" s="425"/>
      <c r="RLT12" s="425"/>
      <c r="RLU12" s="425"/>
      <c r="RLV12" s="425"/>
      <c r="RLW12" s="425"/>
      <c r="RLX12" s="425"/>
      <c r="RLY12" s="425"/>
      <c r="RLZ12" s="425"/>
      <c r="RMA12" s="425"/>
      <c r="RMB12" s="425"/>
      <c r="RMC12" s="425"/>
      <c r="RMD12" s="425"/>
      <c r="RME12" s="425"/>
      <c r="RMF12" s="425"/>
      <c r="RMG12" s="425"/>
      <c r="RMH12" s="425"/>
      <c r="RMI12" s="425"/>
      <c r="RMJ12" s="425"/>
      <c r="RMK12" s="425"/>
      <c r="RML12" s="425"/>
      <c r="RMM12" s="425"/>
      <c r="RMN12" s="425"/>
      <c r="RMO12" s="425"/>
      <c r="RMP12" s="425"/>
      <c r="RMQ12" s="425"/>
      <c r="RMR12" s="425"/>
      <c r="RMS12" s="425"/>
      <c r="RMT12" s="425"/>
      <c r="RMU12" s="425"/>
      <c r="RMV12" s="425"/>
      <c r="RMW12" s="425"/>
      <c r="RMX12" s="425"/>
      <c r="RMY12" s="425"/>
      <c r="RMZ12" s="425"/>
      <c r="RNA12" s="425"/>
      <c r="RNB12" s="425"/>
      <c r="RNC12" s="425"/>
      <c r="RND12" s="425"/>
      <c r="RNE12" s="425"/>
      <c r="RNF12" s="425"/>
      <c r="RNG12" s="425"/>
      <c r="RNH12" s="425"/>
      <c r="RNI12" s="425"/>
      <c r="RNJ12" s="425"/>
      <c r="RNK12" s="425"/>
      <c r="RNL12" s="425"/>
      <c r="RNM12" s="425"/>
      <c r="RNN12" s="425"/>
      <c r="RNO12" s="425"/>
      <c r="RNP12" s="425"/>
      <c r="RNQ12" s="425"/>
      <c r="RNR12" s="425"/>
      <c r="RNS12" s="425"/>
      <c r="RNT12" s="425"/>
      <c r="RNU12" s="425"/>
      <c r="RNV12" s="425"/>
      <c r="RNW12" s="425"/>
      <c r="RNX12" s="425"/>
      <c r="RNY12" s="425"/>
      <c r="RNZ12" s="425"/>
      <c r="ROA12" s="425"/>
      <c r="ROB12" s="425"/>
      <c r="ROC12" s="425"/>
      <c r="ROD12" s="425"/>
      <c r="ROE12" s="425"/>
      <c r="ROF12" s="425"/>
      <c r="ROG12" s="425"/>
      <c r="ROH12" s="425"/>
      <c r="ROI12" s="425"/>
      <c r="ROJ12" s="425"/>
      <c r="ROK12" s="425"/>
      <c r="ROL12" s="425"/>
      <c r="ROM12" s="425"/>
      <c r="RON12" s="425"/>
      <c r="ROO12" s="425"/>
      <c r="ROP12" s="425"/>
      <c r="ROQ12" s="425"/>
      <c r="ROR12" s="425"/>
      <c r="ROS12" s="425"/>
      <c r="ROT12" s="425"/>
      <c r="ROU12" s="425"/>
      <c r="ROV12" s="425"/>
      <c r="ROW12" s="425"/>
      <c r="ROX12" s="425"/>
      <c r="ROY12" s="425"/>
      <c r="ROZ12" s="425"/>
      <c r="RPA12" s="425"/>
      <c r="RPB12" s="425"/>
      <c r="RPC12" s="425"/>
      <c r="RPD12" s="425"/>
      <c r="RPE12" s="425"/>
      <c r="RPF12" s="425"/>
      <c r="RPG12" s="425"/>
      <c r="RPH12" s="425"/>
      <c r="RPI12" s="425"/>
      <c r="RPJ12" s="425"/>
      <c r="RPK12" s="425"/>
      <c r="RPL12" s="425"/>
      <c r="RPM12" s="425"/>
      <c r="RPN12" s="425"/>
      <c r="RPO12" s="425"/>
      <c r="RPP12" s="425"/>
      <c r="RPQ12" s="425"/>
      <c r="RPR12" s="425"/>
      <c r="RPS12" s="425"/>
      <c r="RPT12" s="425"/>
      <c r="RPU12" s="425"/>
      <c r="RPV12" s="425"/>
      <c r="RPW12" s="425"/>
      <c r="RPX12" s="425"/>
      <c r="RPY12" s="425"/>
      <c r="RPZ12" s="425"/>
      <c r="RQA12" s="425"/>
      <c r="RQB12" s="425"/>
      <c r="RQC12" s="425"/>
      <c r="RQD12" s="425"/>
      <c r="RQE12" s="425"/>
      <c r="RQF12" s="425"/>
      <c r="RQG12" s="425"/>
      <c r="RQH12" s="425"/>
      <c r="RQI12" s="425"/>
      <c r="RQJ12" s="425"/>
      <c r="RQK12" s="425"/>
      <c r="RQL12" s="425"/>
      <c r="RQM12" s="425"/>
      <c r="RQN12" s="425"/>
      <c r="RQO12" s="425"/>
      <c r="RQP12" s="425"/>
      <c r="RQQ12" s="425"/>
      <c r="RQR12" s="425"/>
      <c r="RQS12" s="425"/>
      <c r="RQT12" s="425"/>
      <c r="RQU12" s="425"/>
      <c r="RQV12" s="425"/>
      <c r="RQW12" s="425"/>
      <c r="RQX12" s="425"/>
      <c r="RQY12" s="425"/>
      <c r="RQZ12" s="425"/>
      <c r="RRA12" s="425"/>
      <c r="RRB12" s="425"/>
      <c r="RRC12" s="425"/>
      <c r="RRD12" s="425"/>
      <c r="RRE12" s="425"/>
      <c r="RRF12" s="425"/>
      <c r="RRG12" s="425"/>
      <c r="RRH12" s="425"/>
      <c r="RRI12" s="425"/>
      <c r="RRJ12" s="425"/>
      <c r="RRK12" s="425"/>
      <c r="RRL12" s="425"/>
      <c r="RRM12" s="425"/>
      <c r="RRN12" s="425"/>
      <c r="RRO12" s="425"/>
      <c r="RRP12" s="425"/>
      <c r="RRQ12" s="425"/>
      <c r="RRR12" s="425"/>
      <c r="RRS12" s="425"/>
      <c r="RRT12" s="425"/>
      <c r="RRU12" s="425"/>
      <c r="RRV12" s="425"/>
      <c r="RRW12" s="425"/>
      <c r="RRX12" s="425"/>
      <c r="RRY12" s="425"/>
      <c r="RRZ12" s="425"/>
      <c r="RSA12" s="425"/>
      <c r="RSB12" s="425"/>
      <c r="RSC12" s="425"/>
      <c r="RSD12" s="425"/>
      <c r="RSE12" s="425"/>
      <c r="RSF12" s="425"/>
      <c r="RSG12" s="425"/>
      <c r="RSH12" s="425"/>
      <c r="RSI12" s="425"/>
      <c r="RSJ12" s="425"/>
      <c r="RSK12" s="425"/>
      <c r="RSL12" s="425"/>
      <c r="RSM12" s="425"/>
      <c r="RSN12" s="425"/>
      <c r="RSO12" s="425"/>
      <c r="RSP12" s="425"/>
      <c r="RSQ12" s="425"/>
      <c r="RSR12" s="425"/>
      <c r="RSS12" s="425"/>
      <c r="RST12" s="425"/>
      <c r="RSU12" s="425"/>
      <c r="RSV12" s="425"/>
      <c r="RSW12" s="425"/>
      <c r="RSX12" s="425"/>
      <c r="RSY12" s="425"/>
      <c r="RSZ12" s="425"/>
      <c r="RTA12" s="425"/>
      <c r="RTB12" s="425"/>
      <c r="RTC12" s="425"/>
      <c r="RTD12" s="425"/>
      <c r="RTE12" s="425"/>
      <c r="RTF12" s="425"/>
      <c r="RTG12" s="425"/>
      <c r="RTH12" s="425"/>
      <c r="RTI12" s="425"/>
      <c r="RTJ12" s="425"/>
      <c r="RTK12" s="425"/>
      <c r="RTL12" s="425"/>
      <c r="RTM12" s="425"/>
      <c r="RTN12" s="425"/>
      <c r="RTO12" s="425"/>
      <c r="RTP12" s="425"/>
      <c r="RTQ12" s="425"/>
      <c r="RTR12" s="425"/>
      <c r="RTS12" s="425"/>
      <c r="RTT12" s="425"/>
      <c r="RTU12" s="425"/>
      <c r="RTV12" s="425"/>
      <c r="RTW12" s="425"/>
      <c r="RTX12" s="425"/>
      <c r="RTY12" s="425"/>
      <c r="RTZ12" s="425"/>
      <c r="RUA12" s="425"/>
      <c r="RUB12" s="425"/>
      <c r="RUC12" s="425"/>
      <c r="RUD12" s="425"/>
      <c r="RUE12" s="425"/>
      <c r="RUF12" s="425"/>
      <c r="RUG12" s="425"/>
      <c r="RUH12" s="425"/>
      <c r="RUI12" s="425"/>
      <c r="RUJ12" s="425"/>
      <c r="RUK12" s="425"/>
      <c r="RUL12" s="425"/>
      <c r="RUM12" s="425"/>
      <c r="RUN12" s="425"/>
      <c r="RUO12" s="425"/>
      <c r="RUP12" s="425"/>
      <c r="RUQ12" s="425"/>
      <c r="RUR12" s="425"/>
      <c r="RUS12" s="425"/>
      <c r="RUT12" s="425"/>
      <c r="RUU12" s="425"/>
      <c r="RUV12" s="425"/>
      <c r="RUW12" s="425"/>
      <c r="RUX12" s="425"/>
      <c r="RUY12" s="425"/>
      <c r="RUZ12" s="425"/>
      <c r="RVA12" s="425"/>
      <c r="RVB12" s="425"/>
      <c r="RVC12" s="425"/>
      <c r="RVD12" s="425"/>
      <c r="RVE12" s="425"/>
      <c r="RVF12" s="425"/>
      <c r="RVG12" s="425"/>
      <c r="RVH12" s="425"/>
      <c r="RVI12" s="425"/>
      <c r="RVJ12" s="425"/>
      <c r="RVK12" s="425"/>
      <c r="RVL12" s="425"/>
      <c r="RVM12" s="425"/>
      <c r="RVN12" s="425"/>
      <c r="RVO12" s="425"/>
      <c r="RVP12" s="425"/>
      <c r="RVQ12" s="425"/>
      <c r="RVR12" s="425"/>
      <c r="RVS12" s="425"/>
      <c r="RVT12" s="425"/>
      <c r="RVU12" s="425"/>
      <c r="RVV12" s="425"/>
      <c r="RVW12" s="425"/>
      <c r="RVX12" s="425"/>
      <c r="RVY12" s="425"/>
      <c r="RVZ12" s="425"/>
      <c r="RWA12" s="425"/>
      <c r="RWB12" s="425"/>
      <c r="RWC12" s="425"/>
      <c r="RWD12" s="425"/>
      <c r="RWE12" s="425"/>
      <c r="RWF12" s="425"/>
      <c r="RWG12" s="425"/>
      <c r="RWH12" s="425"/>
      <c r="RWI12" s="425"/>
      <c r="RWJ12" s="425"/>
      <c r="RWK12" s="425"/>
      <c r="RWL12" s="425"/>
      <c r="RWM12" s="425"/>
      <c r="RWN12" s="425"/>
      <c r="RWO12" s="425"/>
      <c r="RWP12" s="425"/>
      <c r="RWQ12" s="425"/>
      <c r="RWR12" s="425"/>
      <c r="RWS12" s="425"/>
      <c r="RWT12" s="425"/>
      <c r="RWU12" s="425"/>
      <c r="RWV12" s="425"/>
      <c r="RWW12" s="425"/>
      <c r="RWX12" s="425"/>
      <c r="RWY12" s="425"/>
      <c r="RWZ12" s="425"/>
      <c r="RXA12" s="425"/>
      <c r="RXB12" s="425"/>
      <c r="RXC12" s="425"/>
      <c r="RXD12" s="425"/>
      <c r="RXE12" s="425"/>
      <c r="RXF12" s="425"/>
      <c r="RXG12" s="425"/>
      <c r="RXH12" s="425"/>
      <c r="RXI12" s="425"/>
      <c r="RXJ12" s="425"/>
      <c r="RXK12" s="425"/>
      <c r="RXL12" s="425"/>
      <c r="RXM12" s="425"/>
      <c r="RXN12" s="425"/>
      <c r="RXO12" s="425"/>
      <c r="RXP12" s="425"/>
      <c r="RXQ12" s="425"/>
      <c r="RXR12" s="425"/>
      <c r="RXS12" s="425"/>
      <c r="RXT12" s="425"/>
      <c r="RXU12" s="425"/>
      <c r="RXV12" s="425"/>
      <c r="RXW12" s="425"/>
      <c r="RXX12" s="425"/>
      <c r="RXY12" s="425"/>
      <c r="RXZ12" s="425"/>
      <c r="RYA12" s="425"/>
      <c r="RYB12" s="425"/>
      <c r="RYC12" s="425"/>
      <c r="RYD12" s="425"/>
      <c r="RYE12" s="425"/>
      <c r="RYF12" s="425"/>
      <c r="RYG12" s="425"/>
      <c r="RYH12" s="425"/>
      <c r="RYI12" s="425"/>
      <c r="RYJ12" s="425"/>
      <c r="RYK12" s="425"/>
      <c r="RYL12" s="425"/>
      <c r="RYM12" s="425"/>
      <c r="RYN12" s="425"/>
      <c r="RYO12" s="425"/>
      <c r="RYP12" s="425"/>
      <c r="RYQ12" s="425"/>
      <c r="RYR12" s="425"/>
      <c r="RYS12" s="425"/>
      <c r="RYT12" s="425"/>
      <c r="RYU12" s="425"/>
      <c r="RYV12" s="425"/>
      <c r="RYW12" s="425"/>
      <c r="RYX12" s="425"/>
      <c r="RYY12" s="425"/>
      <c r="RYZ12" s="425"/>
      <c r="RZA12" s="425"/>
      <c r="RZB12" s="425"/>
      <c r="RZC12" s="425"/>
      <c r="RZD12" s="425"/>
      <c r="RZE12" s="425"/>
      <c r="RZF12" s="425"/>
      <c r="RZG12" s="425"/>
      <c r="RZH12" s="425"/>
      <c r="RZI12" s="425"/>
      <c r="RZJ12" s="425"/>
      <c r="RZK12" s="425"/>
      <c r="RZL12" s="425"/>
      <c r="RZM12" s="425"/>
      <c r="RZN12" s="425"/>
      <c r="RZO12" s="425"/>
      <c r="RZP12" s="425"/>
      <c r="RZQ12" s="425"/>
      <c r="RZR12" s="425"/>
      <c r="RZS12" s="425"/>
      <c r="RZT12" s="425"/>
      <c r="RZU12" s="425"/>
      <c r="RZV12" s="425"/>
      <c r="RZW12" s="425"/>
      <c r="RZX12" s="425"/>
      <c r="RZY12" s="425"/>
      <c r="RZZ12" s="425"/>
      <c r="SAA12" s="425"/>
      <c r="SAB12" s="425"/>
      <c r="SAC12" s="425"/>
      <c r="SAD12" s="425"/>
      <c r="SAE12" s="425"/>
      <c r="SAF12" s="425"/>
      <c r="SAG12" s="425"/>
      <c r="SAH12" s="425"/>
      <c r="SAI12" s="425"/>
      <c r="SAJ12" s="425"/>
      <c r="SAK12" s="425"/>
      <c r="SAL12" s="425"/>
      <c r="SAM12" s="425"/>
      <c r="SAN12" s="425"/>
      <c r="SAO12" s="425"/>
      <c r="SAP12" s="425"/>
      <c r="SAQ12" s="425"/>
      <c r="SAR12" s="425"/>
      <c r="SAS12" s="425"/>
      <c r="SAT12" s="425"/>
      <c r="SAU12" s="425"/>
      <c r="SAV12" s="425"/>
      <c r="SAW12" s="425"/>
      <c r="SAX12" s="425"/>
      <c r="SAY12" s="425"/>
      <c r="SAZ12" s="425"/>
      <c r="SBA12" s="425"/>
      <c r="SBB12" s="425"/>
      <c r="SBC12" s="425"/>
      <c r="SBD12" s="425"/>
      <c r="SBE12" s="425"/>
      <c r="SBF12" s="425"/>
      <c r="SBG12" s="425"/>
      <c r="SBH12" s="425"/>
      <c r="SBI12" s="425"/>
      <c r="SBJ12" s="425"/>
      <c r="SBK12" s="425"/>
      <c r="SBL12" s="425"/>
      <c r="SBM12" s="425"/>
      <c r="SBN12" s="425"/>
      <c r="SBO12" s="425"/>
      <c r="SBP12" s="425"/>
      <c r="SBQ12" s="425"/>
      <c r="SBR12" s="425"/>
      <c r="SBS12" s="425"/>
      <c r="SBT12" s="425"/>
      <c r="SBU12" s="425"/>
      <c r="SBV12" s="425"/>
      <c r="SBW12" s="425"/>
      <c r="SBX12" s="425"/>
      <c r="SBY12" s="425"/>
      <c r="SBZ12" s="425"/>
      <c r="SCA12" s="425"/>
      <c r="SCB12" s="425"/>
      <c r="SCC12" s="425"/>
      <c r="SCD12" s="425"/>
      <c r="SCE12" s="425"/>
      <c r="SCF12" s="425"/>
      <c r="SCG12" s="425"/>
      <c r="SCH12" s="425"/>
      <c r="SCI12" s="425"/>
      <c r="SCJ12" s="425"/>
      <c r="SCK12" s="425"/>
      <c r="SCL12" s="425"/>
      <c r="SCM12" s="425"/>
      <c r="SCN12" s="425"/>
      <c r="SCO12" s="425"/>
      <c r="SCP12" s="425"/>
      <c r="SCQ12" s="425"/>
      <c r="SCR12" s="425"/>
      <c r="SCS12" s="425"/>
      <c r="SCT12" s="425"/>
      <c r="SCU12" s="425"/>
      <c r="SCV12" s="425"/>
      <c r="SCW12" s="425"/>
      <c r="SCX12" s="425"/>
      <c r="SCY12" s="425"/>
      <c r="SCZ12" s="425"/>
      <c r="SDA12" s="425"/>
      <c r="SDB12" s="425"/>
      <c r="SDC12" s="425"/>
      <c r="SDD12" s="425"/>
      <c r="SDE12" s="425"/>
      <c r="SDF12" s="425"/>
      <c r="SDG12" s="425"/>
      <c r="SDH12" s="425"/>
      <c r="SDI12" s="425"/>
      <c r="SDJ12" s="425"/>
      <c r="SDK12" s="425"/>
      <c r="SDL12" s="425"/>
      <c r="SDM12" s="425"/>
      <c r="SDN12" s="425"/>
      <c r="SDO12" s="425"/>
      <c r="SDP12" s="425"/>
      <c r="SDQ12" s="425"/>
      <c r="SDR12" s="425"/>
      <c r="SDS12" s="425"/>
      <c r="SDT12" s="425"/>
      <c r="SDU12" s="425"/>
      <c r="SDV12" s="425"/>
      <c r="SDW12" s="425"/>
      <c r="SDX12" s="425"/>
      <c r="SDY12" s="425"/>
      <c r="SDZ12" s="425"/>
      <c r="SEA12" s="425"/>
      <c r="SEB12" s="425"/>
      <c r="SEC12" s="425"/>
      <c r="SED12" s="425"/>
      <c r="SEE12" s="425"/>
      <c r="SEF12" s="425"/>
      <c r="SEG12" s="425"/>
      <c r="SEH12" s="425"/>
      <c r="SEI12" s="425"/>
      <c r="SEJ12" s="425"/>
      <c r="SEK12" s="425"/>
      <c r="SEL12" s="425"/>
      <c r="SEM12" s="425"/>
      <c r="SEN12" s="425"/>
      <c r="SEO12" s="425"/>
      <c r="SEP12" s="425"/>
      <c r="SEQ12" s="425"/>
      <c r="SER12" s="425"/>
      <c r="SES12" s="425"/>
      <c r="SET12" s="425"/>
      <c r="SEU12" s="425"/>
      <c r="SEV12" s="425"/>
      <c r="SEW12" s="425"/>
      <c r="SEX12" s="425"/>
      <c r="SEY12" s="425"/>
      <c r="SEZ12" s="425"/>
      <c r="SFA12" s="425"/>
      <c r="SFB12" s="425"/>
      <c r="SFC12" s="425"/>
      <c r="SFD12" s="425"/>
      <c r="SFE12" s="425"/>
      <c r="SFF12" s="425"/>
      <c r="SFG12" s="425"/>
      <c r="SFH12" s="425"/>
      <c r="SFI12" s="425"/>
      <c r="SFJ12" s="425"/>
      <c r="SFK12" s="425"/>
      <c r="SFL12" s="425"/>
      <c r="SFM12" s="425"/>
      <c r="SFN12" s="425"/>
      <c r="SFO12" s="425"/>
      <c r="SFP12" s="425"/>
      <c r="SFQ12" s="425"/>
      <c r="SFR12" s="425"/>
      <c r="SFS12" s="425"/>
      <c r="SFT12" s="425"/>
      <c r="SFU12" s="425"/>
      <c r="SFV12" s="425"/>
      <c r="SFW12" s="425"/>
      <c r="SFX12" s="425"/>
      <c r="SFY12" s="425"/>
      <c r="SFZ12" s="425"/>
      <c r="SGA12" s="425"/>
      <c r="SGB12" s="425"/>
      <c r="SGC12" s="425"/>
      <c r="SGD12" s="425"/>
      <c r="SGE12" s="425"/>
      <c r="SGF12" s="425"/>
      <c r="SGG12" s="425"/>
      <c r="SGH12" s="425"/>
      <c r="SGI12" s="425"/>
      <c r="SGJ12" s="425"/>
      <c r="SGK12" s="425"/>
      <c r="SGL12" s="425"/>
      <c r="SGM12" s="425"/>
      <c r="SGN12" s="425"/>
      <c r="SGO12" s="425"/>
      <c r="SGP12" s="425"/>
      <c r="SGQ12" s="425"/>
      <c r="SGR12" s="425"/>
      <c r="SGS12" s="425"/>
      <c r="SGT12" s="425"/>
      <c r="SGU12" s="425"/>
      <c r="SGV12" s="425"/>
      <c r="SGW12" s="425"/>
      <c r="SGX12" s="425"/>
      <c r="SGY12" s="425"/>
      <c r="SGZ12" s="425"/>
      <c r="SHA12" s="425"/>
      <c r="SHB12" s="425"/>
      <c r="SHC12" s="425"/>
      <c r="SHD12" s="425"/>
      <c r="SHE12" s="425"/>
      <c r="SHF12" s="425"/>
      <c r="SHG12" s="425"/>
      <c r="SHH12" s="425"/>
      <c r="SHI12" s="425"/>
      <c r="SHJ12" s="425"/>
      <c r="SHK12" s="425"/>
      <c r="SHL12" s="425"/>
      <c r="SHM12" s="425"/>
      <c r="SHN12" s="425"/>
      <c r="SHO12" s="425"/>
      <c r="SHP12" s="425"/>
      <c r="SHQ12" s="425"/>
      <c r="SHR12" s="425"/>
      <c r="SHS12" s="425"/>
      <c r="SHT12" s="425"/>
      <c r="SHU12" s="425"/>
      <c r="SHV12" s="425"/>
      <c r="SHW12" s="425"/>
      <c r="SHX12" s="425"/>
      <c r="SHY12" s="425"/>
      <c r="SHZ12" s="425"/>
      <c r="SIA12" s="425"/>
      <c r="SIB12" s="425"/>
      <c r="SIC12" s="425"/>
      <c r="SID12" s="425"/>
      <c r="SIE12" s="425"/>
      <c r="SIF12" s="425"/>
      <c r="SIG12" s="425"/>
      <c r="SIH12" s="425"/>
      <c r="SII12" s="425"/>
      <c r="SIJ12" s="425"/>
      <c r="SIK12" s="425"/>
      <c r="SIL12" s="425"/>
      <c r="SIM12" s="425"/>
      <c r="SIN12" s="425"/>
      <c r="SIO12" s="425"/>
      <c r="SIP12" s="425"/>
      <c r="SIQ12" s="425"/>
      <c r="SIR12" s="425"/>
      <c r="SIS12" s="425"/>
      <c r="SIT12" s="425"/>
      <c r="SIU12" s="425"/>
      <c r="SIV12" s="425"/>
      <c r="SIW12" s="425"/>
      <c r="SIX12" s="425"/>
      <c r="SIY12" s="425"/>
      <c r="SIZ12" s="425"/>
      <c r="SJA12" s="425"/>
      <c r="SJB12" s="425"/>
      <c r="SJC12" s="425"/>
      <c r="SJD12" s="425"/>
      <c r="SJE12" s="425"/>
      <c r="SJF12" s="425"/>
      <c r="SJG12" s="425"/>
      <c r="SJH12" s="425"/>
      <c r="SJI12" s="425"/>
      <c r="SJJ12" s="425"/>
      <c r="SJK12" s="425"/>
      <c r="SJL12" s="425"/>
      <c r="SJM12" s="425"/>
      <c r="SJN12" s="425"/>
      <c r="SJO12" s="425"/>
      <c r="SJP12" s="425"/>
      <c r="SJQ12" s="425"/>
      <c r="SJR12" s="425"/>
      <c r="SJS12" s="425"/>
      <c r="SJT12" s="425"/>
      <c r="SJU12" s="425"/>
      <c r="SJV12" s="425"/>
      <c r="SJW12" s="425"/>
      <c r="SJX12" s="425"/>
      <c r="SJY12" s="425"/>
      <c r="SJZ12" s="425"/>
      <c r="SKA12" s="425"/>
      <c r="SKB12" s="425"/>
      <c r="SKC12" s="425"/>
      <c r="SKD12" s="425"/>
      <c r="SKE12" s="425"/>
      <c r="SKF12" s="425"/>
      <c r="SKG12" s="425"/>
      <c r="SKH12" s="425"/>
      <c r="SKI12" s="425"/>
      <c r="SKJ12" s="425"/>
      <c r="SKK12" s="425"/>
      <c r="SKL12" s="425"/>
      <c r="SKM12" s="425"/>
      <c r="SKN12" s="425"/>
      <c r="SKO12" s="425"/>
      <c r="SKP12" s="425"/>
      <c r="SKQ12" s="425"/>
      <c r="SKR12" s="425"/>
      <c r="SKS12" s="425"/>
      <c r="SKT12" s="425"/>
      <c r="SKU12" s="425"/>
      <c r="SKV12" s="425"/>
      <c r="SKW12" s="425"/>
      <c r="SKX12" s="425"/>
      <c r="SKY12" s="425"/>
      <c r="SKZ12" s="425"/>
      <c r="SLA12" s="425"/>
      <c r="SLB12" s="425"/>
      <c r="SLC12" s="425"/>
      <c r="SLD12" s="425"/>
      <c r="SLE12" s="425"/>
      <c r="SLF12" s="425"/>
      <c r="SLG12" s="425"/>
      <c r="SLH12" s="425"/>
      <c r="SLI12" s="425"/>
      <c r="SLJ12" s="425"/>
      <c r="SLK12" s="425"/>
      <c r="SLL12" s="425"/>
      <c r="SLM12" s="425"/>
      <c r="SLN12" s="425"/>
      <c r="SLO12" s="425"/>
      <c r="SLP12" s="425"/>
      <c r="SLQ12" s="425"/>
      <c r="SLR12" s="425"/>
      <c r="SLS12" s="425"/>
      <c r="SLT12" s="425"/>
      <c r="SLU12" s="425"/>
      <c r="SLV12" s="425"/>
      <c r="SLW12" s="425"/>
      <c r="SLX12" s="425"/>
      <c r="SLY12" s="425"/>
      <c r="SLZ12" s="425"/>
      <c r="SMA12" s="425"/>
      <c r="SMB12" s="425"/>
      <c r="SMC12" s="425"/>
      <c r="SMD12" s="425"/>
      <c r="SME12" s="425"/>
      <c r="SMF12" s="425"/>
      <c r="SMG12" s="425"/>
      <c r="SMH12" s="425"/>
      <c r="SMI12" s="425"/>
      <c r="SMJ12" s="425"/>
      <c r="SMK12" s="425"/>
      <c r="SML12" s="425"/>
      <c r="SMM12" s="425"/>
      <c r="SMN12" s="425"/>
      <c r="SMO12" s="425"/>
      <c r="SMP12" s="425"/>
      <c r="SMQ12" s="425"/>
      <c r="SMR12" s="425"/>
      <c r="SMS12" s="425"/>
      <c r="SMT12" s="425"/>
      <c r="SMU12" s="425"/>
      <c r="SMV12" s="425"/>
      <c r="SMW12" s="425"/>
      <c r="SMX12" s="425"/>
      <c r="SMY12" s="425"/>
      <c r="SMZ12" s="425"/>
      <c r="SNA12" s="425"/>
      <c r="SNB12" s="425"/>
      <c r="SNC12" s="425"/>
      <c r="SND12" s="425"/>
      <c r="SNE12" s="425"/>
      <c r="SNF12" s="425"/>
      <c r="SNG12" s="425"/>
      <c r="SNH12" s="425"/>
      <c r="SNI12" s="425"/>
      <c r="SNJ12" s="425"/>
      <c r="SNK12" s="425"/>
      <c r="SNL12" s="425"/>
      <c r="SNM12" s="425"/>
      <c r="SNN12" s="425"/>
      <c r="SNO12" s="425"/>
      <c r="SNP12" s="425"/>
      <c r="SNQ12" s="425"/>
      <c r="SNR12" s="425"/>
      <c r="SNS12" s="425"/>
      <c r="SNT12" s="425"/>
      <c r="SNU12" s="425"/>
      <c r="SNV12" s="425"/>
      <c r="SNW12" s="425"/>
      <c r="SNX12" s="425"/>
      <c r="SNY12" s="425"/>
      <c r="SNZ12" s="425"/>
      <c r="SOA12" s="425"/>
      <c r="SOB12" s="425"/>
      <c r="SOC12" s="425"/>
      <c r="SOD12" s="425"/>
      <c r="SOE12" s="425"/>
      <c r="SOF12" s="425"/>
      <c r="SOG12" s="425"/>
      <c r="SOH12" s="425"/>
      <c r="SOI12" s="425"/>
      <c r="SOJ12" s="425"/>
      <c r="SOK12" s="425"/>
      <c r="SOL12" s="425"/>
      <c r="SOM12" s="425"/>
      <c r="SON12" s="425"/>
      <c r="SOO12" s="425"/>
      <c r="SOP12" s="425"/>
      <c r="SOQ12" s="425"/>
      <c r="SOR12" s="425"/>
      <c r="SOS12" s="425"/>
      <c r="SOT12" s="425"/>
      <c r="SOU12" s="425"/>
      <c r="SOV12" s="425"/>
      <c r="SOW12" s="425"/>
      <c r="SOX12" s="425"/>
      <c r="SOY12" s="425"/>
      <c r="SOZ12" s="425"/>
      <c r="SPA12" s="425"/>
      <c r="SPB12" s="425"/>
      <c r="SPC12" s="425"/>
      <c r="SPD12" s="425"/>
      <c r="SPE12" s="425"/>
      <c r="SPF12" s="425"/>
      <c r="SPG12" s="425"/>
      <c r="SPH12" s="425"/>
      <c r="SPI12" s="425"/>
      <c r="SPJ12" s="425"/>
      <c r="SPK12" s="425"/>
      <c r="SPL12" s="425"/>
      <c r="SPM12" s="425"/>
      <c r="SPN12" s="425"/>
      <c r="SPO12" s="425"/>
      <c r="SPP12" s="425"/>
      <c r="SPQ12" s="425"/>
      <c r="SPR12" s="425"/>
      <c r="SPS12" s="425"/>
      <c r="SPT12" s="425"/>
      <c r="SPU12" s="425"/>
      <c r="SPV12" s="425"/>
      <c r="SPW12" s="425"/>
      <c r="SPX12" s="425"/>
      <c r="SPY12" s="425"/>
      <c r="SPZ12" s="425"/>
      <c r="SQA12" s="425"/>
      <c r="SQB12" s="425"/>
      <c r="SQC12" s="425"/>
      <c r="SQD12" s="425"/>
      <c r="SQE12" s="425"/>
      <c r="SQF12" s="425"/>
      <c r="SQG12" s="425"/>
      <c r="SQH12" s="425"/>
      <c r="SQI12" s="425"/>
      <c r="SQJ12" s="425"/>
      <c r="SQK12" s="425"/>
      <c r="SQL12" s="425"/>
      <c r="SQM12" s="425"/>
      <c r="SQN12" s="425"/>
      <c r="SQO12" s="425"/>
      <c r="SQP12" s="425"/>
      <c r="SQQ12" s="425"/>
      <c r="SQR12" s="425"/>
      <c r="SQS12" s="425"/>
      <c r="SQT12" s="425"/>
      <c r="SQU12" s="425"/>
      <c r="SQV12" s="425"/>
      <c r="SQW12" s="425"/>
      <c r="SQX12" s="425"/>
      <c r="SQY12" s="425"/>
      <c r="SQZ12" s="425"/>
      <c r="SRA12" s="425"/>
      <c r="SRB12" s="425"/>
      <c r="SRC12" s="425"/>
      <c r="SRD12" s="425"/>
      <c r="SRE12" s="425"/>
      <c r="SRF12" s="425"/>
      <c r="SRG12" s="425"/>
      <c r="SRH12" s="425"/>
      <c r="SRI12" s="425"/>
      <c r="SRJ12" s="425"/>
      <c r="SRK12" s="425"/>
      <c r="SRL12" s="425"/>
      <c r="SRM12" s="425"/>
      <c r="SRN12" s="425"/>
      <c r="SRO12" s="425"/>
      <c r="SRP12" s="425"/>
      <c r="SRQ12" s="425"/>
      <c r="SRR12" s="425"/>
      <c r="SRS12" s="425"/>
      <c r="SRT12" s="425"/>
      <c r="SRU12" s="425"/>
      <c r="SRV12" s="425"/>
      <c r="SRW12" s="425"/>
      <c r="SRX12" s="425"/>
      <c r="SRY12" s="425"/>
      <c r="SRZ12" s="425"/>
      <c r="SSA12" s="425"/>
      <c r="SSB12" s="425"/>
      <c r="SSC12" s="425"/>
      <c r="SSD12" s="425"/>
      <c r="SSE12" s="425"/>
      <c r="SSF12" s="425"/>
      <c r="SSG12" s="425"/>
      <c r="SSH12" s="425"/>
      <c r="SSI12" s="425"/>
      <c r="SSJ12" s="425"/>
      <c r="SSK12" s="425"/>
      <c r="SSL12" s="425"/>
      <c r="SSM12" s="425"/>
      <c r="SSN12" s="425"/>
      <c r="SSO12" s="425"/>
      <c r="SSP12" s="425"/>
      <c r="SSQ12" s="425"/>
      <c r="SSR12" s="425"/>
      <c r="SSS12" s="425"/>
      <c r="SST12" s="425"/>
      <c r="SSU12" s="425"/>
      <c r="SSV12" s="425"/>
      <c r="SSW12" s="425"/>
      <c r="SSX12" s="425"/>
      <c r="SSY12" s="425"/>
      <c r="SSZ12" s="425"/>
      <c r="STA12" s="425"/>
      <c r="STB12" s="425"/>
      <c r="STC12" s="425"/>
      <c r="STD12" s="425"/>
      <c r="STE12" s="425"/>
      <c r="STF12" s="425"/>
      <c r="STG12" s="425"/>
      <c r="STH12" s="425"/>
      <c r="STI12" s="425"/>
      <c r="STJ12" s="425"/>
      <c r="STK12" s="425"/>
      <c r="STL12" s="425"/>
      <c r="STM12" s="425"/>
      <c r="STN12" s="425"/>
      <c r="STO12" s="425"/>
      <c r="STP12" s="425"/>
      <c r="STQ12" s="425"/>
      <c r="STR12" s="425"/>
      <c r="STS12" s="425"/>
      <c r="STT12" s="425"/>
      <c r="STU12" s="425"/>
      <c r="STV12" s="425"/>
      <c r="STW12" s="425"/>
      <c r="STX12" s="425"/>
      <c r="STY12" s="425"/>
      <c r="STZ12" s="425"/>
      <c r="SUA12" s="425"/>
      <c r="SUB12" s="425"/>
      <c r="SUC12" s="425"/>
      <c r="SUD12" s="425"/>
      <c r="SUE12" s="425"/>
      <c r="SUF12" s="425"/>
      <c r="SUG12" s="425"/>
      <c r="SUH12" s="425"/>
      <c r="SUI12" s="425"/>
      <c r="SUJ12" s="425"/>
      <c r="SUK12" s="425"/>
      <c r="SUL12" s="425"/>
      <c r="SUM12" s="425"/>
      <c r="SUN12" s="425"/>
      <c r="SUO12" s="425"/>
      <c r="SUP12" s="425"/>
      <c r="SUQ12" s="425"/>
      <c r="SUR12" s="425"/>
      <c r="SUS12" s="425"/>
      <c r="SUT12" s="425"/>
      <c r="SUU12" s="425"/>
      <c r="SUV12" s="425"/>
      <c r="SUW12" s="425"/>
      <c r="SUX12" s="425"/>
      <c r="SUY12" s="425"/>
      <c r="SUZ12" s="425"/>
      <c r="SVA12" s="425"/>
      <c r="SVB12" s="425"/>
      <c r="SVC12" s="425"/>
      <c r="SVD12" s="425"/>
      <c r="SVE12" s="425"/>
      <c r="SVF12" s="425"/>
      <c r="SVG12" s="425"/>
      <c r="SVH12" s="425"/>
      <c r="SVI12" s="425"/>
      <c r="SVJ12" s="425"/>
      <c r="SVK12" s="425"/>
      <c r="SVL12" s="425"/>
      <c r="SVM12" s="425"/>
      <c r="SVN12" s="425"/>
      <c r="SVO12" s="425"/>
      <c r="SVP12" s="425"/>
      <c r="SVQ12" s="425"/>
      <c r="SVR12" s="425"/>
      <c r="SVS12" s="425"/>
      <c r="SVT12" s="425"/>
      <c r="SVU12" s="425"/>
      <c r="SVV12" s="425"/>
      <c r="SVW12" s="425"/>
      <c r="SVX12" s="425"/>
      <c r="SVY12" s="425"/>
      <c r="SVZ12" s="425"/>
      <c r="SWA12" s="425"/>
      <c r="SWB12" s="425"/>
      <c r="SWC12" s="425"/>
      <c r="SWD12" s="425"/>
      <c r="SWE12" s="425"/>
      <c r="SWF12" s="425"/>
      <c r="SWG12" s="425"/>
      <c r="SWH12" s="425"/>
      <c r="SWI12" s="425"/>
      <c r="SWJ12" s="425"/>
      <c r="SWK12" s="425"/>
      <c r="SWL12" s="425"/>
      <c r="SWM12" s="425"/>
      <c r="SWN12" s="425"/>
      <c r="SWO12" s="425"/>
      <c r="SWP12" s="425"/>
      <c r="SWQ12" s="425"/>
      <c r="SWR12" s="425"/>
      <c r="SWS12" s="425"/>
      <c r="SWT12" s="425"/>
      <c r="SWU12" s="425"/>
      <c r="SWV12" s="425"/>
      <c r="SWW12" s="425"/>
      <c r="SWX12" s="425"/>
      <c r="SWY12" s="425"/>
      <c r="SWZ12" s="425"/>
      <c r="SXA12" s="425"/>
      <c r="SXB12" s="425"/>
      <c r="SXC12" s="425"/>
      <c r="SXD12" s="425"/>
      <c r="SXE12" s="425"/>
      <c r="SXF12" s="425"/>
      <c r="SXG12" s="425"/>
      <c r="SXH12" s="425"/>
      <c r="SXI12" s="425"/>
      <c r="SXJ12" s="425"/>
      <c r="SXK12" s="425"/>
      <c r="SXL12" s="425"/>
      <c r="SXM12" s="425"/>
      <c r="SXN12" s="425"/>
      <c r="SXO12" s="425"/>
      <c r="SXP12" s="425"/>
      <c r="SXQ12" s="425"/>
      <c r="SXR12" s="425"/>
      <c r="SXS12" s="425"/>
      <c r="SXT12" s="425"/>
      <c r="SXU12" s="425"/>
      <c r="SXV12" s="425"/>
      <c r="SXW12" s="425"/>
      <c r="SXX12" s="425"/>
      <c r="SXY12" s="425"/>
      <c r="SXZ12" s="425"/>
      <c r="SYA12" s="425"/>
      <c r="SYB12" s="425"/>
      <c r="SYC12" s="425"/>
      <c r="SYD12" s="425"/>
      <c r="SYE12" s="425"/>
      <c r="SYF12" s="425"/>
      <c r="SYG12" s="425"/>
      <c r="SYH12" s="425"/>
      <c r="SYI12" s="425"/>
      <c r="SYJ12" s="425"/>
      <c r="SYK12" s="425"/>
      <c r="SYL12" s="425"/>
      <c r="SYM12" s="425"/>
      <c r="SYN12" s="425"/>
      <c r="SYO12" s="425"/>
      <c r="SYP12" s="425"/>
      <c r="SYQ12" s="425"/>
      <c r="SYR12" s="425"/>
      <c r="SYS12" s="425"/>
      <c r="SYT12" s="425"/>
      <c r="SYU12" s="425"/>
      <c r="SYV12" s="425"/>
      <c r="SYW12" s="425"/>
      <c r="SYX12" s="425"/>
      <c r="SYY12" s="425"/>
      <c r="SYZ12" s="425"/>
      <c r="SZA12" s="425"/>
      <c r="SZB12" s="425"/>
      <c r="SZC12" s="425"/>
      <c r="SZD12" s="425"/>
      <c r="SZE12" s="425"/>
      <c r="SZF12" s="425"/>
      <c r="SZG12" s="425"/>
      <c r="SZH12" s="425"/>
      <c r="SZI12" s="425"/>
      <c r="SZJ12" s="425"/>
      <c r="SZK12" s="425"/>
      <c r="SZL12" s="425"/>
      <c r="SZM12" s="425"/>
      <c r="SZN12" s="425"/>
      <c r="SZO12" s="425"/>
      <c r="SZP12" s="425"/>
      <c r="SZQ12" s="425"/>
      <c r="SZR12" s="425"/>
      <c r="SZS12" s="425"/>
      <c r="SZT12" s="425"/>
      <c r="SZU12" s="425"/>
      <c r="SZV12" s="425"/>
      <c r="SZW12" s="425"/>
      <c r="SZX12" s="425"/>
      <c r="SZY12" s="425"/>
      <c r="SZZ12" s="425"/>
      <c r="TAA12" s="425"/>
      <c r="TAB12" s="425"/>
      <c r="TAC12" s="425"/>
      <c r="TAD12" s="425"/>
      <c r="TAE12" s="425"/>
      <c r="TAF12" s="425"/>
      <c r="TAG12" s="425"/>
      <c r="TAH12" s="425"/>
      <c r="TAI12" s="425"/>
      <c r="TAJ12" s="425"/>
      <c r="TAK12" s="425"/>
      <c r="TAL12" s="425"/>
      <c r="TAM12" s="425"/>
      <c r="TAN12" s="425"/>
      <c r="TAO12" s="425"/>
      <c r="TAP12" s="425"/>
      <c r="TAQ12" s="425"/>
      <c r="TAR12" s="425"/>
      <c r="TAS12" s="425"/>
      <c r="TAT12" s="425"/>
      <c r="TAU12" s="425"/>
      <c r="TAV12" s="425"/>
      <c r="TAW12" s="425"/>
      <c r="TAX12" s="425"/>
      <c r="TAY12" s="425"/>
      <c r="TAZ12" s="425"/>
      <c r="TBA12" s="425"/>
      <c r="TBB12" s="425"/>
      <c r="TBC12" s="425"/>
      <c r="TBD12" s="425"/>
      <c r="TBE12" s="425"/>
      <c r="TBF12" s="425"/>
      <c r="TBG12" s="425"/>
      <c r="TBH12" s="425"/>
      <c r="TBI12" s="425"/>
      <c r="TBJ12" s="425"/>
      <c r="TBK12" s="425"/>
      <c r="TBL12" s="425"/>
      <c r="TBM12" s="425"/>
      <c r="TBN12" s="425"/>
      <c r="TBO12" s="425"/>
      <c r="TBP12" s="425"/>
      <c r="TBQ12" s="425"/>
      <c r="TBR12" s="425"/>
      <c r="TBS12" s="425"/>
      <c r="TBT12" s="425"/>
      <c r="TBU12" s="425"/>
      <c r="TBV12" s="425"/>
      <c r="TBW12" s="425"/>
      <c r="TBX12" s="425"/>
      <c r="TBY12" s="425"/>
      <c r="TBZ12" s="425"/>
      <c r="TCA12" s="425"/>
      <c r="TCB12" s="425"/>
      <c r="TCC12" s="425"/>
      <c r="TCD12" s="425"/>
      <c r="TCE12" s="425"/>
      <c r="TCF12" s="425"/>
      <c r="TCG12" s="425"/>
      <c r="TCH12" s="425"/>
      <c r="TCI12" s="425"/>
      <c r="TCJ12" s="425"/>
      <c r="TCK12" s="425"/>
      <c r="TCL12" s="425"/>
      <c r="TCM12" s="425"/>
      <c r="TCN12" s="425"/>
      <c r="TCO12" s="425"/>
      <c r="TCP12" s="425"/>
      <c r="TCQ12" s="425"/>
      <c r="TCR12" s="425"/>
      <c r="TCS12" s="425"/>
      <c r="TCT12" s="425"/>
      <c r="TCU12" s="425"/>
      <c r="TCV12" s="425"/>
      <c r="TCW12" s="425"/>
      <c r="TCX12" s="425"/>
      <c r="TCY12" s="425"/>
      <c r="TCZ12" s="425"/>
      <c r="TDA12" s="425"/>
      <c r="TDB12" s="425"/>
      <c r="TDC12" s="425"/>
      <c r="TDD12" s="425"/>
      <c r="TDE12" s="425"/>
      <c r="TDF12" s="425"/>
      <c r="TDG12" s="425"/>
      <c r="TDH12" s="425"/>
      <c r="TDI12" s="425"/>
      <c r="TDJ12" s="425"/>
      <c r="TDK12" s="425"/>
      <c r="TDL12" s="425"/>
      <c r="TDM12" s="425"/>
      <c r="TDN12" s="425"/>
      <c r="TDO12" s="425"/>
      <c r="TDP12" s="425"/>
      <c r="TDQ12" s="425"/>
      <c r="TDR12" s="425"/>
      <c r="TDS12" s="425"/>
      <c r="TDT12" s="425"/>
      <c r="TDU12" s="425"/>
      <c r="TDV12" s="425"/>
      <c r="TDW12" s="425"/>
      <c r="TDX12" s="425"/>
      <c r="TDY12" s="425"/>
      <c r="TDZ12" s="425"/>
      <c r="TEA12" s="425"/>
      <c r="TEB12" s="425"/>
      <c r="TEC12" s="425"/>
      <c r="TED12" s="425"/>
      <c r="TEE12" s="425"/>
      <c r="TEF12" s="425"/>
      <c r="TEG12" s="425"/>
      <c r="TEH12" s="425"/>
      <c r="TEI12" s="425"/>
      <c r="TEJ12" s="425"/>
      <c r="TEK12" s="425"/>
      <c r="TEL12" s="425"/>
      <c r="TEM12" s="425"/>
      <c r="TEN12" s="425"/>
      <c r="TEO12" s="425"/>
      <c r="TEP12" s="425"/>
      <c r="TEQ12" s="425"/>
      <c r="TER12" s="425"/>
      <c r="TES12" s="425"/>
      <c r="TET12" s="425"/>
      <c r="TEU12" s="425"/>
      <c r="TEV12" s="425"/>
      <c r="TEW12" s="425"/>
      <c r="TEX12" s="425"/>
      <c r="TEY12" s="425"/>
      <c r="TEZ12" s="425"/>
      <c r="TFA12" s="425"/>
      <c r="TFB12" s="425"/>
      <c r="TFC12" s="425"/>
      <c r="TFD12" s="425"/>
      <c r="TFE12" s="425"/>
      <c r="TFF12" s="425"/>
      <c r="TFG12" s="425"/>
      <c r="TFH12" s="425"/>
      <c r="TFI12" s="425"/>
      <c r="TFJ12" s="425"/>
      <c r="TFK12" s="425"/>
      <c r="TFL12" s="425"/>
      <c r="TFM12" s="425"/>
      <c r="TFN12" s="425"/>
      <c r="TFO12" s="425"/>
      <c r="TFP12" s="425"/>
      <c r="TFQ12" s="425"/>
      <c r="TFR12" s="425"/>
      <c r="TFS12" s="425"/>
      <c r="TFT12" s="425"/>
      <c r="TFU12" s="425"/>
      <c r="TFV12" s="425"/>
      <c r="TFW12" s="425"/>
      <c r="TFX12" s="425"/>
      <c r="TFY12" s="425"/>
      <c r="TFZ12" s="425"/>
      <c r="TGA12" s="425"/>
      <c r="TGB12" s="425"/>
      <c r="TGC12" s="425"/>
      <c r="TGD12" s="425"/>
      <c r="TGE12" s="425"/>
      <c r="TGF12" s="425"/>
      <c r="TGG12" s="425"/>
      <c r="TGH12" s="425"/>
      <c r="TGI12" s="425"/>
      <c r="TGJ12" s="425"/>
      <c r="TGK12" s="425"/>
      <c r="TGL12" s="425"/>
      <c r="TGM12" s="425"/>
      <c r="TGN12" s="425"/>
      <c r="TGO12" s="425"/>
      <c r="TGP12" s="425"/>
      <c r="TGQ12" s="425"/>
      <c r="TGR12" s="425"/>
      <c r="TGS12" s="425"/>
      <c r="TGT12" s="425"/>
      <c r="TGU12" s="425"/>
      <c r="TGV12" s="425"/>
      <c r="TGW12" s="425"/>
      <c r="TGX12" s="425"/>
      <c r="TGY12" s="425"/>
      <c r="TGZ12" s="425"/>
      <c r="THA12" s="425"/>
      <c r="THB12" s="425"/>
      <c r="THC12" s="425"/>
      <c r="THD12" s="425"/>
      <c r="THE12" s="425"/>
      <c r="THF12" s="425"/>
      <c r="THG12" s="425"/>
      <c r="THH12" s="425"/>
      <c r="THI12" s="425"/>
      <c r="THJ12" s="425"/>
      <c r="THK12" s="425"/>
      <c r="THL12" s="425"/>
      <c r="THM12" s="425"/>
      <c r="THN12" s="425"/>
      <c r="THO12" s="425"/>
      <c r="THP12" s="425"/>
      <c r="THQ12" s="425"/>
      <c r="THR12" s="425"/>
      <c r="THS12" s="425"/>
      <c r="THT12" s="425"/>
      <c r="THU12" s="425"/>
      <c r="THV12" s="425"/>
      <c r="THW12" s="425"/>
      <c r="THX12" s="425"/>
      <c r="THY12" s="425"/>
      <c r="THZ12" s="425"/>
      <c r="TIA12" s="425"/>
      <c r="TIB12" s="425"/>
      <c r="TIC12" s="425"/>
      <c r="TID12" s="425"/>
      <c r="TIE12" s="425"/>
      <c r="TIF12" s="425"/>
      <c r="TIG12" s="425"/>
      <c r="TIH12" s="425"/>
      <c r="TII12" s="425"/>
      <c r="TIJ12" s="425"/>
      <c r="TIK12" s="425"/>
      <c r="TIL12" s="425"/>
      <c r="TIM12" s="425"/>
      <c r="TIN12" s="425"/>
      <c r="TIO12" s="425"/>
      <c r="TIP12" s="425"/>
      <c r="TIQ12" s="425"/>
      <c r="TIR12" s="425"/>
      <c r="TIS12" s="425"/>
      <c r="TIT12" s="425"/>
      <c r="TIU12" s="425"/>
      <c r="TIV12" s="425"/>
      <c r="TIW12" s="425"/>
      <c r="TIX12" s="425"/>
      <c r="TIY12" s="425"/>
      <c r="TIZ12" s="425"/>
      <c r="TJA12" s="425"/>
      <c r="TJB12" s="425"/>
      <c r="TJC12" s="425"/>
      <c r="TJD12" s="425"/>
      <c r="TJE12" s="425"/>
      <c r="TJF12" s="425"/>
      <c r="TJG12" s="425"/>
      <c r="TJH12" s="425"/>
      <c r="TJI12" s="425"/>
      <c r="TJJ12" s="425"/>
      <c r="TJK12" s="425"/>
      <c r="TJL12" s="425"/>
      <c r="TJM12" s="425"/>
      <c r="TJN12" s="425"/>
      <c r="TJO12" s="425"/>
      <c r="TJP12" s="425"/>
      <c r="TJQ12" s="425"/>
      <c r="TJR12" s="425"/>
      <c r="TJS12" s="425"/>
      <c r="TJT12" s="425"/>
      <c r="TJU12" s="425"/>
      <c r="TJV12" s="425"/>
      <c r="TJW12" s="425"/>
      <c r="TJX12" s="425"/>
      <c r="TJY12" s="425"/>
      <c r="TJZ12" s="425"/>
      <c r="TKA12" s="425"/>
      <c r="TKB12" s="425"/>
      <c r="TKC12" s="425"/>
      <c r="TKD12" s="425"/>
      <c r="TKE12" s="425"/>
      <c r="TKF12" s="425"/>
      <c r="TKG12" s="425"/>
      <c r="TKH12" s="425"/>
      <c r="TKI12" s="425"/>
      <c r="TKJ12" s="425"/>
      <c r="TKK12" s="425"/>
      <c r="TKL12" s="425"/>
      <c r="TKM12" s="425"/>
      <c r="TKN12" s="425"/>
      <c r="TKO12" s="425"/>
      <c r="TKP12" s="425"/>
      <c r="TKQ12" s="425"/>
      <c r="TKR12" s="425"/>
      <c r="TKS12" s="425"/>
      <c r="TKT12" s="425"/>
      <c r="TKU12" s="425"/>
      <c r="TKV12" s="425"/>
      <c r="TKW12" s="425"/>
      <c r="TKX12" s="425"/>
      <c r="TKY12" s="425"/>
      <c r="TKZ12" s="425"/>
      <c r="TLA12" s="425"/>
      <c r="TLB12" s="425"/>
      <c r="TLC12" s="425"/>
      <c r="TLD12" s="425"/>
      <c r="TLE12" s="425"/>
      <c r="TLF12" s="425"/>
      <c r="TLG12" s="425"/>
      <c r="TLH12" s="425"/>
      <c r="TLI12" s="425"/>
      <c r="TLJ12" s="425"/>
      <c r="TLK12" s="425"/>
      <c r="TLL12" s="425"/>
      <c r="TLM12" s="425"/>
      <c r="TLN12" s="425"/>
      <c r="TLO12" s="425"/>
      <c r="TLP12" s="425"/>
      <c r="TLQ12" s="425"/>
      <c r="TLR12" s="425"/>
      <c r="TLS12" s="425"/>
      <c r="TLT12" s="425"/>
      <c r="TLU12" s="425"/>
      <c r="TLV12" s="425"/>
      <c r="TLW12" s="425"/>
      <c r="TLX12" s="425"/>
      <c r="TLY12" s="425"/>
      <c r="TLZ12" s="425"/>
      <c r="TMA12" s="425"/>
      <c r="TMB12" s="425"/>
      <c r="TMC12" s="425"/>
      <c r="TMD12" s="425"/>
      <c r="TME12" s="425"/>
      <c r="TMF12" s="425"/>
      <c r="TMG12" s="425"/>
      <c r="TMH12" s="425"/>
      <c r="TMI12" s="425"/>
      <c r="TMJ12" s="425"/>
      <c r="TMK12" s="425"/>
      <c r="TML12" s="425"/>
      <c r="TMM12" s="425"/>
      <c r="TMN12" s="425"/>
      <c r="TMO12" s="425"/>
      <c r="TMP12" s="425"/>
      <c r="TMQ12" s="425"/>
      <c r="TMR12" s="425"/>
      <c r="TMS12" s="425"/>
      <c r="TMT12" s="425"/>
      <c r="TMU12" s="425"/>
      <c r="TMV12" s="425"/>
      <c r="TMW12" s="425"/>
      <c r="TMX12" s="425"/>
      <c r="TMY12" s="425"/>
      <c r="TMZ12" s="425"/>
      <c r="TNA12" s="425"/>
      <c r="TNB12" s="425"/>
      <c r="TNC12" s="425"/>
      <c r="TND12" s="425"/>
      <c r="TNE12" s="425"/>
      <c r="TNF12" s="425"/>
      <c r="TNG12" s="425"/>
      <c r="TNH12" s="425"/>
      <c r="TNI12" s="425"/>
      <c r="TNJ12" s="425"/>
      <c r="TNK12" s="425"/>
      <c r="TNL12" s="425"/>
      <c r="TNM12" s="425"/>
      <c r="TNN12" s="425"/>
      <c r="TNO12" s="425"/>
      <c r="TNP12" s="425"/>
      <c r="TNQ12" s="425"/>
      <c r="TNR12" s="425"/>
      <c r="TNS12" s="425"/>
      <c r="TNT12" s="425"/>
      <c r="TNU12" s="425"/>
      <c r="TNV12" s="425"/>
      <c r="TNW12" s="425"/>
      <c r="TNX12" s="425"/>
      <c r="TNY12" s="425"/>
      <c r="TNZ12" s="425"/>
      <c r="TOA12" s="425"/>
      <c r="TOB12" s="425"/>
      <c r="TOC12" s="425"/>
      <c r="TOD12" s="425"/>
      <c r="TOE12" s="425"/>
      <c r="TOF12" s="425"/>
      <c r="TOG12" s="425"/>
      <c r="TOH12" s="425"/>
      <c r="TOI12" s="425"/>
      <c r="TOJ12" s="425"/>
      <c r="TOK12" s="425"/>
      <c r="TOL12" s="425"/>
      <c r="TOM12" s="425"/>
      <c r="TON12" s="425"/>
      <c r="TOO12" s="425"/>
      <c r="TOP12" s="425"/>
      <c r="TOQ12" s="425"/>
      <c r="TOR12" s="425"/>
      <c r="TOS12" s="425"/>
      <c r="TOT12" s="425"/>
      <c r="TOU12" s="425"/>
      <c r="TOV12" s="425"/>
      <c r="TOW12" s="425"/>
      <c r="TOX12" s="425"/>
      <c r="TOY12" s="425"/>
      <c r="TOZ12" s="425"/>
      <c r="TPA12" s="425"/>
      <c r="TPB12" s="425"/>
      <c r="TPC12" s="425"/>
      <c r="TPD12" s="425"/>
      <c r="TPE12" s="425"/>
      <c r="TPF12" s="425"/>
      <c r="TPG12" s="425"/>
      <c r="TPH12" s="425"/>
      <c r="TPI12" s="425"/>
      <c r="TPJ12" s="425"/>
      <c r="TPK12" s="425"/>
      <c r="TPL12" s="425"/>
      <c r="TPM12" s="425"/>
      <c r="TPN12" s="425"/>
      <c r="TPO12" s="425"/>
      <c r="TPP12" s="425"/>
      <c r="TPQ12" s="425"/>
      <c r="TPR12" s="425"/>
      <c r="TPS12" s="425"/>
      <c r="TPT12" s="425"/>
      <c r="TPU12" s="425"/>
      <c r="TPV12" s="425"/>
      <c r="TPW12" s="425"/>
      <c r="TPX12" s="425"/>
      <c r="TPY12" s="425"/>
      <c r="TPZ12" s="425"/>
      <c r="TQA12" s="425"/>
      <c r="TQB12" s="425"/>
      <c r="TQC12" s="425"/>
      <c r="TQD12" s="425"/>
      <c r="TQE12" s="425"/>
      <c r="TQF12" s="425"/>
      <c r="TQG12" s="425"/>
      <c r="TQH12" s="425"/>
      <c r="TQI12" s="425"/>
      <c r="TQJ12" s="425"/>
      <c r="TQK12" s="425"/>
      <c r="TQL12" s="425"/>
      <c r="TQM12" s="425"/>
      <c r="TQN12" s="425"/>
      <c r="TQO12" s="425"/>
      <c r="TQP12" s="425"/>
      <c r="TQQ12" s="425"/>
      <c r="TQR12" s="425"/>
      <c r="TQS12" s="425"/>
      <c r="TQT12" s="425"/>
      <c r="TQU12" s="425"/>
      <c r="TQV12" s="425"/>
      <c r="TQW12" s="425"/>
      <c r="TQX12" s="425"/>
      <c r="TQY12" s="425"/>
      <c r="TQZ12" s="425"/>
      <c r="TRA12" s="425"/>
      <c r="TRB12" s="425"/>
      <c r="TRC12" s="425"/>
      <c r="TRD12" s="425"/>
      <c r="TRE12" s="425"/>
      <c r="TRF12" s="425"/>
      <c r="TRG12" s="425"/>
      <c r="TRH12" s="425"/>
      <c r="TRI12" s="425"/>
      <c r="TRJ12" s="425"/>
      <c r="TRK12" s="425"/>
      <c r="TRL12" s="425"/>
      <c r="TRM12" s="425"/>
      <c r="TRN12" s="425"/>
      <c r="TRO12" s="425"/>
      <c r="TRP12" s="425"/>
      <c r="TRQ12" s="425"/>
      <c r="TRR12" s="425"/>
      <c r="TRS12" s="425"/>
      <c r="TRT12" s="425"/>
      <c r="TRU12" s="425"/>
      <c r="TRV12" s="425"/>
      <c r="TRW12" s="425"/>
      <c r="TRX12" s="425"/>
      <c r="TRY12" s="425"/>
      <c r="TRZ12" s="425"/>
      <c r="TSA12" s="425"/>
      <c r="TSB12" s="425"/>
      <c r="TSC12" s="425"/>
      <c r="TSD12" s="425"/>
      <c r="TSE12" s="425"/>
      <c r="TSF12" s="425"/>
      <c r="TSG12" s="425"/>
      <c r="TSH12" s="425"/>
      <c r="TSI12" s="425"/>
      <c r="TSJ12" s="425"/>
      <c r="TSK12" s="425"/>
      <c r="TSL12" s="425"/>
      <c r="TSM12" s="425"/>
      <c r="TSN12" s="425"/>
      <c r="TSO12" s="425"/>
      <c r="TSP12" s="425"/>
      <c r="TSQ12" s="425"/>
      <c r="TSR12" s="425"/>
      <c r="TSS12" s="425"/>
      <c r="TST12" s="425"/>
      <c r="TSU12" s="425"/>
      <c r="TSV12" s="425"/>
      <c r="TSW12" s="425"/>
      <c r="TSX12" s="425"/>
      <c r="TSY12" s="425"/>
      <c r="TSZ12" s="425"/>
      <c r="TTA12" s="425"/>
      <c r="TTB12" s="425"/>
      <c r="TTC12" s="425"/>
      <c r="TTD12" s="425"/>
      <c r="TTE12" s="425"/>
      <c r="TTF12" s="425"/>
      <c r="TTG12" s="425"/>
      <c r="TTH12" s="425"/>
      <c r="TTI12" s="425"/>
      <c r="TTJ12" s="425"/>
      <c r="TTK12" s="425"/>
      <c r="TTL12" s="425"/>
      <c r="TTM12" s="425"/>
      <c r="TTN12" s="425"/>
      <c r="TTO12" s="425"/>
      <c r="TTP12" s="425"/>
      <c r="TTQ12" s="425"/>
      <c r="TTR12" s="425"/>
      <c r="TTS12" s="425"/>
      <c r="TTT12" s="425"/>
      <c r="TTU12" s="425"/>
      <c r="TTV12" s="425"/>
      <c r="TTW12" s="425"/>
      <c r="TTX12" s="425"/>
      <c r="TTY12" s="425"/>
      <c r="TTZ12" s="425"/>
      <c r="TUA12" s="425"/>
      <c r="TUB12" s="425"/>
      <c r="TUC12" s="425"/>
      <c r="TUD12" s="425"/>
      <c r="TUE12" s="425"/>
      <c r="TUF12" s="425"/>
      <c r="TUG12" s="425"/>
      <c r="TUH12" s="425"/>
      <c r="TUI12" s="425"/>
      <c r="TUJ12" s="425"/>
      <c r="TUK12" s="425"/>
      <c r="TUL12" s="425"/>
      <c r="TUM12" s="425"/>
      <c r="TUN12" s="425"/>
      <c r="TUO12" s="425"/>
      <c r="TUP12" s="425"/>
      <c r="TUQ12" s="425"/>
      <c r="TUR12" s="425"/>
      <c r="TUS12" s="425"/>
      <c r="TUT12" s="425"/>
      <c r="TUU12" s="425"/>
      <c r="TUV12" s="425"/>
      <c r="TUW12" s="425"/>
      <c r="TUX12" s="425"/>
      <c r="TUY12" s="425"/>
      <c r="TUZ12" s="425"/>
      <c r="TVA12" s="425"/>
      <c r="TVB12" s="425"/>
      <c r="TVC12" s="425"/>
      <c r="TVD12" s="425"/>
      <c r="TVE12" s="425"/>
      <c r="TVF12" s="425"/>
      <c r="TVG12" s="425"/>
      <c r="TVH12" s="425"/>
      <c r="TVI12" s="425"/>
      <c r="TVJ12" s="425"/>
      <c r="TVK12" s="425"/>
      <c r="TVL12" s="425"/>
      <c r="TVM12" s="425"/>
      <c r="TVN12" s="425"/>
      <c r="TVO12" s="425"/>
      <c r="TVP12" s="425"/>
      <c r="TVQ12" s="425"/>
      <c r="TVR12" s="425"/>
      <c r="TVS12" s="425"/>
      <c r="TVT12" s="425"/>
      <c r="TVU12" s="425"/>
      <c r="TVV12" s="425"/>
      <c r="TVW12" s="425"/>
      <c r="TVX12" s="425"/>
      <c r="TVY12" s="425"/>
      <c r="TVZ12" s="425"/>
      <c r="TWA12" s="425"/>
      <c r="TWB12" s="425"/>
      <c r="TWC12" s="425"/>
      <c r="TWD12" s="425"/>
      <c r="TWE12" s="425"/>
      <c r="TWF12" s="425"/>
      <c r="TWG12" s="425"/>
      <c r="TWH12" s="425"/>
      <c r="TWI12" s="425"/>
      <c r="TWJ12" s="425"/>
      <c r="TWK12" s="425"/>
      <c r="TWL12" s="425"/>
      <c r="TWM12" s="425"/>
      <c r="TWN12" s="425"/>
      <c r="TWO12" s="425"/>
      <c r="TWP12" s="425"/>
      <c r="TWQ12" s="425"/>
      <c r="TWR12" s="425"/>
      <c r="TWS12" s="425"/>
      <c r="TWT12" s="425"/>
      <c r="TWU12" s="425"/>
      <c r="TWV12" s="425"/>
      <c r="TWW12" s="425"/>
      <c r="TWX12" s="425"/>
      <c r="TWY12" s="425"/>
      <c r="TWZ12" s="425"/>
      <c r="TXA12" s="425"/>
      <c r="TXB12" s="425"/>
      <c r="TXC12" s="425"/>
      <c r="TXD12" s="425"/>
      <c r="TXE12" s="425"/>
      <c r="TXF12" s="425"/>
      <c r="TXG12" s="425"/>
      <c r="TXH12" s="425"/>
      <c r="TXI12" s="425"/>
      <c r="TXJ12" s="425"/>
      <c r="TXK12" s="425"/>
      <c r="TXL12" s="425"/>
      <c r="TXM12" s="425"/>
      <c r="TXN12" s="425"/>
      <c r="TXO12" s="425"/>
      <c r="TXP12" s="425"/>
      <c r="TXQ12" s="425"/>
      <c r="TXR12" s="425"/>
      <c r="TXS12" s="425"/>
      <c r="TXT12" s="425"/>
      <c r="TXU12" s="425"/>
      <c r="TXV12" s="425"/>
      <c r="TXW12" s="425"/>
      <c r="TXX12" s="425"/>
      <c r="TXY12" s="425"/>
      <c r="TXZ12" s="425"/>
      <c r="TYA12" s="425"/>
      <c r="TYB12" s="425"/>
      <c r="TYC12" s="425"/>
      <c r="TYD12" s="425"/>
      <c r="TYE12" s="425"/>
      <c r="TYF12" s="425"/>
      <c r="TYG12" s="425"/>
      <c r="TYH12" s="425"/>
      <c r="TYI12" s="425"/>
      <c r="TYJ12" s="425"/>
      <c r="TYK12" s="425"/>
      <c r="TYL12" s="425"/>
      <c r="TYM12" s="425"/>
      <c r="TYN12" s="425"/>
      <c r="TYO12" s="425"/>
      <c r="TYP12" s="425"/>
      <c r="TYQ12" s="425"/>
      <c r="TYR12" s="425"/>
      <c r="TYS12" s="425"/>
      <c r="TYT12" s="425"/>
      <c r="TYU12" s="425"/>
      <c r="TYV12" s="425"/>
      <c r="TYW12" s="425"/>
      <c r="TYX12" s="425"/>
      <c r="TYY12" s="425"/>
      <c r="TYZ12" s="425"/>
      <c r="TZA12" s="425"/>
      <c r="TZB12" s="425"/>
      <c r="TZC12" s="425"/>
      <c r="TZD12" s="425"/>
      <c r="TZE12" s="425"/>
      <c r="TZF12" s="425"/>
      <c r="TZG12" s="425"/>
      <c r="TZH12" s="425"/>
      <c r="TZI12" s="425"/>
      <c r="TZJ12" s="425"/>
      <c r="TZK12" s="425"/>
      <c r="TZL12" s="425"/>
      <c r="TZM12" s="425"/>
      <c r="TZN12" s="425"/>
      <c r="TZO12" s="425"/>
      <c r="TZP12" s="425"/>
      <c r="TZQ12" s="425"/>
      <c r="TZR12" s="425"/>
      <c r="TZS12" s="425"/>
      <c r="TZT12" s="425"/>
      <c r="TZU12" s="425"/>
      <c r="TZV12" s="425"/>
      <c r="TZW12" s="425"/>
      <c r="TZX12" s="425"/>
      <c r="TZY12" s="425"/>
      <c r="TZZ12" s="425"/>
      <c r="UAA12" s="425"/>
      <c r="UAB12" s="425"/>
      <c r="UAC12" s="425"/>
      <c r="UAD12" s="425"/>
      <c r="UAE12" s="425"/>
      <c r="UAF12" s="425"/>
      <c r="UAG12" s="425"/>
      <c r="UAH12" s="425"/>
      <c r="UAI12" s="425"/>
      <c r="UAJ12" s="425"/>
      <c r="UAK12" s="425"/>
      <c r="UAL12" s="425"/>
      <c r="UAM12" s="425"/>
      <c r="UAN12" s="425"/>
      <c r="UAO12" s="425"/>
      <c r="UAP12" s="425"/>
      <c r="UAQ12" s="425"/>
      <c r="UAR12" s="425"/>
      <c r="UAS12" s="425"/>
      <c r="UAT12" s="425"/>
      <c r="UAU12" s="425"/>
      <c r="UAV12" s="425"/>
      <c r="UAW12" s="425"/>
      <c r="UAX12" s="425"/>
      <c r="UAY12" s="425"/>
      <c r="UAZ12" s="425"/>
      <c r="UBA12" s="425"/>
      <c r="UBB12" s="425"/>
      <c r="UBC12" s="425"/>
      <c r="UBD12" s="425"/>
      <c r="UBE12" s="425"/>
      <c r="UBF12" s="425"/>
      <c r="UBG12" s="425"/>
      <c r="UBH12" s="425"/>
      <c r="UBI12" s="425"/>
      <c r="UBJ12" s="425"/>
      <c r="UBK12" s="425"/>
      <c r="UBL12" s="425"/>
      <c r="UBM12" s="425"/>
      <c r="UBN12" s="425"/>
      <c r="UBO12" s="425"/>
      <c r="UBP12" s="425"/>
      <c r="UBQ12" s="425"/>
      <c r="UBR12" s="425"/>
      <c r="UBS12" s="425"/>
      <c r="UBT12" s="425"/>
      <c r="UBU12" s="425"/>
      <c r="UBV12" s="425"/>
      <c r="UBW12" s="425"/>
      <c r="UBX12" s="425"/>
      <c r="UBY12" s="425"/>
      <c r="UBZ12" s="425"/>
      <c r="UCA12" s="425"/>
      <c r="UCB12" s="425"/>
      <c r="UCC12" s="425"/>
      <c r="UCD12" s="425"/>
      <c r="UCE12" s="425"/>
      <c r="UCF12" s="425"/>
      <c r="UCG12" s="425"/>
      <c r="UCH12" s="425"/>
      <c r="UCI12" s="425"/>
      <c r="UCJ12" s="425"/>
      <c r="UCK12" s="425"/>
      <c r="UCL12" s="425"/>
      <c r="UCM12" s="425"/>
      <c r="UCN12" s="425"/>
      <c r="UCO12" s="425"/>
      <c r="UCP12" s="425"/>
      <c r="UCQ12" s="425"/>
      <c r="UCR12" s="425"/>
      <c r="UCS12" s="425"/>
      <c r="UCT12" s="425"/>
      <c r="UCU12" s="425"/>
      <c r="UCV12" s="425"/>
      <c r="UCW12" s="425"/>
      <c r="UCX12" s="425"/>
      <c r="UCY12" s="425"/>
      <c r="UCZ12" s="425"/>
      <c r="UDA12" s="425"/>
      <c r="UDB12" s="425"/>
      <c r="UDC12" s="425"/>
      <c r="UDD12" s="425"/>
      <c r="UDE12" s="425"/>
      <c r="UDF12" s="425"/>
      <c r="UDG12" s="425"/>
      <c r="UDH12" s="425"/>
      <c r="UDI12" s="425"/>
      <c r="UDJ12" s="425"/>
      <c r="UDK12" s="425"/>
      <c r="UDL12" s="425"/>
      <c r="UDM12" s="425"/>
      <c r="UDN12" s="425"/>
      <c r="UDO12" s="425"/>
      <c r="UDP12" s="425"/>
      <c r="UDQ12" s="425"/>
      <c r="UDR12" s="425"/>
      <c r="UDS12" s="425"/>
      <c r="UDT12" s="425"/>
      <c r="UDU12" s="425"/>
      <c r="UDV12" s="425"/>
      <c r="UDW12" s="425"/>
      <c r="UDX12" s="425"/>
      <c r="UDY12" s="425"/>
      <c r="UDZ12" s="425"/>
      <c r="UEA12" s="425"/>
      <c r="UEB12" s="425"/>
      <c r="UEC12" s="425"/>
      <c r="UED12" s="425"/>
      <c r="UEE12" s="425"/>
      <c r="UEF12" s="425"/>
      <c r="UEG12" s="425"/>
      <c r="UEH12" s="425"/>
      <c r="UEI12" s="425"/>
      <c r="UEJ12" s="425"/>
      <c r="UEK12" s="425"/>
      <c r="UEL12" s="425"/>
      <c r="UEM12" s="425"/>
      <c r="UEN12" s="425"/>
      <c r="UEO12" s="425"/>
      <c r="UEP12" s="425"/>
      <c r="UEQ12" s="425"/>
      <c r="UER12" s="425"/>
      <c r="UES12" s="425"/>
      <c r="UET12" s="425"/>
      <c r="UEU12" s="425"/>
      <c r="UEV12" s="425"/>
      <c r="UEW12" s="425"/>
      <c r="UEX12" s="425"/>
      <c r="UEY12" s="425"/>
      <c r="UEZ12" s="425"/>
      <c r="UFA12" s="425"/>
      <c r="UFB12" s="425"/>
      <c r="UFC12" s="425"/>
      <c r="UFD12" s="425"/>
      <c r="UFE12" s="425"/>
      <c r="UFF12" s="425"/>
      <c r="UFG12" s="425"/>
      <c r="UFH12" s="425"/>
      <c r="UFI12" s="425"/>
      <c r="UFJ12" s="425"/>
      <c r="UFK12" s="425"/>
      <c r="UFL12" s="425"/>
      <c r="UFM12" s="425"/>
      <c r="UFN12" s="425"/>
      <c r="UFO12" s="425"/>
      <c r="UFP12" s="425"/>
      <c r="UFQ12" s="425"/>
      <c r="UFR12" s="425"/>
      <c r="UFS12" s="425"/>
      <c r="UFT12" s="425"/>
      <c r="UFU12" s="425"/>
      <c r="UFV12" s="425"/>
      <c r="UFW12" s="425"/>
      <c r="UFX12" s="425"/>
      <c r="UFY12" s="425"/>
      <c r="UFZ12" s="425"/>
      <c r="UGA12" s="425"/>
      <c r="UGB12" s="425"/>
      <c r="UGC12" s="425"/>
      <c r="UGD12" s="425"/>
      <c r="UGE12" s="425"/>
      <c r="UGF12" s="425"/>
      <c r="UGG12" s="425"/>
      <c r="UGH12" s="425"/>
      <c r="UGI12" s="425"/>
      <c r="UGJ12" s="425"/>
      <c r="UGK12" s="425"/>
      <c r="UGL12" s="425"/>
      <c r="UGM12" s="425"/>
      <c r="UGN12" s="425"/>
      <c r="UGO12" s="425"/>
      <c r="UGP12" s="425"/>
      <c r="UGQ12" s="425"/>
      <c r="UGR12" s="425"/>
      <c r="UGS12" s="425"/>
      <c r="UGT12" s="425"/>
      <c r="UGU12" s="425"/>
      <c r="UGV12" s="425"/>
      <c r="UGW12" s="425"/>
      <c r="UGX12" s="425"/>
      <c r="UGY12" s="425"/>
      <c r="UGZ12" s="425"/>
      <c r="UHA12" s="425"/>
      <c r="UHB12" s="425"/>
      <c r="UHC12" s="425"/>
      <c r="UHD12" s="425"/>
      <c r="UHE12" s="425"/>
      <c r="UHF12" s="425"/>
      <c r="UHG12" s="425"/>
      <c r="UHH12" s="425"/>
      <c r="UHI12" s="425"/>
      <c r="UHJ12" s="425"/>
      <c r="UHK12" s="425"/>
      <c r="UHL12" s="425"/>
      <c r="UHM12" s="425"/>
      <c r="UHN12" s="425"/>
      <c r="UHO12" s="425"/>
      <c r="UHP12" s="425"/>
      <c r="UHQ12" s="425"/>
      <c r="UHR12" s="425"/>
      <c r="UHS12" s="425"/>
      <c r="UHT12" s="425"/>
      <c r="UHU12" s="425"/>
      <c r="UHV12" s="425"/>
      <c r="UHW12" s="425"/>
      <c r="UHX12" s="425"/>
      <c r="UHY12" s="425"/>
      <c r="UHZ12" s="425"/>
      <c r="UIA12" s="425"/>
      <c r="UIB12" s="425"/>
      <c r="UIC12" s="425"/>
      <c r="UID12" s="425"/>
      <c r="UIE12" s="425"/>
      <c r="UIF12" s="425"/>
      <c r="UIG12" s="425"/>
      <c r="UIH12" s="425"/>
      <c r="UII12" s="425"/>
      <c r="UIJ12" s="425"/>
      <c r="UIK12" s="425"/>
      <c r="UIL12" s="425"/>
      <c r="UIM12" s="425"/>
      <c r="UIN12" s="425"/>
      <c r="UIO12" s="425"/>
      <c r="UIP12" s="425"/>
      <c r="UIQ12" s="425"/>
      <c r="UIR12" s="425"/>
      <c r="UIS12" s="425"/>
      <c r="UIT12" s="425"/>
      <c r="UIU12" s="425"/>
      <c r="UIV12" s="425"/>
      <c r="UIW12" s="425"/>
      <c r="UIX12" s="425"/>
      <c r="UIY12" s="425"/>
      <c r="UIZ12" s="425"/>
      <c r="UJA12" s="425"/>
      <c r="UJB12" s="425"/>
      <c r="UJC12" s="425"/>
      <c r="UJD12" s="425"/>
      <c r="UJE12" s="425"/>
      <c r="UJF12" s="425"/>
      <c r="UJG12" s="425"/>
      <c r="UJH12" s="425"/>
      <c r="UJI12" s="425"/>
      <c r="UJJ12" s="425"/>
      <c r="UJK12" s="425"/>
      <c r="UJL12" s="425"/>
      <c r="UJM12" s="425"/>
      <c r="UJN12" s="425"/>
      <c r="UJO12" s="425"/>
      <c r="UJP12" s="425"/>
      <c r="UJQ12" s="425"/>
      <c r="UJR12" s="425"/>
      <c r="UJS12" s="425"/>
      <c r="UJT12" s="425"/>
      <c r="UJU12" s="425"/>
      <c r="UJV12" s="425"/>
      <c r="UJW12" s="425"/>
      <c r="UJX12" s="425"/>
      <c r="UJY12" s="425"/>
      <c r="UJZ12" s="425"/>
      <c r="UKA12" s="425"/>
      <c r="UKB12" s="425"/>
      <c r="UKC12" s="425"/>
      <c r="UKD12" s="425"/>
      <c r="UKE12" s="425"/>
      <c r="UKF12" s="425"/>
      <c r="UKG12" s="425"/>
      <c r="UKH12" s="425"/>
      <c r="UKI12" s="425"/>
      <c r="UKJ12" s="425"/>
      <c r="UKK12" s="425"/>
      <c r="UKL12" s="425"/>
      <c r="UKM12" s="425"/>
      <c r="UKN12" s="425"/>
      <c r="UKO12" s="425"/>
      <c r="UKP12" s="425"/>
      <c r="UKQ12" s="425"/>
      <c r="UKR12" s="425"/>
      <c r="UKS12" s="425"/>
      <c r="UKT12" s="425"/>
      <c r="UKU12" s="425"/>
      <c r="UKV12" s="425"/>
      <c r="UKW12" s="425"/>
      <c r="UKX12" s="425"/>
      <c r="UKY12" s="425"/>
      <c r="UKZ12" s="425"/>
      <c r="ULA12" s="425"/>
      <c r="ULB12" s="425"/>
      <c r="ULC12" s="425"/>
      <c r="ULD12" s="425"/>
      <c r="ULE12" s="425"/>
      <c r="ULF12" s="425"/>
      <c r="ULG12" s="425"/>
      <c r="ULH12" s="425"/>
      <c r="ULI12" s="425"/>
      <c r="ULJ12" s="425"/>
      <c r="ULK12" s="425"/>
      <c r="ULL12" s="425"/>
      <c r="ULM12" s="425"/>
      <c r="ULN12" s="425"/>
      <c r="ULO12" s="425"/>
      <c r="ULP12" s="425"/>
      <c r="ULQ12" s="425"/>
      <c r="ULR12" s="425"/>
      <c r="ULS12" s="425"/>
      <c r="ULT12" s="425"/>
      <c r="ULU12" s="425"/>
      <c r="ULV12" s="425"/>
      <c r="ULW12" s="425"/>
      <c r="ULX12" s="425"/>
      <c r="ULY12" s="425"/>
      <c r="ULZ12" s="425"/>
      <c r="UMA12" s="425"/>
      <c r="UMB12" s="425"/>
      <c r="UMC12" s="425"/>
      <c r="UMD12" s="425"/>
      <c r="UME12" s="425"/>
      <c r="UMF12" s="425"/>
      <c r="UMG12" s="425"/>
      <c r="UMH12" s="425"/>
      <c r="UMI12" s="425"/>
      <c r="UMJ12" s="425"/>
      <c r="UMK12" s="425"/>
      <c r="UML12" s="425"/>
      <c r="UMM12" s="425"/>
      <c r="UMN12" s="425"/>
      <c r="UMO12" s="425"/>
      <c r="UMP12" s="425"/>
      <c r="UMQ12" s="425"/>
      <c r="UMR12" s="425"/>
      <c r="UMS12" s="425"/>
      <c r="UMT12" s="425"/>
      <c r="UMU12" s="425"/>
      <c r="UMV12" s="425"/>
      <c r="UMW12" s="425"/>
      <c r="UMX12" s="425"/>
      <c r="UMY12" s="425"/>
      <c r="UMZ12" s="425"/>
      <c r="UNA12" s="425"/>
      <c r="UNB12" s="425"/>
      <c r="UNC12" s="425"/>
      <c r="UND12" s="425"/>
      <c r="UNE12" s="425"/>
      <c r="UNF12" s="425"/>
      <c r="UNG12" s="425"/>
      <c r="UNH12" s="425"/>
      <c r="UNI12" s="425"/>
      <c r="UNJ12" s="425"/>
      <c r="UNK12" s="425"/>
      <c r="UNL12" s="425"/>
      <c r="UNM12" s="425"/>
      <c r="UNN12" s="425"/>
      <c r="UNO12" s="425"/>
      <c r="UNP12" s="425"/>
      <c r="UNQ12" s="425"/>
      <c r="UNR12" s="425"/>
      <c r="UNS12" s="425"/>
      <c r="UNT12" s="425"/>
      <c r="UNU12" s="425"/>
      <c r="UNV12" s="425"/>
      <c r="UNW12" s="425"/>
      <c r="UNX12" s="425"/>
      <c r="UNY12" s="425"/>
      <c r="UNZ12" s="425"/>
      <c r="UOA12" s="425"/>
      <c r="UOB12" s="425"/>
      <c r="UOC12" s="425"/>
      <c r="UOD12" s="425"/>
      <c r="UOE12" s="425"/>
      <c r="UOF12" s="425"/>
      <c r="UOG12" s="425"/>
      <c r="UOH12" s="425"/>
      <c r="UOI12" s="425"/>
      <c r="UOJ12" s="425"/>
      <c r="UOK12" s="425"/>
      <c r="UOL12" s="425"/>
      <c r="UOM12" s="425"/>
      <c r="UON12" s="425"/>
      <c r="UOO12" s="425"/>
      <c r="UOP12" s="425"/>
      <c r="UOQ12" s="425"/>
      <c r="UOR12" s="425"/>
      <c r="UOS12" s="425"/>
      <c r="UOT12" s="425"/>
      <c r="UOU12" s="425"/>
      <c r="UOV12" s="425"/>
      <c r="UOW12" s="425"/>
      <c r="UOX12" s="425"/>
      <c r="UOY12" s="425"/>
      <c r="UOZ12" s="425"/>
      <c r="UPA12" s="425"/>
      <c r="UPB12" s="425"/>
      <c r="UPC12" s="425"/>
      <c r="UPD12" s="425"/>
      <c r="UPE12" s="425"/>
      <c r="UPF12" s="425"/>
      <c r="UPG12" s="425"/>
      <c r="UPH12" s="425"/>
      <c r="UPI12" s="425"/>
      <c r="UPJ12" s="425"/>
      <c r="UPK12" s="425"/>
      <c r="UPL12" s="425"/>
      <c r="UPM12" s="425"/>
      <c r="UPN12" s="425"/>
      <c r="UPO12" s="425"/>
      <c r="UPP12" s="425"/>
      <c r="UPQ12" s="425"/>
      <c r="UPR12" s="425"/>
      <c r="UPS12" s="425"/>
      <c r="UPT12" s="425"/>
      <c r="UPU12" s="425"/>
      <c r="UPV12" s="425"/>
      <c r="UPW12" s="425"/>
      <c r="UPX12" s="425"/>
      <c r="UPY12" s="425"/>
      <c r="UPZ12" s="425"/>
      <c r="UQA12" s="425"/>
      <c r="UQB12" s="425"/>
      <c r="UQC12" s="425"/>
      <c r="UQD12" s="425"/>
      <c r="UQE12" s="425"/>
      <c r="UQF12" s="425"/>
      <c r="UQG12" s="425"/>
      <c r="UQH12" s="425"/>
      <c r="UQI12" s="425"/>
      <c r="UQJ12" s="425"/>
      <c r="UQK12" s="425"/>
      <c r="UQL12" s="425"/>
      <c r="UQM12" s="425"/>
      <c r="UQN12" s="425"/>
      <c r="UQO12" s="425"/>
      <c r="UQP12" s="425"/>
      <c r="UQQ12" s="425"/>
      <c r="UQR12" s="425"/>
      <c r="UQS12" s="425"/>
      <c r="UQT12" s="425"/>
      <c r="UQU12" s="425"/>
      <c r="UQV12" s="425"/>
      <c r="UQW12" s="425"/>
      <c r="UQX12" s="425"/>
      <c r="UQY12" s="425"/>
      <c r="UQZ12" s="425"/>
      <c r="URA12" s="425"/>
      <c r="URB12" s="425"/>
      <c r="URC12" s="425"/>
      <c r="URD12" s="425"/>
      <c r="URE12" s="425"/>
      <c r="URF12" s="425"/>
      <c r="URG12" s="425"/>
      <c r="URH12" s="425"/>
      <c r="URI12" s="425"/>
      <c r="URJ12" s="425"/>
      <c r="URK12" s="425"/>
      <c r="URL12" s="425"/>
      <c r="URM12" s="425"/>
      <c r="URN12" s="425"/>
      <c r="URO12" s="425"/>
      <c r="URP12" s="425"/>
      <c r="URQ12" s="425"/>
      <c r="URR12" s="425"/>
      <c r="URS12" s="425"/>
      <c r="URT12" s="425"/>
      <c r="URU12" s="425"/>
      <c r="URV12" s="425"/>
      <c r="URW12" s="425"/>
      <c r="URX12" s="425"/>
      <c r="URY12" s="425"/>
      <c r="URZ12" s="425"/>
      <c r="USA12" s="425"/>
      <c r="USB12" s="425"/>
      <c r="USC12" s="425"/>
      <c r="USD12" s="425"/>
      <c r="USE12" s="425"/>
      <c r="USF12" s="425"/>
      <c r="USG12" s="425"/>
      <c r="USH12" s="425"/>
      <c r="USI12" s="425"/>
      <c r="USJ12" s="425"/>
      <c r="USK12" s="425"/>
      <c r="USL12" s="425"/>
      <c r="USM12" s="425"/>
      <c r="USN12" s="425"/>
      <c r="USO12" s="425"/>
      <c r="USP12" s="425"/>
      <c r="USQ12" s="425"/>
      <c r="USR12" s="425"/>
      <c r="USS12" s="425"/>
      <c r="UST12" s="425"/>
      <c r="USU12" s="425"/>
      <c r="USV12" s="425"/>
      <c r="USW12" s="425"/>
      <c r="USX12" s="425"/>
      <c r="USY12" s="425"/>
      <c r="USZ12" s="425"/>
      <c r="UTA12" s="425"/>
      <c r="UTB12" s="425"/>
      <c r="UTC12" s="425"/>
      <c r="UTD12" s="425"/>
      <c r="UTE12" s="425"/>
      <c r="UTF12" s="425"/>
      <c r="UTG12" s="425"/>
      <c r="UTH12" s="425"/>
      <c r="UTI12" s="425"/>
      <c r="UTJ12" s="425"/>
      <c r="UTK12" s="425"/>
      <c r="UTL12" s="425"/>
      <c r="UTM12" s="425"/>
      <c r="UTN12" s="425"/>
      <c r="UTO12" s="425"/>
      <c r="UTP12" s="425"/>
      <c r="UTQ12" s="425"/>
      <c r="UTR12" s="425"/>
      <c r="UTS12" s="425"/>
      <c r="UTT12" s="425"/>
      <c r="UTU12" s="425"/>
      <c r="UTV12" s="425"/>
      <c r="UTW12" s="425"/>
      <c r="UTX12" s="425"/>
      <c r="UTY12" s="425"/>
      <c r="UTZ12" s="425"/>
      <c r="UUA12" s="425"/>
      <c r="UUB12" s="425"/>
      <c r="UUC12" s="425"/>
      <c r="UUD12" s="425"/>
      <c r="UUE12" s="425"/>
      <c r="UUF12" s="425"/>
      <c r="UUG12" s="425"/>
      <c r="UUH12" s="425"/>
      <c r="UUI12" s="425"/>
      <c r="UUJ12" s="425"/>
      <c r="UUK12" s="425"/>
      <c r="UUL12" s="425"/>
      <c r="UUM12" s="425"/>
      <c r="UUN12" s="425"/>
      <c r="UUO12" s="425"/>
      <c r="UUP12" s="425"/>
      <c r="UUQ12" s="425"/>
      <c r="UUR12" s="425"/>
      <c r="UUS12" s="425"/>
      <c r="UUT12" s="425"/>
      <c r="UUU12" s="425"/>
      <c r="UUV12" s="425"/>
      <c r="UUW12" s="425"/>
      <c r="UUX12" s="425"/>
      <c r="UUY12" s="425"/>
      <c r="UUZ12" s="425"/>
      <c r="UVA12" s="425"/>
      <c r="UVB12" s="425"/>
      <c r="UVC12" s="425"/>
      <c r="UVD12" s="425"/>
      <c r="UVE12" s="425"/>
      <c r="UVF12" s="425"/>
      <c r="UVG12" s="425"/>
      <c r="UVH12" s="425"/>
      <c r="UVI12" s="425"/>
      <c r="UVJ12" s="425"/>
      <c r="UVK12" s="425"/>
      <c r="UVL12" s="425"/>
      <c r="UVM12" s="425"/>
      <c r="UVN12" s="425"/>
      <c r="UVO12" s="425"/>
      <c r="UVP12" s="425"/>
      <c r="UVQ12" s="425"/>
      <c r="UVR12" s="425"/>
      <c r="UVS12" s="425"/>
      <c r="UVT12" s="425"/>
      <c r="UVU12" s="425"/>
      <c r="UVV12" s="425"/>
      <c r="UVW12" s="425"/>
      <c r="UVX12" s="425"/>
      <c r="UVY12" s="425"/>
      <c r="UVZ12" s="425"/>
      <c r="UWA12" s="425"/>
      <c r="UWB12" s="425"/>
      <c r="UWC12" s="425"/>
      <c r="UWD12" s="425"/>
      <c r="UWE12" s="425"/>
      <c r="UWF12" s="425"/>
      <c r="UWG12" s="425"/>
      <c r="UWH12" s="425"/>
      <c r="UWI12" s="425"/>
      <c r="UWJ12" s="425"/>
      <c r="UWK12" s="425"/>
      <c r="UWL12" s="425"/>
      <c r="UWM12" s="425"/>
      <c r="UWN12" s="425"/>
      <c r="UWO12" s="425"/>
      <c r="UWP12" s="425"/>
      <c r="UWQ12" s="425"/>
      <c r="UWR12" s="425"/>
      <c r="UWS12" s="425"/>
      <c r="UWT12" s="425"/>
      <c r="UWU12" s="425"/>
      <c r="UWV12" s="425"/>
      <c r="UWW12" s="425"/>
      <c r="UWX12" s="425"/>
      <c r="UWY12" s="425"/>
      <c r="UWZ12" s="425"/>
      <c r="UXA12" s="425"/>
      <c r="UXB12" s="425"/>
      <c r="UXC12" s="425"/>
      <c r="UXD12" s="425"/>
      <c r="UXE12" s="425"/>
      <c r="UXF12" s="425"/>
      <c r="UXG12" s="425"/>
      <c r="UXH12" s="425"/>
      <c r="UXI12" s="425"/>
      <c r="UXJ12" s="425"/>
      <c r="UXK12" s="425"/>
      <c r="UXL12" s="425"/>
      <c r="UXM12" s="425"/>
      <c r="UXN12" s="425"/>
      <c r="UXO12" s="425"/>
      <c r="UXP12" s="425"/>
      <c r="UXQ12" s="425"/>
      <c r="UXR12" s="425"/>
      <c r="UXS12" s="425"/>
      <c r="UXT12" s="425"/>
      <c r="UXU12" s="425"/>
      <c r="UXV12" s="425"/>
      <c r="UXW12" s="425"/>
      <c r="UXX12" s="425"/>
      <c r="UXY12" s="425"/>
      <c r="UXZ12" s="425"/>
      <c r="UYA12" s="425"/>
      <c r="UYB12" s="425"/>
      <c r="UYC12" s="425"/>
      <c r="UYD12" s="425"/>
      <c r="UYE12" s="425"/>
      <c r="UYF12" s="425"/>
      <c r="UYG12" s="425"/>
      <c r="UYH12" s="425"/>
      <c r="UYI12" s="425"/>
      <c r="UYJ12" s="425"/>
      <c r="UYK12" s="425"/>
      <c r="UYL12" s="425"/>
      <c r="UYM12" s="425"/>
      <c r="UYN12" s="425"/>
      <c r="UYO12" s="425"/>
      <c r="UYP12" s="425"/>
      <c r="UYQ12" s="425"/>
      <c r="UYR12" s="425"/>
      <c r="UYS12" s="425"/>
      <c r="UYT12" s="425"/>
      <c r="UYU12" s="425"/>
      <c r="UYV12" s="425"/>
      <c r="UYW12" s="425"/>
      <c r="UYX12" s="425"/>
      <c r="UYY12" s="425"/>
      <c r="UYZ12" s="425"/>
      <c r="UZA12" s="425"/>
      <c r="UZB12" s="425"/>
      <c r="UZC12" s="425"/>
      <c r="UZD12" s="425"/>
      <c r="UZE12" s="425"/>
      <c r="UZF12" s="425"/>
      <c r="UZG12" s="425"/>
      <c r="UZH12" s="425"/>
      <c r="UZI12" s="425"/>
      <c r="UZJ12" s="425"/>
      <c r="UZK12" s="425"/>
      <c r="UZL12" s="425"/>
      <c r="UZM12" s="425"/>
      <c r="UZN12" s="425"/>
      <c r="UZO12" s="425"/>
      <c r="UZP12" s="425"/>
      <c r="UZQ12" s="425"/>
      <c r="UZR12" s="425"/>
      <c r="UZS12" s="425"/>
      <c r="UZT12" s="425"/>
      <c r="UZU12" s="425"/>
      <c r="UZV12" s="425"/>
      <c r="UZW12" s="425"/>
      <c r="UZX12" s="425"/>
      <c r="UZY12" s="425"/>
      <c r="UZZ12" s="425"/>
      <c r="VAA12" s="425"/>
      <c r="VAB12" s="425"/>
      <c r="VAC12" s="425"/>
      <c r="VAD12" s="425"/>
      <c r="VAE12" s="425"/>
      <c r="VAF12" s="425"/>
      <c r="VAG12" s="425"/>
      <c r="VAH12" s="425"/>
      <c r="VAI12" s="425"/>
      <c r="VAJ12" s="425"/>
      <c r="VAK12" s="425"/>
      <c r="VAL12" s="425"/>
      <c r="VAM12" s="425"/>
      <c r="VAN12" s="425"/>
      <c r="VAO12" s="425"/>
      <c r="VAP12" s="425"/>
      <c r="VAQ12" s="425"/>
      <c r="VAR12" s="425"/>
      <c r="VAS12" s="425"/>
      <c r="VAT12" s="425"/>
      <c r="VAU12" s="425"/>
      <c r="VAV12" s="425"/>
      <c r="VAW12" s="425"/>
      <c r="VAX12" s="425"/>
      <c r="VAY12" s="425"/>
      <c r="VAZ12" s="425"/>
      <c r="VBA12" s="425"/>
      <c r="VBB12" s="425"/>
      <c r="VBC12" s="425"/>
      <c r="VBD12" s="425"/>
      <c r="VBE12" s="425"/>
      <c r="VBF12" s="425"/>
      <c r="VBG12" s="425"/>
      <c r="VBH12" s="425"/>
      <c r="VBI12" s="425"/>
      <c r="VBJ12" s="425"/>
      <c r="VBK12" s="425"/>
      <c r="VBL12" s="425"/>
      <c r="VBM12" s="425"/>
      <c r="VBN12" s="425"/>
      <c r="VBO12" s="425"/>
      <c r="VBP12" s="425"/>
      <c r="VBQ12" s="425"/>
      <c r="VBR12" s="425"/>
      <c r="VBS12" s="425"/>
      <c r="VBT12" s="425"/>
      <c r="VBU12" s="425"/>
      <c r="VBV12" s="425"/>
      <c r="VBW12" s="425"/>
      <c r="VBX12" s="425"/>
      <c r="VBY12" s="425"/>
      <c r="VBZ12" s="425"/>
      <c r="VCA12" s="425"/>
      <c r="VCB12" s="425"/>
      <c r="VCC12" s="425"/>
      <c r="VCD12" s="425"/>
      <c r="VCE12" s="425"/>
      <c r="VCF12" s="425"/>
      <c r="VCG12" s="425"/>
      <c r="VCH12" s="425"/>
      <c r="VCI12" s="425"/>
      <c r="VCJ12" s="425"/>
      <c r="VCK12" s="425"/>
      <c r="VCL12" s="425"/>
      <c r="VCM12" s="425"/>
      <c r="VCN12" s="425"/>
      <c r="VCO12" s="425"/>
      <c r="VCP12" s="425"/>
      <c r="VCQ12" s="425"/>
      <c r="VCR12" s="425"/>
      <c r="VCS12" s="425"/>
      <c r="VCT12" s="425"/>
      <c r="VCU12" s="425"/>
      <c r="VCV12" s="425"/>
      <c r="VCW12" s="425"/>
      <c r="VCX12" s="425"/>
      <c r="VCY12" s="425"/>
      <c r="VCZ12" s="425"/>
      <c r="VDA12" s="425"/>
      <c r="VDB12" s="425"/>
      <c r="VDC12" s="425"/>
      <c r="VDD12" s="425"/>
      <c r="VDE12" s="425"/>
      <c r="VDF12" s="425"/>
      <c r="VDG12" s="425"/>
      <c r="VDH12" s="425"/>
      <c r="VDI12" s="425"/>
      <c r="VDJ12" s="425"/>
      <c r="VDK12" s="425"/>
      <c r="VDL12" s="425"/>
      <c r="VDM12" s="425"/>
      <c r="VDN12" s="425"/>
      <c r="VDO12" s="425"/>
      <c r="VDP12" s="425"/>
      <c r="VDQ12" s="425"/>
      <c r="VDR12" s="425"/>
      <c r="VDS12" s="425"/>
      <c r="VDT12" s="425"/>
      <c r="VDU12" s="425"/>
      <c r="VDV12" s="425"/>
      <c r="VDW12" s="425"/>
      <c r="VDX12" s="425"/>
      <c r="VDY12" s="425"/>
      <c r="VDZ12" s="425"/>
      <c r="VEA12" s="425"/>
      <c r="VEB12" s="425"/>
      <c r="VEC12" s="425"/>
      <c r="VED12" s="425"/>
      <c r="VEE12" s="425"/>
      <c r="VEF12" s="425"/>
      <c r="VEG12" s="425"/>
      <c r="VEH12" s="425"/>
      <c r="VEI12" s="425"/>
      <c r="VEJ12" s="425"/>
      <c r="VEK12" s="425"/>
      <c r="VEL12" s="425"/>
      <c r="VEM12" s="425"/>
      <c r="VEN12" s="425"/>
      <c r="VEO12" s="425"/>
      <c r="VEP12" s="425"/>
      <c r="VEQ12" s="425"/>
      <c r="VER12" s="425"/>
      <c r="VES12" s="425"/>
      <c r="VET12" s="425"/>
      <c r="VEU12" s="425"/>
      <c r="VEV12" s="425"/>
      <c r="VEW12" s="425"/>
      <c r="VEX12" s="425"/>
      <c r="VEY12" s="425"/>
      <c r="VEZ12" s="425"/>
      <c r="VFA12" s="425"/>
      <c r="VFB12" s="425"/>
      <c r="VFC12" s="425"/>
      <c r="VFD12" s="425"/>
      <c r="VFE12" s="425"/>
      <c r="VFF12" s="425"/>
      <c r="VFG12" s="425"/>
      <c r="VFH12" s="425"/>
      <c r="VFI12" s="425"/>
      <c r="VFJ12" s="425"/>
      <c r="VFK12" s="425"/>
      <c r="VFL12" s="425"/>
      <c r="VFM12" s="425"/>
      <c r="VFN12" s="425"/>
      <c r="VFO12" s="425"/>
      <c r="VFP12" s="425"/>
      <c r="VFQ12" s="425"/>
      <c r="VFR12" s="425"/>
      <c r="VFS12" s="425"/>
      <c r="VFT12" s="425"/>
      <c r="VFU12" s="425"/>
      <c r="VFV12" s="425"/>
      <c r="VFW12" s="425"/>
      <c r="VFX12" s="425"/>
      <c r="VFY12" s="425"/>
      <c r="VFZ12" s="425"/>
      <c r="VGA12" s="425"/>
      <c r="VGB12" s="425"/>
      <c r="VGC12" s="425"/>
      <c r="VGD12" s="425"/>
      <c r="VGE12" s="425"/>
      <c r="VGF12" s="425"/>
      <c r="VGG12" s="425"/>
      <c r="VGH12" s="425"/>
      <c r="VGI12" s="425"/>
      <c r="VGJ12" s="425"/>
      <c r="VGK12" s="425"/>
      <c r="VGL12" s="425"/>
      <c r="VGM12" s="425"/>
      <c r="VGN12" s="425"/>
      <c r="VGO12" s="425"/>
      <c r="VGP12" s="425"/>
      <c r="VGQ12" s="425"/>
      <c r="VGR12" s="425"/>
      <c r="VGS12" s="425"/>
      <c r="VGT12" s="425"/>
      <c r="VGU12" s="425"/>
      <c r="VGV12" s="425"/>
      <c r="VGW12" s="425"/>
      <c r="VGX12" s="425"/>
      <c r="VGY12" s="425"/>
      <c r="VGZ12" s="425"/>
      <c r="VHA12" s="425"/>
      <c r="VHB12" s="425"/>
      <c r="VHC12" s="425"/>
      <c r="VHD12" s="425"/>
      <c r="VHE12" s="425"/>
      <c r="VHF12" s="425"/>
      <c r="VHG12" s="425"/>
      <c r="VHH12" s="425"/>
      <c r="VHI12" s="425"/>
      <c r="VHJ12" s="425"/>
      <c r="VHK12" s="425"/>
      <c r="VHL12" s="425"/>
      <c r="VHM12" s="425"/>
      <c r="VHN12" s="425"/>
      <c r="VHO12" s="425"/>
      <c r="VHP12" s="425"/>
      <c r="VHQ12" s="425"/>
      <c r="VHR12" s="425"/>
      <c r="VHS12" s="425"/>
      <c r="VHT12" s="425"/>
      <c r="VHU12" s="425"/>
      <c r="VHV12" s="425"/>
      <c r="VHW12" s="425"/>
      <c r="VHX12" s="425"/>
      <c r="VHY12" s="425"/>
      <c r="VHZ12" s="425"/>
      <c r="VIA12" s="425"/>
      <c r="VIB12" s="425"/>
      <c r="VIC12" s="425"/>
      <c r="VID12" s="425"/>
      <c r="VIE12" s="425"/>
      <c r="VIF12" s="425"/>
      <c r="VIG12" s="425"/>
      <c r="VIH12" s="425"/>
      <c r="VII12" s="425"/>
      <c r="VIJ12" s="425"/>
      <c r="VIK12" s="425"/>
      <c r="VIL12" s="425"/>
      <c r="VIM12" s="425"/>
      <c r="VIN12" s="425"/>
      <c r="VIO12" s="425"/>
      <c r="VIP12" s="425"/>
      <c r="VIQ12" s="425"/>
      <c r="VIR12" s="425"/>
      <c r="VIS12" s="425"/>
      <c r="VIT12" s="425"/>
      <c r="VIU12" s="425"/>
      <c r="VIV12" s="425"/>
      <c r="VIW12" s="425"/>
      <c r="VIX12" s="425"/>
      <c r="VIY12" s="425"/>
      <c r="VIZ12" s="425"/>
      <c r="VJA12" s="425"/>
      <c r="VJB12" s="425"/>
      <c r="VJC12" s="425"/>
      <c r="VJD12" s="425"/>
      <c r="VJE12" s="425"/>
      <c r="VJF12" s="425"/>
      <c r="VJG12" s="425"/>
      <c r="VJH12" s="425"/>
      <c r="VJI12" s="425"/>
      <c r="VJJ12" s="425"/>
      <c r="VJK12" s="425"/>
      <c r="VJL12" s="425"/>
      <c r="VJM12" s="425"/>
      <c r="VJN12" s="425"/>
      <c r="VJO12" s="425"/>
      <c r="VJP12" s="425"/>
      <c r="VJQ12" s="425"/>
      <c r="VJR12" s="425"/>
      <c r="VJS12" s="425"/>
      <c r="VJT12" s="425"/>
      <c r="VJU12" s="425"/>
      <c r="VJV12" s="425"/>
      <c r="VJW12" s="425"/>
      <c r="VJX12" s="425"/>
      <c r="VJY12" s="425"/>
      <c r="VJZ12" s="425"/>
      <c r="VKA12" s="425"/>
      <c r="VKB12" s="425"/>
      <c r="VKC12" s="425"/>
      <c r="VKD12" s="425"/>
      <c r="VKE12" s="425"/>
      <c r="VKF12" s="425"/>
      <c r="VKG12" s="425"/>
      <c r="VKH12" s="425"/>
      <c r="VKI12" s="425"/>
      <c r="VKJ12" s="425"/>
      <c r="VKK12" s="425"/>
      <c r="VKL12" s="425"/>
      <c r="VKM12" s="425"/>
      <c r="VKN12" s="425"/>
      <c r="VKO12" s="425"/>
      <c r="VKP12" s="425"/>
      <c r="VKQ12" s="425"/>
      <c r="VKR12" s="425"/>
      <c r="VKS12" s="425"/>
      <c r="VKT12" s="425"/>
      <c r="VKU12" s="425"/>
      <c r="VKV12" s="425"/>
      <c r="VKW12" s="425"/>
      <c r="VKX12" s="425"/>
      <c r="VKY12" s="425"/>
      <c r="VKZ12" s="425"/>
      <c r="VLA12" s="425"/>
      <c r="VLB12" s="425"/>
      <c r="VLC12" s="425"/>
      <c r="VLD12" s="425"/>
      <c r="VLE12" s="425"/>
      <c r="VLF12" s="425"/>
      <c r="VLG12" s="425"/>
      <c r="VLH12" s="425"/>
      <c r="VLI12" s="425"/>
      <c r="VLJ12" s="425"/>
      <c r="VLK12" s="425"/>
      <c r="VLL12" s="425"/>
      <c r="VLM12" s="425"/>
      <c r="VLN12" s="425"/>
      <c r="VLO12" s="425"/>
      <c r="VLP12" s="425"/>
      <c r="VLQ12" s="425"/>
      <c r="VLR12" s="425"/>
      <c r="VLS12" s="425"/>
      <c r="VLT12" s="425"/>
      <c r="VLU12" s="425"/>
      <c r="VLV12" s="425"/>
      <c r="VLW12" s="425"/>
      <c r="VLX12" s="425"/>
      <c r="VLY12" s="425"/>
      <c r="VLZ12" s="425"/>
      <c r="VMA12" s="425"/>
      <c r="VMB12" s="425"/>
      <c r="VMC12" s="425"/>
      <c r="VMD12" s="425"/>
      <c r="VME12" s="425"/>
      <c r="VMF12" s="425"/>
      <c r="VMG12" s="425"/>
      <c r="VMH12" s="425"/>
      <c r="VMI12" s="425"/>
      <c r="VMJ12" s="425"/>
      <c r="VMK12" s="425"/>
      <c r="VML12" s="425"/>
      <c r="VMM12" s="425"/>
      <c r="VMN12" s="425"/>
      <c r="VMO12" s="425"/>
      <c r="VMP12" s="425"/>
      <c r="VMQ12" s="425"/>
      <c r="VMR12" s="425"/>
      <c r="VMS12" s="425"/>
      <c r="VMT12" s="425"/>
      <c r="VMU12" s="425"/>
      <c r="VMV12" s="425"/>
      <c r="VMW12" s="425"/>
      <c r="VMX12" s="425"/>
      <c r="VMY12" s="425"/>
      <c r="VMZ12" s="425"/>
      <c r="VNA12" s="425"/>
      <c r="VNB12" s="425"/>
      <c r="VNC12" s="425"/>
      <c r="VND12" s="425"/>
      <c r="VNE12" s="425"/>
      <c r="VNF12" s="425"/>
      <c r="VNG12" s="425"/>
      <c r="VNH12" s="425"/>
      <c r="VNI12" s="425"/>
      <c r="VNJ12" s="425"/>
      <c r="VNK12" s="425"/>
      <c r="VNL12" s="425"/>
      <c r="VNM12" s="425"/>
      <c r="VNN12" s="425"/>
      <c r="VNO12" s="425"/>
      <c r="VNP12" s="425"/>
      <c r="VNQ12" s="425"/>
      <c r="VNR12" s="425"/>
      <c r="VNS12" s="425"/>
      <c r="VNT12" s="425"/>
      <c r="VNU12" s="425"/>
      <c r="VNV12" s="425"/>
      <c r="VNW12" s="425"/>
      <c r="VNX12" s="425"/>
      <c r="VNY12" s="425"/>
      <c r="VNZ12" s="425"/>
      <c r="VOA12" s="425"/>
      <c r="VOB12" s="425"/>
      <c r="VOC12" s="425"/>
      <c r="VOD12" s="425"/>
      <c r="VOE12" s="425"/>
      <c r="VOF12" s="425"/>
      <c r="VOG12" s="425"/>
      <c r="VOH12" s="425"/>
      <c r="VOI12" s="425"/>
      <c r="VOJ12" s="425"/>
      <c r="VOK12" s="425"/>
      <c r="VOL12" s="425"/>
      <c r="VOM12" s="425"/>
      <c r="VON12" s="425"/>
      <c r="VOO12" s="425"/>
      <c r="VOP12" s="425"/>
      <c r="VOQ12" s="425"/>
      <c r="VOR12" s="425"/>
      <c r="VOS12" s="425"/>
      <c r="VOT12" s="425"/>
      <c r="VOU12" s="425"/>
      <c r="VOV12" s="425"/>
      <c r="VOW12" s="425"/>
      <c r="VOX12" s="425"/>
      <c r="VOY12" s="425"/>
      <c r="VOZ12" s="425"/>
      <c r="VPA12" s="425"/>
      <c r="VPB12" s="425"/>
      <c r="VPC12" s="425"/>
      <c r="VPD12" s="425"/>
      <c r="VPE12" s="425"/>
      <c r="VPF12" s="425"/>
      <c r="VPG12" s="425"/>
      <c r="VPH12" s="425"/>
      <c r="VPI12" s="425"/>
      <c r="VPJ12" s="425"/>
      <c r="VPK12" s="425"/>
      <c r="VPL12" s="425"/>
      <c r="VPM12" s="425"/>
      <c r="VPN12" s="425"/>
      <c r="VPO12" s="425"/>
      <c r="VPP12" s="425"/>
      <c r="VPQ12" s="425"/>
      <c r="VPR12" s="425"/>
      <c r="VPS12" s="425"/>
      <c r="VPT12" s="425"/>
      <c r="VPU12" s="425"/>
      <c r="VPV12" s="425"/>
      <c r="VPW12" s="425"/>
      <c r="VPX12" s="425"/>
      <c r="VPY12" s="425"/>
      <c r="VPZ12" s="425"/>
      <c r="VQA12" s="425"/>
      <c r="VQB12" s="425"/>
      <c r="VQC12" s="425"/>
      <c r="VQD12" s="425"/>
      <c r="VQE12" s="425"/>
      <c r="VQF12" s="425"/>
      <c r="VQG12" s="425"/>
      <c r="VQH12" s="425"/>
      <c r="VQI12" s="425"/>
      <c r="VQJ12" s="425"/>
      <c r="VQK12" s="425"/>
      <c r="VQL12" s="425"/>
      <c r="VQM12" s="425"/>
      <c r="VQN12" s="425"/>
      <c r="VQO12" s="425"/>
      <c r="VQP12" s="425"/>
      <c r="VQQ12" s="425"/>
      <c r="VQR12" s="425"/>
      <c r="VQS12" s="425"/>
      <c r="VQT12" s="425"/>
      <c r="VQU12" s="425"/>
      <c r="VQV12" s="425"/>
      <c r="VQW12" s="425"/>
      <c r="VQX12" s="425"/>
      <c r="VQY12" s="425"/>
      <c r="VQZ12" s="425"/>
      <c r="VRA12" s="425"/>
      <c r="VRB12" s="425"/>
      <c r="VRC12" s="425"/>
      <c r="VRD12" s="425"/>
      <c r="VRE12" s="425"/>
      <c r="VRF12" s="425"/>
      <c r="VRG12" s="425"/>
      <c r="VRH12" s="425"/>
      <c r="VRI12" s="425"/>
      <c r="VRJ12" s="425"/>
      <c r="VRK12" s="425"/>
      <c r="VRL12" s="425"/>
      <c r="VRM12" s="425"/>
      <c r="VRN12" s="425"/>
      <c r="VRO12" s="425"/>
      <c r="VRP12" s="425"/>
      <c r="VRQ12" s="425"/>
      <c r="VRR12" s="425"/>
      <c r="VRS12" s="425"/>
      <c r="VRT12" s="425"/>
      <c r="VRU12" s="425"/>
      <c r="VRV12" s="425"/>
      <c r="VRW12" s="425"/>
      <c r="VRX12" s="425"/>
      <c r="VRY12" s="425"/>
      <c r="VRZ12" s="425"/>
      <c r="VSA12" s="425"/>
      <c r="VSB12" s="425"/>
      <c r="VSC12" s="425"/>
      <c r="VSD12" s="425"/>
      <c r="VSE12" s="425"/>
      <c r="VSF12" s="425"/>
      <c r="VSG12" s="425"/>
      <c r="VSH12" s="425"/>
      <c r="VSI12" s="425"/>
      <c r="VSJ12" s="425"/>
      <c r="VSK12" s="425"/>
      <c r="VSL12" s="425"/>
      <c r="VSM12" s="425"/>
      <c r="VSN12" s="425"/>
      <c r="VSO12" s="425"/>
      <c r="VSP12" s="425"/>
      <c r="VSQ12" s="425"/>
      <c r="VSR12" s="425"/>
      <c r="VSS12" s="425"/>
      <c r="VST12" s="425"/>
      <c r="VSU12" s="425"/>
      <c r="VSV12" s="425"/>
      <c r="VSW12" s="425"/>
      <c r="VSX12" s="425"/>
      <c r="VSY12" s="425"/>
      <c r="VSZ12" s="425"/>
      <c r="VTA12" s="425"/>
      <c r="VTB12" s="425"/>
      <c r="VTC12" s="425"/>
      <c r="VTD12" s="425"/>
      <c r="VTE12" s="425"/>
      <c r="VTF12" s="425"/>
      <c r="VTG12" s="425"/>
      <c r="VTH12" s="425"/>
      <c r="VTI12" s="425"/>
      <c r="VTJ12" s="425"/>
      <c r="VTK12" s="425"/>
      <c r="VTL12" s="425"/>
      <c r="VTM12" s="425"/>
      <c r="VTN12" s="425"/>
      <c r="VTO12" s="425"/>
      <c r="VTP12" s="425"/>
      <c r="VTQ12" s="425"/>
      <c r="VTR12" s="425"/>
      <c r="VTS12" s="425"/>
      <c r="VTT12" s="425"/>
      <c r="VTU12" s="425"/>
      <c r="VTV12" s="425"/>
      <c r="VTW12" s="425"/>
      <c r="VTX12" s="425"/>
      <c r="VTY12" s="425"/>
      <c r="VTZ12" s="425"/>
      <c r="VUA12" s="425"/>
      <c r="VUB12" s="425"/>
      <c r="VUC12" s="425"/>
      <c r="VUD12" s="425"/>
      <c r="VUE12" s="425"/>
      <c r="VUF12" s="425"/>
      <c r="VUG12" s="425"/>
      <c r="VUH12" s="425"/>
      <c r="VUI12" s="425"/>
      <c r="VUJ12" s="425"/>
      <c r="VUK12" s="425"/>
      <c r="VUL12" s="425"/>
      <c r="VUM12" s="425"/>
      <c r="VUN12" s="425"/>
      <c r="VUO12" s="425"/>
      <c r="VUP12" s="425"/>
      <c r="VUQ12" s="425"/>
      <c r="VUR12" s="425"/>
      <c r="VUS12" s="425"/>
      <c r="VUT12" s="425"/>
      <c r="VUU12" s="425"/>
      <c r="VUV12" s="425"/>
      <c r="VUW12" s="425"/>
      <c r="VUX12" s="425"/>
      <c r="VUY12" s="425"/>
      <c r="VUZ12" s="425"/>
      <c r="VVA12" s="425"/>
      <c r="VVB12" s="425"/>
      <c r="VVC12" s="425"/>
      <c r="VVD12" s="425"/>
      <c r="VVE12" s="425"/>
      <c r="VVF12" s="425"/>
      <c r="VVG12" s="425"/>
      <c r="VVH12" s="425"/>
      <c r="VVI12" s="425"/>
      <c r="VVJ12" s="425"/>
      <c r="VVK12" s="425"/>
      <c r="VVL12" s="425"/>
      <c r="VVM12" s="425"/>
      <c r="VVN12" s="425"/>
      <c r="VVO12" s="425"/>
      <c r="VVP12" s="425"/>
      <c r="VVQ12" s="425"/>
      <c r="VVR12" s="425"/>
      <c r="VVS12" s="425"/>
      <c r="VVT12" s="425"/>
      <c r="VVU12" s="425"/>
      <c r="VVV12" s="425"/>
      <c r="VVW12" s="425"/>
      <c r="VVX12" s="425"/>
      <c r="VVY12" s="425"/>
      <c r="VVZ12" s="425"/>
      <c r="VWA12" s="425"/>
      <c r="VWB12" s="425"/>
      <c r="VWC12" s="425"/>
      <c r="VWD12" s="425"/>
      <c r="VWE12" s="425"/>
      <c r="VWF12" s="425"/>
      <c r="VWG12" s="425"/>
      <c r="VWH12" s="425"/>
      <c r="VWI12" s="425"/>
      <c r="VWJ12" s="425"/>
      <c r="VWK12" s="425"/>
      <c r="VWL12" s="425"/>
      <c r="VWM12" s="425"/>
      <c r="VWN12" s="425"/>
      <c r="VWO12" s="425"/>
      <c r="VWP12" s="425"/>
      <c r="VWQ12" s="425"/>
      <c r="VWR12" s="425"/>
      <c r="VWS12" s="425"/>
      <c r="VWT12" s="425"/>
      <c r="VWU12" s="425"/>
      <c r="VWV12" s="425"/>
      <c r="VWW12" s="425"/>
      <c r="VWX12" s="425"/>
      <c r="VWY12" s="425"/>
      <c r="VWZ12" s="425"/>
      <c r="VXA12" s="425"/>
      <c r="VXB12" s="425"/>
      <c r="VXC12" s="425"/>
      <c r="VXD12" s="425"/>
      <c r="VXE12" s="425"/>
      <c r="VXF12" s="425"/>
      <c r="VXG12" s="425"/>
      <c r="VXH12" s="425"/>
      <c r="VXI12" s="425"/>
      <c r="VXJ12" s="425"/>
      <c r="VXK12" s="425"/>
      <c r="VXL12" s="425"/>
      <c r="VXM12" s="425"/>
      <c r="VXN12" s="425"/>
      <c r="VXO12" s="425"/>
      <c r="VXP12" s="425"/>
      <c r="VXQ12" s="425"/>
      <c r="VXR12" s="425"/>
      <c r="VXS12" s="425"/>
      <c r="VXT12" s="425"/>
      <c r="VXU12" s="425"/>
      <c r="VXV12" s="425"/>
      <c r="VXW12" s="425"/>
      <c r="VXX12" s="425"/>
      <c r="VXY12" s="425"/>
      <c r="VXZ12" s="425"/>
      <c r="VYA12" s="425"/>
      <c r="VYB12" s="425"/>
      <c r="VYC12" s="425"/>
      <c r="VYD12" s="425"/>
      <c r="VYE12" s="425"/>
      <c r="VYF12" s="425"/>
      <c r="VYG12" s="425"/>
      <c r="VYH12" s="425"/>
      <c r="VYI12" s="425"/>
      <c r="VYJ12" s="425"/>
      <c r="VYK12" s="425"/>
      <c r="VYL12" s="425"/>
      <c r="VYM12" s="425"/>
      <c r="VYN12" s="425"/>
      <c r="VYO12" s="425"/>
      <c r="VYP12" s="425"/>
      <c r="VYQ12" s="425"/>
      <c r="VYR12" s="425"/>
      <c r="VYS12" s="425"/>
      <c r="VYT12" s="425"/>
      <c r="VYU12" s="425"/>
      <c r="VYV12" s="425"/>
      <c r="VYW12" s="425"/>
      <c r="VYX12" s="425"/>
      <c r="VYY12" s="425"/>
      <c r="VYZ12" s="425"/>
      <c r="VZA12" s="425"/>
      <c r="VZB12" s="425"/>
      <c r="VZC12" s="425"/>
      <c r="VZD12" s="425"/>
      <c r="VZE12" s="425"/>
      <c r="VZF12" s="425"/>
      <c r="VZG12" s="425"/>
      <c r="VZH12" s="425"/>
      <c r="VZI12" s="425"/>
      <c r="VZJ12" s="425"/>
      <c r="VZK12" s="425"/>
      <c r="VZL12" s="425"/>
      <c r="VZM12" s="425"/>
      <c r="VZN12" s="425"/>
      <c r="VZO12" s="425"/>
      <c r="VZP12" s="425"/>
      <c r="VZQ12" s="425"/>
      <c r="VZR12" s="425"/>
      <c r="VZS12" s="425"/>
      <c r="VZT12" s="425"/>
      <c r="VZU12" s="425"/>
      <c r="VZV12" s="425"/>
      <c r="VZW12" s="425"/>
      <c r="VZX12" s="425"/>
      <c r="VZY12" s="425"/>
      <c r="VZZ12" s="425"/>
      <c r="WAA12" s="425"/>
      <c r="WAB12" s="425"/>
      <c r="WAC12" s="425"/>
      <c r="WAD12" s="425"/>
      <c r="WAE12" s="425"/>
      <c r="WAF12" s="425"/>
      <c r="WAG12" s="425"/>
      <c r="WAH12" s="425"/>
      <c r="WAI12" s="425"/>
      <c r="WAJ12" s="425"/>
      <c r="WAK12" s="425"/>
      <c r="WAL12" s="425"/>
      <c r="WAM12" s="425"/>
      <c r="WAN12" s="425"/>
      <c r="WAO12" s="425"/>
      <c r="WAP12" s="425"/>
      <c r="WAQ12" s="425"/>
      <c r="WAR12" s="425"/>
      <c r="WAS12" s="425"/>
      <c r="WAT12" s="425"/>
      <c r="WAU12" s="425"/>
      <c r="WAV12" s="425"/>
      <c r="WAW12" s="425"/>
      <c r="WAX12" s="425"/>
      <c r="WAY12" s="425"/>
      <c r="WAZ12" s="425"/>
      <c r="WBA12" s="425"/>
      <c r="WBB12" s="425"/>
      <c r="WBC12" s="425"/>
      <c r="WBD12" s="425"/>
      <c r="WBE12" s="425"/>
      <c r="WBF12" s="425"/>
      <c r="WBG12" s="425"/>
      <c r="WBH12" s="425"/>
      <c r="WBI12" s="425"/>
      <c r="WBJ12" s="425"/>
      <c r="WBK12" s="425"/>
      <c r="WBL12" s="425"/>
      <c r="WBM12" s="425"/>
      <c r="WBN12" s="425"/>
      <c r="WBO12" s="425"/>
      <c r="WBP12" s="425"/>
      <c r="WBQ12" s="425"/>
      <c r="WBR12" s="425"/>
      <c r="WBS12" s="425"/>
      <c r="WBT12" s="425"/>
      <c r="WBU12" s="425"/>
      <c r="WBV12" s="425"/>
      <c r="WBW12" s="425"/>
      <c r="WBX12" s="425"/>
      <c r="WBY12" s="425"/>
      <c r="WBZ12" s="425"/>
      <c r="WCA12" s="425"/>
      <c r="WCB12" s="425"/>
      <c r="WCC12" s="425"/>
      <c r="WCD12" s="425"/>
      <c r="WCE12" s="425"/>
      <c r="WCF12" s="425"/>
      <c r="WCG12" s="425"/>
      <c r="WCH12" s="425"/>
      <c r="WCI12" s="425"/>
      <c r="WCJ12" s="425"/>
      <c r="WCK12" s="425"/>
      <c r="WCL12" s="425"/>
      <c r="WCM12" s="425"/>
      <c r="WCN12" s="425"/>
      <c r="WCO12" s="425"/>
      <c r="WCP12" s="425"/>
      <c r="WCQ12" s="425"/>
      <c r="WCR12" s="425"/>
      <c r="WCS12" s="425"/>
      <c r="WCT12" s="425"/>
      <c r="WCU12" s="425"/>
      <c r="WCV12" s="425"/>
      <c r="WCW12" s="425"/>
      <c r="WCX12" s="425"/>
      <c r="WCY12" s="425"/>
      <c r="WCZ12" s="425"/>
      <c r="WDA12" s="425"/>
      <c r="WDB12" s="425"/>
      <c r="WDC12" s="425"/>
      <c r="WDD12" s="425"/>
      <c r="WDE12" s="425"/>
      <c r="WDF12" s="425"/>
      <c r="WDG12" s="425"/>
      <c r="WDH12" s="425"/>
      <c r="WDI12" s="425"/>
      <c r="WDJ12" s="425"/>
      <c r="WDK12" s="425"/>
      <c r="WDL12" s="425"/>
      <c r="WDM12" s="425"/>
      <c r="WDN12" s="425"/>
      <c r="WDO12" s="425"/>
      <c r="WDP12" s="425"/>
      <c r="WDQ12" s="425"/>
      <c r="WDR12" s="425"/>
      <c r="WDS12" s="425"/>
      <c r="WDT12" s="425"/>
      <c r="WDU12" s="425"/>
      <c r="WDV12" s="425"/>
      <c r="WDW12" s="425"/>
      <c r="WDX12" s="425"/>
      <c r="WDY12" s="425"/>
      <c r="WDZ12" s="425"/>
      <c r="WEA12" s="425"/>
      <c r="WEB12" s="425"/>
      <c r="WEC12" s="425"/>
      <c r="WED12" s="425"/>
      <c r="WEE12" s="425"/>
      <c r="WEF12" s="425"/>
      <c r="WEG12" s="425"/>
      <c r="WEH12" s="425"/>
      <c r="WEI12" s="425"/>
      <c r="WEJ12" s="425"/>
      <c r="WEK12" s="425"/>
      <c r="WEL12" s="425"/>
      <c r="WEM12" s="425"/>
      <c r="WEN12" s="425"/>
      <c r="WEO12" s="425"/>
      <c r="WEP12" s="425"/>
      <c r="WEQ12" s="425"/>
      <c r="WER12" s="425"/>
      <c r="WES12" s="425"/>
      <c r="WET12" s="425"/>
      <c r="WEU12" s="425"/>
      <c r="WEV12" s="425"/>
      <c r="WEW12" s="425"/>
      <c r="WEX12" s="425"/>
      <c r="WEY12" s="425"/>
      <c r="WEZ12" s="425"/>
      <c r="WFA12" s="425"/>
      <c r="WFB12" s="425"/>
      <c r="WFC12" s="425"/>
      <c r="WFD12" s="425"/>
      <c r="WFE12" s="425"/>
      <c r="WFF12" s="425"/>
      <c r="WFG12" s="425"/>
      <c r="WFH12" s="425"/>
      <c r="WFI12" s="425"/>
      <c r="WFJ12" s="425"/>
      <c r="WFK12" s="425"/>
      <c r="WFL12" s="425"/>
      <c r="WFM12" s="425"/>
      <c r="WFN12" s="425"/>
      <c r="WFO12" s="425"/>
      <c r="WFP12" s="425"/>
      <c r="WFQ12" s="425"/>
      <c r="WFR12" s="425"/>
      <c r="WFS12" s="425"/>
      <c r="WFT12" s="425"/>
      <c r="WFU12" s="425"/>
      <c r="WFV12" s="425"/>
      <c r="WFW12" s="425"/>
      <c r="WFX12" s="425"/>
      <c r="WFY12" s="425"/>
      <c r="WFZ12" s="425"/>
      <c r="WGA12" s="425"/>
      <c r="WGB12" s="425"/>
      <c r="WGC12" s="425"/>
      <c r="WGD12" s="425"/>
      <c r="WGE12" s="425"/>
      <c r="WGF12" s="425"/>
      <c r="WGG12" s="425"/>
      <c r="WGH12" s="425"/>
      <c r="WGI12" s="425"/>
      <c r="WGJ12" s="425"/>
      <c r="WGK12" s="425"/>
      <c r="WGL12" s="425"/>
      <c r="WGM12" s="425"/>
      <c r="WGN12" s="425"/>
      <c r="WGO12" s="425"/>
      <c r="WGP12" s="425"/>
      <c r="WGQ12" s="425"/>
      <c r="WGR12" s="425"/>
      <c r="WGS12" s="425"/>
      <c r="WGT12" s="425"/>
      <c r="WGU12" s="425"/>
      <c r="WGV12" s="425"/>
      <c r="WGW12" s="425"/>
      <c r="WGX12" s="425"/>
      <c r="WGY12" s="425"/>
      <c r="WGZ12" s="425"/>
      <c r="WHA12" s="425"/>
      <c r="WHB12" s="425"/>
      <c r="WHC12" s="425"/>
      <c r="WHD12" s="425"/>
      <c r="WHE12" s="425"/>
      <c r="WHF12" s="425"/>
      <c r="WHG12" s="425"/>
      <c r="WHH12" s="425"/>
      <c r="WHI12" s="425"/>
      <c r="WHJ12" s="425"/>
      <c r="WHK12" s="425"/>
      <c r="WHL12" s="425"/>
      <c r="WHM12" s="425"/>
      <c r="WHN12" s="425"/>
      <c r="WHO12" s="425"/>
      <c r="WHP12" s="425"/>
      <c r="WHQ12" s="425"/>
      <c r="WHR12" s="425"/>
      <c r="WHS12" s="425"/>
      <c r="WHT12" s="425"/>
      <c r="WHU12" s="425"/>
      <c r="WHV12" s="425"/>
      <c r="WHW12" s="425"/>
      <c r="WHX12" s="425"/>
      <c r="WHY12" s="425"/>
      <c r="WHZ12" s="425"/>
      <c r="WIA12" s="425"/>
      <c r="WIB12" s="425"/>
      <c r="WIC12" s="425"/>
      <c r="WID12" s="425"/>
      <c r="WIE12" s="425"/>
      <c r="WIF12" s="425"/>
      <c r="WIG12" s="425"/>
      <c r="WIH12" s="425"/>
      <c r="WII12" s="425"/>
      <c r="WIJ12" s="425"/>
      <c r="WIK12" s="425"/>
      <c r="WIL12" s="425"/>
      <c r="WIM12" s="425"/>
      <c r="WIN12" s="425"/>
      <c r="WIO12" s="425"/>
      <c r="WIP12" s="425"/>
      <c r="WIQ12" s="425"/>
      <c r="WIR12" s="425"/>
      <c r="WIS12" s="425"/>
      <c r="WIT12" s="425"/>
      <c r="WIU12" s="425"/>
      <c r="WIV12" s="425"/>
      <c r="WIW12" s="425"/>
      <c r="WIX12" s="425"/>
      <c r="WIY12" s="425"/>
      <c r="WIZ12" s="425"/>
      <c r="WJA12" s="425"/>
      <c r="WJB12" s="425"/>
      <c r="WJC12" s="425"/>
      <c r="WJD12" s="425"/>
      <c r="WJE12" s="425"/>
      <c r="WJF12" s="425"/>
      <c r="WJG12" s="425"/>
      <c r="WJH12" s="425"/>
      <c r="WJI12" s="425"/>
      <c r="WJJ12" s="425"/>
      <c r="WJK12" s="425"/>
      <c r="WJL12" s="425"/>
      <c r="WJM12" s="425"/>
      <c r="WJN12" s="425"/>
      <c r="WJO12" s="425"/>
      <c r="WJP12" s="425"/>
      <c r="WJQ12" s="425"/>
      <c r="WJR12" s="425"/>
      <c r="WJS12" s="425"/>
      <c r="WJT12" s="425"/>
      <c r="WJU12" s="425"/>
      <c r="WJV12" s="425"/>
      <c r="WJW12" s="425"/>
      <c r="WJX12" s="425"/>
      <c r="WJY12" s="425"/>
      <c r="WJZ12" s="425"/>
      <c r="WKA12" s="425"/>
      <c r="WKB12" s="425"/>
      <c r="WKC12" s="425"/>
      <c r="WKD12" s="425"/>
      <c r="WKE12" s="425"/>
      <c r="WKF12" s="425"/>
      <c r="WKG12" s="425"/>
      <c r="WKH12" s="425"/>
      <c r="WKI12" s="425"/>
      <c r="WKJ12" s="425"/>
      <c r="WKK12" s="425"/>
      <c r="WKL12" s="425"/>
      <c r="WKM12" s="425"/>
      <c r="WKN12" s="425"/>
      <c r="WKO12" s="425"/>
      <c r="WKP12" s="425"/>
      <c r="WKQ12" s="425"/>
      <c r="WKR12" s="425"/>
      <c r="WKS12" s="425"/>
      <c r="WKT12" s="425"/>
      <c r="WKU12" s="425"/>
      <c r="WKV12" s="425"/>
      <c r="WKW12" s="425"/>
      <c r="WKX12" s="425"/>
      <c r="WKY12" s="425"/>
      <c r="WKZ12" s="425"/>
      <c r="WLA12" s="425"/>
      <c r="WLB12" s="425"/>
      <c r="WLC12" s="425"/>
      <c r="WLD12" s="425"/>
      <c r="WLE12" s="425"/>
      <c r="WLF12" s="425"/>
      <c r="WLG12" s="425"/>
      <c r="WLH12" s="425"/>
      <c r="WLI12" s="425"/>
      <c r="WLJ12" s="425"/>
      <c r="WLK12" s="425"/>
      <c r="WLL12" s="425"/>
      <c r="WLM12" s="425"/>
      <c r="WLN12" s="425"/>
      <c r="WLO12" s="425"/>
      <c r="WLP12" s="425"/>
      <c r="WLQ12" s="425"/>
      <c r="WLR12" s="425"/>
      <c r="WLS12" s="425"/>
      <c r="WLT12" s="425"/>
      <c r="WLU12" s="425"/>
      <c r="WLV12" s="425"/>
      <c r="WLW12" s="425"/>
      <c r="WLX12" s="425"/>
      <c r="WLY12" s="425"/>
      <c r="WLZ12" s="425"/>
      <c r="WMA12" s="425"/>
      <c r="WMB12" s="425"/>
      <c r="WMC12" s="425"/>
      <c r="WMD12" s="425"/>
      <c r="WME12" s="425"/>
      <c r="WMF12" s="425"/>
      <c r="WMG12" s="425"/>
      <c r="WMH12" s="425"/>
      <c r="WMI12" s="425"/>
      <c r="WMJ12" s="425"/>
      <c r="WMK12" s="425"/>
      <c r="WML12" s="425"/>
      <c r="WMM12" s="425"/>
      <c r="WMN12" s="425"/>
      <c r="WMO12" s="425"/>
      <c r="WMP12" s="425"/>
      <c r="WMQ12" s="425"/>
      <c r="WMR12" s="425"/>
      <c r="WMS12" s="425"/>
      <c r="WMT12" s="425"/>
      <c r="WMU12" s="425"/>
      <c r="WMV12" s="425"/>
      <c r="WMW12" s="425"/>
      <c r="WMX12" s="425"/>
      <c r="WMY12" s="425"/>
      <c r="WMZ12" s="425"/>
      <c r="WNA12" s="425"/>
      <c r="WNB12" s="425"/>
      <c r="WNC12" s="425"/>
      <c r="WND12" s="425"/>
      <c r="WNE12" s="425"/>
      <c r="WNF12" s="425"/>
      <c r="WNG12" s="425"/>
      <c r="WNH12" s="425"/>
      <c r="WNI12" s="425"/>
      <c r="WNJ12" s="425"/>
      <c r="WNK12" s="425"/>
      <c r="WNL12" s="425"/>
      <c r="WNM12" s="425"/>
      <c r="WNN12" s="425"/>
      <c r="WNO12" s="425"/>
      <c r="WNP12" s="425"/>
      <c r="WNQ12" s="425"/>
      <c r="WNR12" s="425"/>
      <c r="WNS12" s="425"/>
      <c r="WNT12" s="425"/>
      <c r="WNU12" s="425"/>
      <c r="WNV12" s="425"/>
      <c r="WNW12" s="425"/>
      <c r="WNX12" s="425"/>
      <c r="WNY12" s="425"/>
      <c r="WNZ12" s="425"/>
      <c r="WOA12" s="425"/>
      <c r="WOB12" s="425"/>
      <c r="WOC12" s="425"/>
      <c r="WOD12" s="425"/>
      <c r="WOE12" s="425"/>
      <c r="WOF12" s="425"/>
      <c r="WOG12" s="425"/>
      <c r="WOH12" s="425"/>
      <c r="WOI12" s="425"/>
      <c r="WOJ12" s="425"/>
      <c r="WOK12" s="425"/>
      <c r="WOL12" s="425"/>
      <c r="WOM12" s="425"/>
      <c r="WON12" s="425"/>
      <c r="WOO12" s="425"/>
      <c r="WOP12" s="425"/>
      <c r="WOQ12" s="425"/>
      <c r="WOR12" s="425"/>
      <c r="WOS12" s="425"/>
      <c r="WOT12" s="425"/>
      <c r="WOU12" s="425"/>
      <c r="WOV12" s="425"/>
      <c r="WOW12" s="425"/>
      <c r="WOX12" s="425"/>
      <c r="WOY12" s="425"/>
      <c r="WOZ12" s="425"/>
      <c r="WPA12" s="425"/>
      <c r="WPB12" s="425"/>
      <c r="WPC12" s="425"/>
      <c r="WPD12" s="425"/>
      <c r="WPE12" s="425"/>
      <c r="WPF12" s="425"/>
      <c r="WPG12" s="425"/>
      <c r="WPH12" s="425"/>
      <c r="WPI12" s="425"/>
      <c r="WPJ12" s="425"/>
      <c r="WPK12" s="425"/>
      <c r="WPL12" s="425"/>
      <c r="WPM12" s="425"/>
      <c r="WPN12" s="425"/>
      <c r="WPO12" s="425"/>
      <c r="WPP12" s="425"/>
      <c r="WPQ12" s="425"/>
      <c r="WPR12" s="425"/>
      <c r="WPS12" s="425"/>
      <c r="WPT12" s="425"/>
      <c r="WPU12" s="425"/>
      <c r="WPV12" s="425"/>
      <c r="WPW12" s="425"/>
      <c r="WPX12" s="425"/>
      <c r="WPY12" s="425"/>
      <c r="WPZ12" s="425"/>
      <c r="WQA12" s="425"/>
      <c r="WQB12" s="425"/>
      <c r="WQC12" s="425"/>
      <c r="WQD12" s="425"/>
      <c r="WQE12" s="425"/>
      <c r="WQF12" s="425"/>
      <c r="WQG12" s="425"/>
      <c r="WQH12" s="425"/>
      <c r="WQI12" s="425"/>
      <c r="WQJ12" s="425"/>
      <c r="WQK12" s="425"/>
      <c r="WQL12" s="425"/>
      <c r="WQM12" s="425"/>
      <c r="WQN12" s="425"/>
      <c r="WQO12" s="425"/>
      <c r="WQP12" s="425"/>
      <c r="WQQ12" s="425"/>
      <c r="WQR12" s="425"/>
      <c r="WQS12" s="425"/>
      <c r="WQT12" s="425"/>
      <c r="WQU12" s="425"/>
      <c r="WQV12" s="425"/>
      <c r="WQW12" s="425"/>
      <c r="WQX12" s="425"/>
      <c r="WQY12" s="425"/>
      <c r="WQZ12" s="425"/>
      <c r="WRA12" s="425"/>
      <c r="WRB12" s="425"/>
      <c r="WRC12" s="425"/>
      <c r="WRD12" s="425"/>
      <c r="WRE12" s="425"/>
      <c r="WRF12" s="425"/>
      <c r="WRG12" s="425"/>
      <c r="WRH12" s="425"/>
      <c r="WRI12" s="425"/>
      <c r="WRJ12" s="425"/>
      <c r="WRK12" s="425"/>
      <c r="WRL12" s="425"/>
      <c r="WRM12" s="425"/>
      <c r="WRN12" s="425"/>
      <c r="WRO12" s="425"/>
      <c r="WRP12" s="425"/>
      <c r="WRQ12" s="425"/>
      <c r="WRR12" s="425"/>
      <c r="WRS12" s="425"/>
      <c r="WRT12" s="425"/>
      <c r="WRU12" s="425"/>
      <c r="WRV12" s="425"/>
      <c r="WRW12" s="425"/>
      <c r="WRX12" s="425"/>
      <c r="WRY12" s="425"/>
      <c r="WRZ12" s="425"/>
      <c r="WSA12" s="425"/>
      <c r="WSB12" s="425"/>
      <c r="WSC12" s="425"/>
      <c r="WSD12" s="425"/>
      <c r="WSE12" s="425"/>
      <c r="WSF12" s="425"/>
      <c r="WSG12" s="425"/>
      <c r="WSH12" s="425"/>
      <c r="WSI12" s="425"/>
      <c r="WSJ12" s="425"/>
      <c r="WSK12" s="425"/>
      <c r="WSL12" s="425"/>
      <c r="WSM12" s="425"/>
      <c r="WSN12" s="425"/>
      <c r="WSO12" s="425"/>
      <c r="WSP12" s="425"/>
      <c r="WSQ12" s="425"/>
      <c r="WSR12" s="425"/>
      <c r="WSS12" s="425"/>
      <c r="WST12" s="425"/>
      <c r="WSU12" s="425"/>
      <c r="WSV12" s="425"/>
      <c r="WSW12" s="425"/>
      <c r="WSX12" s="425"/>
      <c r="WSY12" s="425"/>
      <c r="WSZ12" s="425"/>
      <c r="WTA12" s="425"/>
      <c r="WTB12" s="425"/>
      <c r="WTC12" s="425"/>
      <c r="WTD12" s="425"/>
      <c r="WTE12" s="425"/>
      <c r="WTF12" s="425"/>
      <c r="WTG12" s="425"/>
      <c r="WTH12" s="425"/>
      <c r="WTI12" s="425"/>
      <c r="WTJ12" s="425"/>
      <c r="WTK12" s="425"/>
      <c r="WTL12" s="425"/>
      <c r="WTM12" s="425"/>
      <c r="WTN12" s="425"/>
      <c r="WTO12" s="425"/>
      <c r="WTP12" s="425"/>
      <c r="WTQ12" s="425"/>
      <c r="WTR12" s="425"/>
      <c r="WTS12" s="425"/>
      <c r="WTT12" s="425"/>
      <c r="WTU12" s="425"/>
      <c r="WTV12" s="425"/>
      <c r="WTW12" s="425"/>
      <c r="WTX12" s="425"/>
      <c r="WTY12" s="425"/>
      <c r="WTZ12" s="425"/>
      <c r="WUA12" s="425"/>
      <c r="WUB12" s="425"/>
      <c r="WUC12" s="425"/>
      <c r="WUD12" s="425"/>
      <c r="WUE12" s="425"/>
      <c r="WUF12" s="425"/>
      <c r="WUG12" s="425"/>
      <c r="WUH12" s="425"/>
      <c r="WUI12" s="425"/>
      <c r="WUJ12" s="425"/>
      <c r="WUK12" s="425"/>
      <c r="WUL12" s="425"/>
      <c r="WUM12" s="425"/>
      <c r="WUN12" s="425"/>
      <c r="WUO12" s="425"/>
      <c r="WUP12" s="425"/>
      <c r="WUQ12" s="425"/>
      <c r="WUR12" s="425"/>
      <c r="WUS12" s="425"/>
      <c r="WUT12" s="425"/>
      <c r="WUU12" s="425"/>
      <c r="WUV12" s="425"/>
      <c r="WUW12" s="425"/>
      <c r="WUX12" s="425"/>
      <c r="WUY12" s="425"/>
      <c r="WUZ12" s="425"/>
      <c r="WVA12" s="425"/>
      <c r="WVB12" s="425"/>
      <c r="WVC12" s="425"/>
      <c r="WVD12" s="425"/>
      <c r="WVE12" s="425"/>
      <c r="WVF12" s="425"/>
      <c r="WVG12" s="425"/>
      <c r="WVH12" s="425"/>
      <c r="WVI12" s="425"/>
      <c r="WVJ12" s="425"/>
      <c r="WVK12" s="425"/>
      <c r="WVL12" s="425"/>
      <c r="WVM12" s="425"/>
      <c r="WVN12" s="425"/>
      <c r="WVO12" s="425"/>
      <c r="WVP12" s="425"/>
      <c r="WVQ12" s="425"/>
      <c r="WVR12" s="425"/>
      <c r="WVS12" s="425"/>
      <c r="WVT12" s="425"/>
      <c r="WVU12" s="425"/>
      <c r="WVV12" s="425"/>
      <c r="WVW12" s="425"/>
      <c r="WVX12" s="425"/>
      <c r="WVY12" s="425"/>
      <c r="WVZ12" s="425"/>
      <c r="WWA12" s="425"/>
      <c r="WWB12" s="425"/>
      <c r="WWC12" s="425"/>
      <c r="WWD12" s="425"/>
      <c r="WWE12" s="425"/>
      <c r="WWF12" s="425"/>
      <c r="WWG12" s="425"/>
      <c r="WWH12" s="425"/>
      <c r="WWI12" s="425"/>
      <c r="WWJ12" s="425"/>
      <c r="WWK12" s="425"/>
      <c r="WWL12" s="425"/>
      <c r="WWM12" s="425"/>
      <c r="WWN12" s="425"/>
      <c r="WWO12" s="425"/>
      <c r="WWP12" s="425"/>
      <c r="WWQ12" s="425"/>
      <c r="WWR12" s="425"/>
      <c r="WWS12" s="425"/>
      <c r="WWT12" s="425"/>
      <c r="WWU12" s="425"/>
      <c r="WWV12" s="425"/>
      <c r="WWW12" s="425"/>
      <c r="WWX12" s="425"/>
      <c r="WWY12" s="425"/>
      <c r="WWZ12" s="425"/>
      <c r="WXA12" s="425"/>
      <c r="WXB12" s="425"/>
      <c r="WXC12" s="425"/>
      <c r="WXD12" s="425"/>
      <c r="WXE12" s="425"/>
      <c r="WXF12" s="425"/>
      <c r="WXG12" s="425"/>
      <c r="WXH12" s="425"/>
      <c r="WXI12" s="425"/>
      <c r="WXJ12" s="425"/>
      <c r="WXK12" s="425"/>
      <c r="WXL12" s="425"/>
      <c r="WXM12" s="425"/>
      <c r="WXN12" s="425"/>
      <c r="WXO12" s="425"/>
      <c r="WXP12" s="425"/>
      <c r="WXQ12" s="425"/>
      <c r="WXR12" s="425"/>
      <c r="WXS12" s="425"/>
      <c r="WXT12" s="425"/>
      <c r="WXU12" s="425"/>
      <c r="WXV12" s="425"/>
      <c r="WXW12" s="425"/>
      <c r="WXX12" s="425"/>
      <c r="WXY12" s="425"/>
      <c r="WXZ12" s="425"/>
      <c r="WYA12" s="425"/>
      <c r="WYB12" s="425"/>
      <c r="WYC12" s="425"/>
      <c r="WYD12" s="425"/>
      <c r="WYE12" s="425"/>
      <c r="WYF12" s="425"/>
      <c r="WYG12" s="425"/>
      <c r="WYH12" s="425"/>
      <c r="WYI12" s="425"/>
      <c r="WYJ12" s="425"/>
      <c r="WYK12" s="425"/>
      <c r="WYL12" s="425"/>
      <c r="WYM12" s="425"/>
      <c r="WYN12" s="425"/>
      <c r="WYO12" s="425"/>
      <c r="WYP12" s="425"/>
      <c r="WYQ12" s="425"/>
      <c r="WYR12" s="425"/>
      <c r="WYS12" s="425"/>
      <c r="WYT12" s="425"/>
      <c r="WYU12" s="425"/>
      <c r="WYV12" s="425"/>
      <c r="WYW12" s="425"/>
      <c r="WYX12" s="425"/>
      <c r="WYY12" s="425"/>
      <c r="WYZ12" s="425"/>
      <c r="WZA12" s="425"/>
      <c r="WZB12" s="425"/>
      <c r="WZC12" s="425"/>
      <c r="WZD12" s="425"/>
      <c r="WZE12" s="425"/>
      <c r="WZF12" s="425"/>
      <c r="WZG12" s="425"/>
      <c r="WZH12" s="425"/>
      <c r="WZI12" s="425"/>
      <c r="WZJ12" s="425"/>
      <c r="WZK12" s="425"/>
      <c r="WZL12" s="425"/>
      <c r="WZM12" s="425"/>
      <c r="WZN12" s="425"/>
      <c r="WZO12" s="425"/>
      <c r="WZP12" s="425"/>
      <c r="WZQ12" s="425"/>
      <c r="WZR12" s="425"/>
      <c r="WZS12" s="425"/>
      <c r="WZT12" s="425"/>
      <c r="WZU12" s="425"/>
      <c r="WZV12" s="425"/>
      <c r="WZW12" s="425"/>
      <c r="WZX12" s="425"/>
      <c r="WZY12" s="425"/>
      <c r="WZZ12" s="425"/>
      <c r="XAA12" s="425"/>
      <c r="XAB12" s="425"/>
      <c r="XAC12" s="425"/>
      <c r="XAD12" s="425"/>
      <c r="XAE12" s="425"/>
      <c r="XAF12" s="425"/>
      <c r="XAG12" s="425"/>
      <c r="XAH12" s="425"/>
      <c r="XAI12" s="425"/>
      <c r="XAJ12" s="425"/>
      <c r="XAK12" s="425"/>
      <c r="XAL12" s="425"/>
      <c r="XAM12" s="425"/>
      <c r="XAN12" s="425"/>
      <c r="XAO12" s="425"/>
      <c r="XAP12" s="425"/>
      <c r="XAQ12" s="425"/>
      <c r="XAR12" s="425"/>
      <c r="XAS12" s="425"/>
      <c r="XAT12" s="425"/>
      <c r="XAU12" s="425"/>
      <c r="XAV12" s="425"/>
      <c r="XAW12" s="425"/>
      <c r="XAX12" s="425"/>
      <c r="XAY12" s="425"/>
      <c r="XAZ12" s="425"/>
      <c r="XBA12" s="425"/>
      <c r="XBB12" s="425"/>
      <c r="XBC12" s="425"/>
      <c r="XBD12" s="425"/>
      <c r="XBE12" s="425"/>
      <c r="XBF12" s="425"/>
      <c r="XBG12" s="425"/>
      <c r="XBH12" s="425"/>
      <c r="XBI12" s="425"/>
      <c r="XBJ12" s="425"/>
      <c r="XBK12" s="425"/>
      <c r="XBL12" s="425"/>
      <c r="XBM12" s="425"/>
      <c r="XBN12" s="425"/>
      <c r="XBO12" s="425"/>
      <c r="XBP12" s="425"/>
      <c r="XBQ12" s="425"/>
      <c r="XBR12" s="425"/>
      <c r="XBS12" s="425"/>
      <c r="XBT12" s="425"/>
      <c r="XBU12" s="425"/>
      <c r="XBV12" s="425"/>
      <c r="XBW12" s="425"/>
      <c r="XBX12" s="425"/>
      <c r="XBY12" s="425"/>
      <c r="XBZ12" s="425"/>
      <c r="XCA12" s="425"/>
      <c r="XCB12" s="425"/>
      <c r="XCC12" s="425"/>
      <c r="XCD12" s="425"/>
      <c r="XCE12" s="425"/>
      <c r="XCF12" s="425"/>
      <c r="XCG12" s="425"/>
      <c r="XCH12" s="425"/>
      <c r="XCI12" s="425"/>
      <c r="XCJ12" s="425"/>
      <c r="XCK12" s="425"/>
      <c r="XCL12" s="425"/>
      <c r="XCM12" s="425"/>
      <c r="XCN12" s="425"/>
      <c r="XCO12" s="425"/>
      <c r="XCP12" s="425"/>
      <c r="XCQ12" s="425"/>
      <c r="XCR12" s="425"/>
      <c r="XCS12" s="425"/>
      <c r="XCT12" s="425"/>
      <c r="XCU12" s="425"/>
      <c r="XCV12" s="425"/>
      <c r="XCW12" s="425"/>
      <c r="XCX12" s="425"/>
      <c r="XCY12" s="425"/>
      <c r="XCZ12" s="425"/>
      <c r="XDA12" s="425"/>
      <c r="XDB12" s="425"/>
      <c r="XDC12" s="425"/>
      <c r="XDD12" s="425"/>
      <c r="XDE12" s="425"/>
      <c r="XDF12" s="425"/>
      <c r="XDG12" s="425"/>
      <c r="XDH12" s="425"/>
      <c r="XDI12" s="425"/>
      <c r="XDJ12" s="425"/>
      <c r="XDK12" s="425"/>
      <c r="XDL12" s="425"/>
      <c r="XDM12" s="425"/>
      <c r="XDN12" s="425"/>
      <c r="XDO12" s="425"/>
      <c r="XDP12" s="425"/>
      <c r="XDQ12" s="425"/>
      <c r="XDR12" s="425"/>
      <c r="XDS12" s="425"/>
      <c r="XDT12" s="425"/>
      <c r="XDU12" s="425"/>
      <c r="XDV12" s="425"/>
      <c r="XDW12" s="425"/>
      <c r="XDX12" s="425"/>
      <c r="XDY12" s="425"/>
      <c r="XDZ12" s="425"/>
      <c r="XEA12" s="425"/>
      <c r="XEB12" s="425"/>
      <c r="XEC12" s="425"/>
      <c r="XED12" s="425"/>
      <c r="XEE12" s="425"/>
      <c r="XEF12" s="425"/>
      <c r="XEG12" s="425"/>
      <c r="XEH12" s="425"/>
      <c r="XEI12" s="425"/>
      <c r="XEJ12" s="425"/>
      <c r="XEK12" s="425"/>
      <c r="XEL12" s="425"/>
      <c r="XEM12" s="425"/>
      <c r="XEN12" s="425"/>
      <c r="XEO12" s="425"/>
      <c r="XEP12" s="425"/>
      <c r="XEQ12" s="425"/>
      <c r="XER12" s="425"/>
      <c r="XES12" s="425"/>
      <c r="XET12" s="425"/>
      <c r="XEU12" s="425"/>
      <c r="XEV12" s="425"/>
      <c r="XEW12" s="425"/>
      <c r="XEX12" s="425"/>
      <c r="XEY12" s="425"/>
      <c r="XEZ12" s="425"/>
      <c r="XFA12" s="425"/>
      <c r="XFB12" s="425"/>
      <c r="XFC12" s="425"/>
    </row>
    <row r="13" spans="1:16383" ht="30" customHeight="1" x14ac:dyDescent="0.3">
      <c r="A13" s="426" t="s">
        <v>182</v>
      </c>
      <c r="B13" s="427">
        <f>SUM(B14:B16)</f>
        <v>0</v>
      </c>
      <c r="C13" s="427">
        <f>SUM(C14:C16)</f>
        <v>0</v>
      </c>
      <c r="D13" s="428"/>
      <c r="E13" s="429"/>
    </row>
    <row r="14" spans="1:16383" ht="21.75" customHeight="1" x14ac:dyDescent="0.3">
      <c r="A14" s="430" t="s">
        <v>125</v>
      </c>
      <c r="B14" s="431">
        <f>C_Betriebsrechnung!D12</f>
        <v>0</v>
      </c>
      <c r="C14" s="431"/>
      <c r="D14" s="432"/>
    </row>
    <row r="15" spans="1:16383" ht="18.75" x14ac:dyDescent="0.3">
      <c r="A15" s="430" t="s">
        <v>126</v>
      </c>
      <c r="B15" s="431">
        <f>IFERROR(ROUND(C_Betriebsrechnung!D15*C_Betriebsrechnung!H12,0),0)</f>
        <v>0</v>
      </c>
      <c r="C15" s="431"/>
      <c r="D15" s="428"/>
    </row>
    <row r="16" spans="1:16383" ht="18.75" x14ac:dyDescent="0.3">
      <c r="A16" s="430" t="s">
        <v>84</v>
      </c>
      <c r="B16" s="431">
        <f>C_Betriebsrechnung!D17+C_Betriebsrechnung!D16</f>
        <v>0</v>
      </c>
      <c r="C16" s="431">
        <f>C_Betriebsrechnung!E16+C_Betriebsrechnung!E17</f>
        <v>0</v>
      </c>
      <c r="D16" s="428"/>
      <c r="E16" s="429"/>
    </row>
    <row r="17" spans="1:10" ht="22.5" customHeight="1" x14ac:dyDescent="0.3">
      <c r="A17" s="433" t="s">
        <v>214</v>
      </c>
      <c r="B17" s="434">
        <f>SUM(B18:B19)</f>
        <v>0</v>
      </c>
      <c r="C17" s="434">
        <f>SUM(C18:C19)</f>
        <v>0</v>
      </c>
      <c r="D17" s="432"/>
    </row>
    <row r="18" spans="1:10" ht="18.75" x14ac:dyDescent="0.3">
      <c r="A18" s="430" t="s">
        <v>125</v>
      </c>
      <c r="B18" s="431">
        <f>C_Betriebsrechnung!D13</f>
        <v>0</v>
      </c>
      <c r="C18" s="431">
        <f>C_Betriebsrechnung!E13</f>
        <v>0</v>
      </c>
      <c r="D18" s="428"/>
    </row>
    <row r="19" spans="1:10" ht="18.75" x14ac:dyDescent="0.3">
      <c r="A19" s="430" t="s">
        <v>126</v>
      </c>
      <c r="B19" s="431">
        <f>IFERROR(ROUND(SozL*C_Betriebsrechnung!H13,0),0)</f>
        <v>0</v>
      </c>
      <c r="C19" s="431">
        <f>IFERROR(ROUND(SozL*C_Betriebsrechnung!I13,0),0)</f>
        <v>0</v>
      </c>
      <c r="D19" s="428"/>
    </row>
    <row r="20" spans="1:10" ht="26.25" customHeight="1" x14ac:dyDescent="0.3">
      <c r="A20" s="433" t="s">
        <v>207</v>
      </c>
      <c r="B20" s="434">
        <f>SUM(B21:B22)</f>
        <v>0</v>
      </c>
      <c r="C20" s="434">
        <f>SUM(C21:C22)</f>
        <v>0</v>
      </c>
      <c r="D20" s="428"/>
    </row>
    <row r="21" spans="1:10" ht="22.5" customHeight="1" x14ac:dyDescent="0.3">
      <c r="A21" s="430" t="s">
        <v>256</v>
      </c>
      <c r="B21" s="431">
        <f>C_Betriebsrechnung!D14</f>
        <v>0</v>
      </c>
      <c r="C21" s="431">
        <f>C_Betriebsrechnung!K14</f>
        <v>0</v>
      </c>
      <c r="D21" s="428"/>
    </row>
    <row r="22" spans="1:10" ht="18.75" x14ac:dyDescent="0.3">
      <c r="A22" s="430" t="s">
        <v>126</v>
      </c>
      <c r="B22" s="431">
        <f>IFERROR(ROUND(C_Betriebsrechnung!H14*SozL,0),0)</f>
        <v>0</v>
      </c>
      <c r="C22" s="431">
        <f>ROUND(C_Betriebsrechnung!E15*C_Betriebsrechnung!I14,4)</f>
        <v>0</v>
      </c>
      <c r="D22" s="428"/>
    </row>
    <row r="23" spans="1:10" ht="30.75" customHeight="1" x14ac:dyDescent="0.3">
      <c r="A23" s="426" t="s">
        <v>149</v>
      </c>
      <c r="B23" s="427">
        <f>SUM(B24:B26)</f>
        <v>0</v>
      </c>
      <c r="C23" s="427">
        <f>SUM(C24:C26)</f>
        <v>0</v>
      </c>
      <c r="D23" s="432"/>
      <c r="I23" s="435"/>
    </row>
    <row r="24" spans="1:10" ht="24.95" customHeight="1" x14ac:dyDescent="0.3">
      <c r="A24" s="430" t="s">
        <v>229</v>
      </c>
      <c r="B24" s="431">
        <f>C_Betriebsrechnung!D18</f>
        <v>0</v>
      </c>
      <c r="C24" s="431"/>
      <c r="D24" s="432"/>
    </row>
    <row r="25" spans="1:10" ht="20.25" customHeight="1" x14ac:dyDescent="0.3">
      <c r="A25" s="430" t="s">
        <v>230</v>
      </c>
      <c r="B25" s="431"/>
      <c r="C25" s="431">
        <f>C_Betriebsrechnung!E18</f>
        <v>0</v>
      </c>
      <c r="D25" s="436"/>
      <c r="G25" s="437"/>
    </row>
    <row r="26" spans="1:10" ht="24.95" customHeight="1" x14ac:dyDescent="0.3">
      <c r="A26" s="430" t="s">
        <v>127</v>
      </c>
      <c r="B26" s="431">
        <f>C_Betriebsrechnung!D23</f>
        <v>0</v>
      </c>
      <c r="C26" s="431">
        <f>C_Betriebsrechnung!E23</f>
        <v>0</v>
      </c>
      <c r="D26" s="432"/>
    </row>
    <row r="28" spans="1:10" ht="31.5" customHeight="1" x14ac:dyDescent="0.3">
      <c r="A28" s="426" t="s">
        <v>97</v>
      </c>
      <c r="B28" s="434">
        <f>+B13+B23+B20+B17</f>
        <v>0</v>
      </c>
      <c r="C28" s="434">
        <f>+C13+C23+C20+C17</f>
        <v>0</v>
      </c>
      <c r="E28" s="432"/>
      <c r="F28" s="432"/>
    </row>
    <row r="29" spans="1:10" x14ac:dyDescent="0.25">
      <c r="B29" s="407"/>
      <c r="E29" s="432"/>
      <c r="F29" s="432"/>
    </row>
    <row r="30" spans="1:10" ht="28.5" customHeight="1" x14ac:dyDescent="0.25">
      <c r="A30" s="421" t="s">
        <v>4</v>
      </c>
      <c r="B30" s="423" t="s">
        <v>103</v>
      </c>
      <c r="C30" s="423" t="s">
        <v>124</v>
      </c>
      <c r="E30" s="432"/>
      <c r="F30" s="432"/>
    </row>
    <row r="31" spans="1:10" ht="18.75" x14ac:dyDescent="0.25">
      <c r="A31" s="438" t="s">
        <v>120</v>
      </c>
      <c r="B31" s="439">
        <f>+B32</f>
        <v>0</v>
      </c>
      <c r="C31" s="439">
        <f>+C32+C36</f>
        <v>0</v>
      </c>
      <c r="E31" s="432"/>
      <c r="F31" s="432"/>
    </row>
    <row r="32" spans="1:10" ht="18.75" x14ac:dyDescent="0.25">
      <c r="A32" s="440" t="s">
        <v>204</v>
      </c>
      <c r="B32" s="441">
        <f>SUM(B33:B35)</f>
        <v>0</v>
      </c>
      <c r="C32" s="441">
        <f>SUM(C33:C35)</f>
        <v>0</v>
      </c>
      <c r="E32" s="442"/>
      <c r="F32" s="442"/>
      <c r="J32" s="443"/>
    </row>
    <row r="33" spans="1:4" ht="18.75" x14ac:dyDescent="0.25">
      <c r="A33" s="444" t="s">
        <v>202</v>
      </c>
      <c r="B33" s="445">
        <f>C_Betriebsrechnung!F38</f>
        <v>0</v>
      </c>
      <c r="C33" s="445">
        <f>C_Betriebsrechnung!H38</f>
        <v>0</v>
      </c>
    </row>
    <row r="34" spans="1:4" ht="18.75" x14ac:dyDescent="0.25">
      <c r="A34" s="444" t="s">
        <v>203</v>
      </c>
      <c r="B34" s="445">
        <f>C_Betriebsrechnung!F39</f>
        <v>0</v>
      </c>
      <c r="C34" s="445">
        <f>C_Betriebsrechnung!H39</f>
        <v>0</v>
      </c>
    </row>
    <row r="35" spans="1:4" ht="18.75" x14ac:dyDescent="0.25">
      <c r="A35" s="444" t="s">
        <v>210</v>
      </c>
      <c r="B35" s="445">
        <f>C_Betriebsrechnung!F40</f>
        <v>0</v>
      </c>
      <c r="C35" s="445">
        <f>C_Betriebsrechnung!H40</f>
        <v>0</v>
      </c>
    </row>
    <row r="36" spans="1:4" ht="18.75" x14ac:dyDescent="0.25">
      <c r="A36" s="440" t="s">
        <v>121</v>
      </c>
      <c r="B36" s="446">
        <f>SUM(B37:B38)</f>
        <v>0</v>
      </c>
      <c r="C36" s="446">
        <f>SUM(C37:C38)</f>
        <v>0</v>
      </c>
    </row>
    <row r="37" spans="1:4" ht="18.75" x14ac:dyDescent="0.25">
      <c r="A37" s="444" t="s">
        <v>122</v>
      </c>
      <c r="B37" s="445">
        <f>C_Betriebsrechnung!F41</f>
        <v>0</v>
      </c>
      <c r="C37" s="445">
        <f>C_Betriebsrechnung!H41</f>
        <v>0</v>
      </c>
    </row>
    <row r="38" spans="1:4" ht="18.75" x14ac:dyDescent="0.25">
      <c r="A38" s="444" t="s">
        <v>143</v>
      </c>
      <c r="B38" s="445">
        <f>C_Betriebsrechnung!C42</f>
        <v>0</v>
      </c>
      <c r="C38" s="445"/>
    </row>
    <row r="39" spans="1:4" ht="27" customHeight="1" x14ac:dyDescent="0.25">
      <c r="A39" s="438" t="s">
        <v>123</v>
      </c>
      <c r="C39" s="439">
        <f>C_Betriebsrechnung!F43+C_Betriebsrechnung!F48</f>
        <v>0</v>
      </c>
    </row>
    <row r="40" spans="1:4" ht="26.25" customHeight="1" x14ac:dyDescent="0.25">
      <c r="A40" s="438" t="s">
        <v>215</v>
      </c>
      <c r="B40" s="439">
        <f>C_Betriebsrechnung!F45</f>
        <v>0</v>
      </c>
      <c r="C40" s="439">
        <f>C_Betriebsrechnung!H45</f>
        <v>0</v>
      </c>
      <c r="D40" s="447"/>
    </row>
    <row r="41" spans="1:4" ht="25.5" customHeight="1" x14ac:dyDescent="0.25">
      <c r="A41" s="438" t="s">
        <v>102</v>
      </c>
      <c r="B41" s="439">
        <f>SUM(B31,B36,B39,B40)</f>
        <v>0</v>
      </c>
      <c r="C41" s="439">
        <f>SUM(C31,C36,C39,C40)</f>
        <v>0</v>
      </c>
      <c r="D41" s="448"/>
    </row>
    <row r="42" spans="1:4" ht="18.75" x14ac:dyDescent="0.3">
      <c r="A42" s="430"/>
      <c r="B42" s="431"/>
      <c r="C42" s="431"/>
    </row>
    <row r="43" spans="1:4" ht="21" x14ac:dyDescent="0.35">
      <c r="A43" s="449" t="s">
        <v>147</v>
      </c>
      <c r="B43" s="450">
        <f>B41-B28</f>
        <v>0</v>
      </c>
      <c r="C43" s="450">
        <f>C41-C28</f>
        <v>0</v>
      </c>
    </row>
    <row r="44" spans="1:4" x14ac:dyDescent="0.25">
      <c r="B44" s="502"/>
      <c r="C44" s="504" t="s">
        <v>148</v>
      </c>
    </row>
    <row r="45" spans="1:4" x14ac:dyDescent="0.25">
      <c r="B45" s="503"/>
      <c r="C45" s="505"/>
    </row>
  </sheetData>
  <sheetProtection selectLockedCells="1"/>
  <mergeCells count="2">
    <mergeCell ref="B44:B45"/>
    <mergeCell ref="C44:C45"/>
  </mergeCells>
  <printOptions horizontalCentered="1" headings="1"/>
  <pageMargins left="0.23622047244094491" right="0.23622047244094491" top="0.74803149606299213" bottom="0.74803149606299213" header="0.31496062992125984" footer="0.31496062992125984"/>
  <pageSetup paperSize="9" scale="80" orientation="portrait" r:id="rId1"/>
  <headerFooter>
    <oddFooter>&amp;L&amp;Z&amp;F&amp;R&amp;D</oddFooter>
  </headerFooter>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6">
    <pageSetUpPr fitToPage="1"/>
  </sheetPr>
  <dimension ref="A1:K67"/>
  <sheetViews>
    <sheetView showGridLines="0" zoomScale="115" zoomScaleNormal="115" zoomScaleSheetLayoutView="115" workbookViewId="0">
      <selection activeCell="A57" sqref="A57:H58"/>
    </sheetView>
  </sheetViews>
  <sheetFormatPr baseColWidth="10" defaultRowHeight="15" x14ac:dyDescent="0.25"/>
  <cols>
    <col min="1" max="1" width="35.140625" customWidth="1"/>
    <col min="2" max="7" width="13.7109375" customWidth="1"/>
    <col min="8" max="8" width="11.5703125" customWidth="1"/>
    <col min="9" max="10" width="11.42578125" style="6"/>
    <col min="11" max="11" width="11.5703125" customWidth="1"/>
  </cols>
  <sheetData>
    <row r="1" spans="1:11" x14ac:dyDescent="0.25">
      <c r="A1" t="s">
        <v>0</v>
      </c>
    </row>
    <row r="3" spans="1:11" ht="18.75" x14ac:dyDescent="0.3">
      <c r="A3" s="26" t="s">
        <v>78</v>
      </c>
      <c r="H3" s="199" t="str">
        <f>Version</f>
        <v>Version 2025/2</v>
      </c>
    </row>
    <row r="4" spans="1:11" ht="18.75" x14ac:dyDescent="0.3">
      <c r="A4" s="26"/>
      <c r="H4" s="199"/>
    </row>
    <row r="5" spans="1:11" s="156" customFormat="1" ht="21" x14ac:dyDescent="0.35">
      <c r="A5" s="54" t="s">
        <v>298</v>
      </c>
      <c r="B5" s="3"/>
      <c r="H5" s="157"/>
      <c r="I5" s="200"/>
      <c r="J5" s="200"/>
      <c r="K5" s="157"/>
    </row>
    <row r="6" spans="1:11" ht="20.100000000000001" customHeight="1" x14ac:dyDescent="0.35">
      <c r="A6" s="51"/>
    </row>
    <row r="7" spans="1:11" ht="18.75" x14ac:dyDescent="0.3">
      <c r="A7" s="341" t="s">
        <v>10</v>
      </c>
      <c r="B7" s="342"/>
      <c r="C7" s="351" t="str">
        <f>'A_ Personal'!C8</f>
        <v xml:space="preserve"> </v>
      </c>
      <c r="D7" s="154"/>
      <c r="G7" s="507" t="str">
        <f>"ZSR "&amp;ZSR</f>
        <v xml:space="preserve">ZSR </v>
      </c>
      <c r="H7" s="507"/>
    </row>
    <row r="8" spans="1:11" ht="18.75" x14ac:dyDescent="0.3">
      <c r="A8" s="341" t="s">
        <v>11</v>
      </c>
      <c r="B8" s="342"/>
      <c r="C8" s="352">
        <f>akjahr</f>
        <v>2025</v>
      </c>
      <c r="D8" s="154"/>
    </row>
    <row r="9" spans="1:11" ht="14.25" customHeight="1" x14ac:dyDescent="0.25">
      <c r="A9" s="2"/>
    </row>
    <row r="10" spans="1:11" ht="18" customHeight="1" x14ac:dyDescent="0.25">
      <c r="A10" s="506" t="s">
        <v>337</v>
      </c>
      <c r="B10" s="506"/>
      <c r="C10" s="506"/>
      <c r="D10" s="506"/>
      <c r="E10" s="506"/>
      <c r="F10" s="506"/>
      <c r="G10" s="506"/>
      <c r="H10" s="506"/>
    </row>
    <row r="11" spans="1:11" s="96" customFormat="1" ht="19.5" customHeight="1" x14ac:dyDescent="0.25">
      <c r="A11" s="506"/>
      <c r="B11" s="506"/>
      <c r="C11" s="506"/>
      <c r="D11" s="506"/>
      <c r="E11" s="506"/>
      <c r="F11" s="506"/>
      <c r="G11" s="506"/>
      <c r="H11" s="506"/>
      <c r="I11" s="97"/>
      <c r="J11" s="97"/>
    </row>
    <row r="12" spans="1:11" x14ac:dyDescent="0.25">
      <c r="A12" s="2"/>
    </row>
    <row r="13" spans="1:11" ht="65.25" customHeight="1" x14ac:dyDescent="0.25">
      <c r="A13" s="201" t="s">
        <v>153</v>
      </c>
      <c r="B13" s="354" t="s">
        <v>157</v>
      </c>
      <c r="C13" s="354" t="s">
        <v>249</v>
      </c>
      <c r="D13" s="354" t="s">
        <v>250</v>
      </c>
      <c r="E13" s="354" t="s">
        <v>273</v>
      </c>
      <c r="F13" s="355" t="s">
        <v>251</v>
      </c>
      <c r="G13" s="355" t="s">
        <v>131</v>
      </c>
      <c r="H13" s="354" t="s">
        <v>152</v>
      </c>
    </row>
    <row r="14" spans="1:11" ht="20.100000000000001" customHeight="1" x14ac:dyDescent="0.25">
      <c r="A14" s="203" t="s">
        <v>119</v>
      </c>
      <c r="B14" s="204">
        <f>SUM(C14:G14)</f>
        <v>0</v>
      </c>
      <c r="C14" s="204">
        <f t="shared" ref="C14:F14" si="0">SUM(C15:C17)</f>
        <v>0</v>
      </c>
      <c r="D14" s="204">
        <f t="shared" si="0"/>
        <v>0</v>
      </c>
      <c r="E14" s="204">
        <f t="shared" si="0"/>
        <v>0</v>
      </c>
      <c r="F14" s="204">
        <f t="shared" si="0"/>
        <v>0</v>
      </c>
      <c r="G14" s="205"/>
      <c r="H14" s="205"/>
      <c r="I14" s="289" t="str">
        <f>IF(B14-SUM(C14:H14)=0,"",B14-SUM(C14:H14))</f>
        <v/>
      </c>
    </row>
    <row r="15" spans="1:11" ht="20.100000000000001" customHeight="1" x14ac:dyDescent="0.25">
      <c r="A15" s="206" t="s">
        <v>80</v>
      </c>
      <c r="B15" s="207">
        <f>Basis!B33</f>
        <v>0</v>
      </c>
      <c r="C15" s="207">
        <f>ROUND($B15*Ein_A,0)</f>
        <v>0</v>
      </c>
      <c r="D15" s="207">
        <f>ROUND($B15*Ein_B,0)</f>
        <v>0</v>
      </c>
      <c r="E15" s="207">
        <f>B15-SUM(C15:D15,F15)</f>
        <v>0</v>
      </c>
      <c r="F15" s="207">
        <f>ROUND($B15*Ein_CA,0)</f>
        <v>0</v>
      </c>
      <c r="G15" s="208"/>
      <c r="H15" s="208"/>
      <c r="I15" s="289" t="str">
        <f t="shared" ref="I15:I26" si="1">IF(B15-SUM(C15:H15)=0,"",B15-SUM(C15:H15))</f>
        <v/>
      </c>
    </row>
    <row r="16" spans="1:11" ht="20.100000000000001" customHeight="1" x14ac:dyDescent="0.25">
      <c r="A16" s="206" t="s">
        <v>5</v>
      </c>
      <c r="B16" s="207">
        <f>Basis!B34</f>
        <v>0</v>
      </c>
      <c r="C16" s="207">
        <f>ROUND($B16*Ein_A,0)</f>
        <v>0</v>
      </c>
      <c r="D16" s="207">
        <f>ROUND($B16*Ein_B,0)</f>
        <v>0</v>
      </c>
      <c r="E16" s="207">
        <f t="shared" ref="E16:E17" si="2">B16-SUM(C16:D16,F16)</f>
        <v>0</v>
      </c>
      <c r="F16" s="207">
        <f>ROUND($B16*Ein_CA,0)</f>
        <v>0</v>
      </c>
      <c r="G16" s="208"/>
      <c r="H16" s="208"/>
      <c r="I16" s="289" t="str">
        <f t="shared" si="1"/>
        <v/>
      </c>
    </row>
    <row r="17" spans="1:9" ht="20.100000000000001" customHeight="1" x14ac:dyDescent="0.25">
      <c r="A17" s="206" t="s">
        <v>6</v>
      </c>
      <c r="B17" s="207">
        <f>Basis!B35</f>
        <v>0</v>
      </c>
      <c r="C17" s="207">
        <f>ROUND($B17*Ein_A,0)</f>
        <v>0</v>
      </c>
      <c r="D17" s="207">
        <f>ROUND($B17*Ein_B,0)</f>
        <v>0</v>
      </c>
      <c r="E17" s="207">
        <f t="shared" si="2"/>
        <v>0</v>
      </c>
      <c r="F17" s="207">
        <f>ROUND($B17*Ein_CA,0)</f>
        <v>0</v>
      </c>
      <c r="G17" s="208"/>
      <c r="H17" s="208"/>
      <c r="I17" s="289" t="str">
        <f t="shared" si="1"/>
        <v/>
      </c>
    </row>
    <row r="18" spans="1:9" ht="9.9499999999999993" customHeight="1" x14ac:dyDescent="0.25">
      <c r="A18" s="209"/>
      <c r="B18" s="207"/>
      <c r="C18" s="207">
        <f>ROUND($B18*Ein_A,0)</f>
        <v>0</v>
      </c>
      <c r="D18" s="207">
        <f>ROUND($B18*Ein_B,0)</f>
        <v>0</v>
      </c>
      <c r="E18" s="207">
        <f>ROUND($B18*Ein_C,0)</f>
        <v>0</v>
      </c>
      <c r="F18" s="207">
        <f>ROUND($B18*Ein_CA,0)</f>
        <v>0</v>
      </c>
      <c r="G18" s="208"/>
      <c r="H18" s="208"/>
      <c r="I18" s="289" t="str">
        <f t="shared" si="1"/>
        <v/>
      </c>
    </row>
    <row r="19" spans="1:9" ht="20.100000000000001" customHeight="1" x14ac:dyDescent="0.25">
      <c r="A19" s="210" t="s">
        <v>142</v>
      </c>
      <c r="B19" s="211">
        <f>SUM(B20:B21)</f>
        <v>0</v>
      </c>
      <c r="C19" s="211">
        <f>SUM(C20:C21)</f>
        <v>0</v>
      </c>
      <c r="D19" s="211">
        <f t="shared" ref="D19:G19" si="3">SUM(D20:D21)</f>
        <v>0</v>
      </c>
      <c r="E19" s="211">
        <f t="shared" si="3"/>
        <v>0</v>
      </c>
      <c r="F19" s="211">
        <f t="shared" si="3"/>
        <v>0</v>
      </c>
      <c r="G19" s="211">
        <f t="shared" si="3"/>
        <v>0</v>
      </c>
      <c r="H19" s="211"/>
      <c r="I19" s="289" t="str">
        <f t="shared" si="1"/>
        <v/>
      </c>
    </row>
    <row r="20" spans="1:9" ht="20.100000000000001" customHeight="1" x14ac:dyDescent="0.25">
      <c r="A20" s="206" t="s">
        <v>122</v>
      </c>
      <c r="B20" s="207">
        <f>Basis!B37</f>
        <v>0</v>
      </c>
      <c r="C20" s="212"/>
      <c r="D20" s="212"/>
      <c r="E20" s="212"/>
      <c r="F20" s="212"/>
      <c r="G20" s="212">
        <f>B20</f>
        <v>0</v>
      </c>
      <c r="H20" s="212"/>
      <c r="I20" s="289" t="str">
        <f t="shared" si="1"/>
        <v/>
      </c>
    </row>
    <row r="21" spans="1:9" ht="20.100000000000001" customHeight="1" x14ac:dyDescent="0.25">
      <c r="A21" s="206" t="s">
        <v>143</v>
      </c>
      <c r="B21" s="207">
        <f>Basis!B38</f>
        <v>0</v>
      </c>
      <c r="C21" s="207">
        <f>ROUND($B21*B_Schlüssel!E43,4)</f>
        <v>0</v>
      </c>
      <c r="D21" s="207">
        <f>ROUND($B21*B_Schlüssel!F43,4)</f>
        <v>0</v>
      </c>
      <c r="E21" s="207">
        <f>ROUND($B21*B_Schlüssel!G43,4)</f>
        <v>0</v>
      </c>
      <c r="F21" s="207">
        <f>ROUND($B21*B_Schlüssel!H43,4)</f>
        <v>0</v>
      </c>
      <c r="G21" s="207">
        <f>ROUND($B21*B_Schlüssel!I43,4)</f>
        <v>0</v>
      </c>
      <c r="H21" s="212"/>
      <c r="I21" s="289" t="str">
        <f t="shared" si="1"/>
        <v/>
      </c>
    </row>
    <row r="22" spans="1:9" ht="9.9499999999999993" customHeight="1" x14ac:dyDescent="0.25">
      <c r="A22" s="209"/>
      <c r="B22" s="207"/>
      <c r="C22" s="207"/>
      <c r="D22" s="207"/>
      <c r="E22" s="207"/>
      <c r="F22" s="207"/>
      <c r="G22" s="207"/>
      <c r="H22" s="207"/>
      <c r="I22" s="289" t="str">
        <f t="shared" si="1"/>
        <v/>
      </c>
    </row>
    <row r="23" spans="1:9" x14ac:dyDescent="0.25">
      <c r="A23" s="210" t="s">
        <v>123</v>
      </c>
      <c r="B23" s="211">
        <f>Basis!C39</f>
        <v>0</v>
      </c>
      <c r="C23" s="207"/>
      <c r="D23" s="207"/>
      <c r="E23" s="207"/>
      <c r="F23" s="207"/>
      <c r="G23" s="207"/>
      <c r="H23" s="207">
        <f>B23</f>
        <v>0</v>
      </c>
      <c r="I23" s="289" t="str">
        <f t="shared" si="1"/>
        <v/>
      </c>
    </row>
    <row r="24" spans="1:9" ht="9.9499999999999993" customHeight="1" x14ac:dyDescent="0.25">
      <c r="A24" s="210"/>
      <c r="B24" s="211"/>
      <c r="C24" s="207"/>
      <c r="D24" s="207"/>
      <c r="E24" s="207"/>
      <c r="F24" s="207"/>
      <c r="G24" s="207"/>
      <c r="H24" s="211"/>
      <c r="I24" s="289" t="str">
        <f t="shared" si="1"/>
        <v/>
      </c>
    </row>
    <row r="25" spans="1:9" ht="18" customHeight="1" x14ac:dyDescent="0.25">
      <c r="A25" s="213" t="s">
        <v>151</v>
      </c>
      <c r="B25" s="214">
        <f>Basis!B40</f>
        <v>0</v>
      </c>
      <c r="C25" s="211">
        <f>ROUND($B25*B_Schlüssel!E42,0)</f>
        <v>0</v>
      </c>
      <c r="D25" s="211">
        <f>ROUND($B25*B_Schlüssel!F42,0)</f>
        <v>0</v>
      </c>
      <c r="E25" s="211">
        <f>ROUND($B25*B_Schlüssel!G42,0)</f>
        <v>0</v>
      </c>
      <c r="F25" s="211">
        <f>ROUND($B25*B_Schlüssel!H42,0)</f>
        <v>0</v>
      </c>
      <c r="G25" s="211">
        <f>B25-SUM(C25:F25)</f>
        <v>0</v>
      </c>
      <c r="H25" s="214"/>
      <c r="I25" s="289" t="str">
        <f t="shared" si="1"/>
        <v/>
      </c>
    </row>
    <row r="26" spans="1:9" ht="22.5" customHeight="1" x14ac:dyDescent="0.25">
      <c r="A26" s="215" t="s">
        <v>144</v>
      </c>
      <c r="B26" s="216">
        <f>SUM(B14,B19,B23,B25)</f>
        <v>0</v>
      </c>
      <c r="C26" s="216">
        <f t="shared" ref="C26:H26" si="4">+C14+C19+C23+C25</f>
        <v>0</v>
      </c>
      <c r="D26" s="216">
        <f t="shared" si="4"/>
        <v>0</v>
      </c>
      <c r="E26" s="216">
        <f t="shared" si="4"/>
        <v>0</v>
      </c>
      <c r="F26" s="216">
        <f t="shared" si="4"/>
        <v>0</v>
      </c>
      <c r="G26" s="216">
        <f t="shared" si="4"/>
        <v>0</v>
      </c>
      <c r="H26" s="216">
        <f t="shared" si="4"/>
        <v>0</v>
      </c>
      <c r="I26" s="289" t="str">
        <f t="shared" si="1"/>
        <v/>
      </c>
    </row>
    <row r="27" spans="1:9" ht="9.9499999999999993" customHeight="1" x14ac:dyDescent="0.25">
      <c r="A27" s="217"/>
      <c r="B27" s="218"/>
      <c r="C27" s="219"/>
      <c r="D27" s="219"/>
      <c r="E27" s="219"/>
      <c r="F27" s="219"/>
      <c r="G27" s="219"/>
      <c r="H27" s="219"/>
    </row>
    <row r="28" spans="1:9" ht="59.25" customHeight="1" x14ac:dyDescent="0.25">
      <c r="A28" s="220" t="s">
        <v>154</v>
      </c>
      <c r="B28" s="202" t="str">
        <f>B13</f>
        <v>Alle Kostenträger</v>
      </c>
      <c r="C28" s="202" t="str">
        <f t="shared" ref="C28:H28" si="5">C13</f>
        <v>KLV-A Abklärung
 (500)</v>
      </c>
      <c r="D28" s="202" t="str">
        <f t="shared" si="5"/>
        <v>KLV-B Unter-suchung
(501)</v>
      </c>
      <c r="E28" s="202" t="str">
        <f t="shared" si="5"/>
        <v>KLV-C Grund-pflege 
(502, ohne Angehörige)</v>
      </c>
      <c r="F28" s="202" t="str">
        <f t="shared" si="5"/>
        <v>KLV-C Angehörigen-pflege (502 Grundpflege)</v>
      </c>
      <c r="G28" s="202" t="str">
        <f t="shared" si="5"/>
        <v>Hauswirtschaft und Betreuung (560)</v>
      </c>
      <c r="H28" s="202" t="str">
        <f t="shared" si="5"/>
        <v>Übrige DL (andere Fachbereiche, 600 ff.)</v>
      </c>
    </row>
    <row r="29" spans="1:9" ht="20.100000000000001" customHeight="1" x14ac:dyDescent="0.25">
      <c r="A29" s="221" t="s">
        <v>81</v>
      </c>
      <c r="B29" s="393">
        <f>SUM(B30:B32)</f>
        <v>0</v>
      </c>
      <c r="C29" s="222">
        <f>SUM(C30:C32)</f>
        <v>0</v>
      </c>
      <c r="D29" s="222">
        <f t="shared" ref="D29:F29" si="6">SUM(D30:D32)</f>
        <v>0</v>
      </c>
      <c r="E29" s="222">
        <f t="shared" si="6"/>
        <v>0</v>
      </c>
      <c r="F29" s="222">
        <f t="shared" si="6"/>
        <v>0</v>
      </c>
      <c r="G29" s="222">
        <f>SUM(G30:G32)</f>
        <v>0</v>
      </c>
      <c r="H29" s="222">
        <f>SUM(H30:H32)</f>
        <v>0</v>
      </c>
      <c r="I29" s="289" t="str">
        <f t="shared" ref="I29:I45" si="7">IF(B29-SUM(C29:H29)=0,"",B29-SUM(C29:H29))</f>
        <v/>
      </c>
    </row>
    <row r="30" spans="1:9" ht="20.100000000000001" customHeight="1" x14ac:dyDescent="0.25">
      <c r="A30" s="223" t="str">
        <f>Basis!A14</f>
        <v>Löhne</v>
      </c>
      <c r="B30" s="207">
        <f>Basis!B14+Basis!C18+Basis!B18</f>
        <v>0</v>
      </c>
      <c r="C30" s="212">
        <f>B_Schlüssel!E52</f>
        <v>0</v>
      </c>
      <c r="D30" s="212">
        <f>B_Schlüssel!F52</f>
        <v>0</v>
      </c>
      <c r="E30" s="212">
        <f>B_Schlüssel!G52</f>
        <v>0</v>
      </c>
      <c r="F30" s="212">
        <f>B_Schlüssel!H52</f>
        <v>0</v>
      </c>
      <c r="G30" s="212">
        <f>B_Schlüssel!I52</f>
        <v>0</v>
      </c>
      <c r="H30" s="212">
        <f>B_Schlüssel!J52</f>
        <v>0</v>
      </c>
      <c r="I30" s="289" t="str">
        <f t="shared" si="7"/>
        <v/>
      </c>
    </row>
    <row r="31" spans="1:9" ht="20.100000000000001" customHeight="1" x14ac:dyDescent="0.25">
      <c r="A31" s="223" t="str">
        <f>Basis!A15</f>
        <v>Sozialleistungen</v>
      </c>
      <c r="B31" s="207">
        <f>Basis!B15+Basis!B19+Basis!C19</f>
        <v>0</v>
      </c>
      <c r="C31" s="212">
        <f>ROUND(C_Betriebsrechnung!$J$16*B_Schlüssel!E54,0)</f>
        <v>0</v>
      </c>
      <c r="D31" s="212">
        <f>ROUND(C_Betriebsrechnung!$J$16*B_Schlüssel!F54,0)</f>
        <v>0</v>
      </c>
      <c r="E31" s="212">
        <f>ROUND(C_Betriebsrechnung!$J$16*B_Schlüssel!G54,0)</f>
        <v>0</v>
      </c>
      <c r="F31" s="212">
        <f>ROUND(C_Betriebsrechnung!$J$16*B_Schlüssel!H54,0)</f>
        <v>0</v>
      </c>
      <c r="G31" s="212">
        <f>ROUND(C_Betriebsrechnung!$J$16*B_Schlüssel!I54,0)</f>
        <v>0</v>
      </c>
      <c r="H31" s="207">
        <f>B31-SUM(C31:G31)</f>
        <v>0</v>
      </c>
      <c r="I31" s="289" t="str">
        <f t="shared" si="7"/>
        <v/>
      </c>
    </row>
    <row r="32" spans="1:9" ht="20.100000000000001" customHeight="1" x14ac:dyDescent="0.25">
      <c r="A32" s="223" t="str">
        <f>Basis!A16</f>
        <v>Sonstiger Personalaufwand</v>
      </c>
      <c r="B32" s="207">
        <f>Basis!B16</f>
        <v>0</v>
      </c>
      <c r="C32" s="212">
        <f>ROUND($B32*B_Schlüssel!E53,0)</f>
        <v>0</v>
      </c>
      <c r="D32" s="212">
        <f>ROUND($B32*B_Schlüssel!F53,0)</f>
        <v>0</v>
      </c>
      <c r="E32" s="212">
        <f>ROUND($B32*B_Schlüssel!G53,0)</f>
        <v>0</v>
      </c>
      <c r="F32" s="212">
        <f>ROUND($B32*B_Schlüssel!H53,0)</f>
        <v>0</v>
      </c>
      <c r="G32" s="212">
        <f>ROUND($B32*B_Schlüssel!I53,0)</f>
        <v>0</v>
      </c>
      <c r="H32" s="212">
        <f>B32-SUM(C32:G32)</f>
        <v>0</v>
      </c>
      <c r="I32" s="289" t="str">
        <f t="shared" si="7"/>
        <v/>
      </c>
    </row>
    <row r="33" spans="1:10" ht="9.9499999999999993" customHeight="1" x14ac:dyDescent="0.25">
      <c r="A33" s="223"/>
      <c r="B33" s="207"/>
      <c r="C33" s="207"/>
      <c r="D33" s="207"/>
      <c r="E33" s="207"/>
      <c r="F33" s="207"/>
      <c r="G33" s="207"/>
      <c r="H33" s="207"/>
      <c r="I33" s="289" t="str">
        <f t="shared" si="7"/>
        <v/>
      </c>
    </row>
    <row r="34" spans="1:10" x14ac:dyDescent="0.25">
      <c r="A34" s="224" t="s">
        <v>150</v>
      </c>
      <c r="B34" s="394">
        <f>Basis!B24+Basis!C25</f>
        <v>0</v>
      </c>
      <c r="C34" s="211">
        <f>ROUND(Basis!$B24*B_Schlüssel!E42,0)</f>
        <v>0</v>
      </c>
      <c r="D34" s="211">
        <f>ROUND(Basis!$B24*B_Schlüssel!F42,0)</f>
        <v>0</v>
      </c>
      <c r="E34" s="211">
        <f>ROUND(Basis!$B24*B_Schlüssel!G42,0)</f>
        <v>0</v>
      </c>
      <c r="F34" s="211">
        <f>ROUND(Basis!$B24*B_Schlüssel!H42,0)</f>
        <v>0</v>
      </c>
      <c r="G34" s="211">
        <f>ROUND(Basis!$B24*B_Schlüssel!I42,0)</f>
        <v>0</v>
      </c>
      <c r="H34" s="211">
        <f>B34-SUM(C34:G34)</f>
        <v>0</v>
      </c>
      <c r="I34" s="289" t="str">
        <f t="shared" si="7"/>
        <v/>
      </c>
    </row>
    <row r="35" spans="1:10" ht="9.9499999999999993" customHeight="1" x14ac:dyDescent="0.25">
      <c r="A35" s="223"/>
      <c r="B35" s="207"/>
      <c r="C35" s="207"/>
      <c r="D35" s="207"/>
      <c r="E35" s="207"/>
      <c r="F35" s="207"/>
      <c r="G35" s="207"/>
      <c r="H35" s="207"/>
      <c r="I35" s="289" t="str">
        <f t="shared" si="7"/>
        <v/>
      </c>
    </row>
    <row r="36" spans="1:10" s="226" customFormat="1" x14ac:dyDescent="0.25">
      <c r="A36" s="224" t="s">
        <v>127</v>
      </c>
      <c r="B36" s="394">
        <f>Basis!B26+Basis!C26</f>
        <v>0</v>
      </c>
      <c r="C36" s="211">
        <f>ROUND(Basis!$B26*B_Schlüssel!E42,0)</f>
        <v>0</v>
      </c>
      <c r="D36" s="211">
        <f>ROUND(Basis!$B26*B_Schlüssel!F42,0)</f>
        <v>0</v>
      </c>
      <c r="E36" s="211">
        <f>ROUND(Basis!$B26*B_Schlüssel!G42,0)</f>
        <v>0</v>
      </c>
      <c r="F36" s="211">
        <f>ROUND(Basis!$B26*B_Schlüssel!H42,0)</f>
        <v>0</v>
      </c>
      <c r="G36" s="211">
        <f>ROUND(Basis!$B26*B_Schlüssel!I42,0)</f>
        <v>0</v>
      </c>
      <c r="H36" s="211">
        <f>B36-SUM(C36:G36)</f>
        <v>0</v>
      </c>
      <c r="I36" s="289" t="str">
        <f t="shared" si="7"/>
        <v/>
      </c>
      <c r="J36" s="225"/>
    </row>
    <row r="37" spans="1:10" s="226" customFormat="1" hidden="1" x14ac:dyDescent="0.25">
      <c r="A37" s="227" t="s">
        <v>228</v>
      </c>
      <c r="B37" s="228">
        <f>+B29+B34+B36</f>
        <v>0</v>
      </c>
      <c r="C37" s="228">
        <f t="shared" ref="C37:H37" si="8">+C29+C34+C36</f>
        <v>0</v>
      </c>
      <c r="D37" s="228">
        <f t="shared" si="8"/>
        <v>0</v>
      </c>
      <c r="E37" s="228">
        <f t="shared" si="8"/>
        <v>0</v>
      </c>
      <c r="F37" s="228">
        <f t="shared" si="8"/>
        <v>0</v>
      </c>
      <c r="G37" s="228">
        <f t="shared" si="8"/>
        <v>0</v>
      </c>
      <c r="H37" s="228">
        <f t="shared" si="8"/>
        <v>0</v>
      </c>
      <c r="I37" s="289" t="str">
        <f t="shared" si="7"/>
        <v/>
      </c>
      <c r="J37" s="225"/>
    </row>
    <row r="38" spans="1:10" s="226" customFormat="1" hidden="1" x14ac:dyDescent="0.25">
      <c r="A38" s="227"/>
      <c r="B38" s="229">
        <f>IFERROR(B37/$B37,0)</f>
        <v>0</v>
      </c>
      <c r="C38" s="229">
        <f t="shared" ref="C38:H38" si="9">IFERROR(C37/$B37,0)</f>
        <v>0</v>
      </c>
      <c r="D38" s="229">
        <f t="shared" si="9"/>
        <v>0</v>
      </c>
      <c r="E38" s="229">
        <f t="shared" si="9"/>
        <v>0</v>
      </c>
      <c r="F38" s="229">
        <f t="shared" si="9"/>
        <v>0</v>
      </c>
      <c r="G38" s="229">
        <f t="shared" si="9"/>
        <v>0</v>
      </c>
      <c r="H38" s="229">
        <f t="shared" si="9"/>
        <v>0</v>
      </c>
      <c r="I38" s="289">
        <f>IF(B38-SUM(C38:H38)=1,"",B38-SUM(C38:H38))</f>
        <v>0</v>
      </c>
      <c r="J38" s="225"/>
    </row>
    <row r="39" spans="1:10" s="226" customFormat="1" ht="9.9499999999999993" customHeight="1" x14ac:dyDescent="0.25">
      <c r="A39" s="227"/>
      <c r="B39" s="228"/>
      <c r="C39" s="228"/>
      <c r="D39" s="228"/>
      <c r="E39" s="228"/>
      <c r="F39" s="228"/>
      <c r="G39" s="228"/>
      <c r="H39" s="228"/>
      <c r="I39" s="289" t="str">
        <f t="shared" si="7"/>
        <v/>
      </c>
      <c r="J39" s="225"/>
    </row>
    <row r="40" spans="1:10" x14ac:dyDescent="0.25">
      <c r="A40" s="224" t="s">
        <v>303</v>
      </c>
      <c r="B40" s="394">
        <f>Basis!B20</f>
        <v>0</v>
      </c>
      <c r="C40" s="211">
        <f>ROUND($B40*C38,0)</f>
        <v>0</v>
      </c>
      <c r="D40" s="211">
        <f t="shared" ref="D40:G40" si="10">ROUND($B40*D38,0)</f>
        <v>0</v>
      </c>
      <c r="E40" s="211">
        <f t="shared" si="10"/>
        <v>0</v>
      </c>
      <c r="F40" s="211">
        <f t="shared" si="10"/>
        <v>0</v>
      </c>
      <c r="G40" s="211">
        <f t="shared" si="10"/>
        <v>0</v>
      </c>
      <c r="H40" s="211">
        <f>B40-SUM(C40:G40)</f>
        <v>0</v>
      </c>
      <c r="I40" s="289" t="str">
        <f t="shared" si="7"/>
        <v/>
      </c>
    </row>
    <row r="41" spans="1:10" s="226" customFormat="1" ht="9.9499999999999993" customHeight="1" x14ac:dyDescent="0.25">
      <c r="A41" s="227"/>
      <c r="B41" s="228"/>
      <c r="C41" s="228"/>
      <c r="D41" s="228"/>
      <c r="E41" s="228"/>
      <c r="F41" s="228"/>
      <c r="G41" s="228"/>
      <c r="H41" s="228"/>
      <c r="I41" s="289" t="str">
        <f t="shared" si="7"/>
        <v/>
      </c>
      <c r="J41" s="225"/>
    </row>
    <row r="42" spans="1:10" ht="24.75" customHeight="1" x14ac:dyDescent="0.25">
      <c r="A42" s="283" t="s">
        <v>272</v>
      </c>
      <c r="B42" s="216">
        <f t="shared" ref="B42:H42" si="11">SUM(B29+B40+B34+B36)</f>
        <v>0</v>
      </c>
      <c r="C42" s="216">
        <f t="shared" si="11"/>
        <v>0</v>
      </c>
      <c r="D42" s="216">
        <f t="shared" si="11"/>
        <v>0</v>
      </c>
      <c r="E42" s="216">
        <f t="shared" si="11"/>
        <v>0</v>
      </c>
      <c r="F42" s="216">
        <f t="shared" si="11"/>
        <v>0</v>
      </c>
      <c r="G42" s="216">
        <f t="shared" si="11"/>
        <v>0</v>
      </c>
      <c r="H42" s="216">
        <f t="shared" si="11"/>
        <v>0</v>
      </c>
      <c r="I42" s="289" t="str">
        <f t="shared" si="7"/>
        <v/>
      </c>
    </row>
    <row r="43" spans="1:10" ht="9.9499999999999993" customHeight="1" x14ac:dyDescent="0.25">
      <c r="A43" s="284"/>
      <c r="B43" s="285"/>
      <c r="C43" s="285"/>
      <c r="D43" s="285"/>
      <c r="E43" s="285"/>
      <c r="F43" s="285"/>
      <c r="G43" s="285"/>
      <c r="H43" s="285"/>
      <c r="I43" s="289" t="str">
        <f t="shared" si="7"/>
        <v/>
      </c>
    </row>
    <row r="44" spans="1:10" ht="22.5" customHeight="1" x14ac:dyDescent="0.25">
      <c r="A44" s="283" t="s">
        <v>191</v>
      </c>
      <c r="B44" s="216">
        <f>B26-B42</f>
        <v>0</v>
      </c>
      <c r="C44" s="216">
        <f>C26-C42</f>
        <v>0</v>
      </c>
      <c r="D44" s="216">
        <f t="shared" ref="D44:H44" si="12">D26-D42</f>
        <v>0</v>
      </c>
      <c r="E44" s="216">
        <f t="shared" si="12"/>
        <v>0</v>
      </c>
      <c r="F44" s="216">
        <f t="shared" si="12"/>
        <v>0</v>
      </c>
      <c r="G44" s="216">
        <f t="shared" si="12"/>
        <v>0</v>
      </c>
      <c r="H44" s="216">
        <f t="shared" si="12"/>
        <v>0</v>
      </c>
      <c r="I44" s="453" t="str">
        <f>IF(B44-SUM(C44:H44)&lt;&gt;1,"",B44-SUM(C44:H44))</f>
        <v/>
      </c>
    </row>
    <row r="45" spans="1:10" ht="9.9499999999999993" customHeight="1" x14ac:dyDescent="0.25">
      <c r="A45" s="230"/>
      <c r="B45" s="231"/>
      <c r="C45" s="231"/>
      <c r="D45" s="231"/>
      <c r="E45" s="231"/>
      <c r="F45" s="231"/>
      <c r="G45" s="231"/>
      <c r="H45" s="231"/>
      <c r="I45" s="289" t="str">
        <f t="shared" si="7"/>
        <v/>
      </c>
    </row>
    <row r="46" spans="1:10" ht="20.25" customHeight="1" x14ac:dyDescent="0.25">
      <c r="A46" s="283" t="s">
        <v>145</v>
      </c>
      <c r="B46" s="286">
        <f>IFERROR(ROUND(B26/B42,4),0)</f>
        <v>0</v>
      </c>
      <c r="C46" s="286">
        <f t="shared" ref="C46:H46" si="13">IFERROR(ROUND(C26/C42,4),0)</f>
        <v>0</v>
      </c>
      <c r="D46" s="286">
        <f t="shared" si="13"/>
        <v>0</v>
      </c>
      <c r="E46" s="286">
        <f t="shared" si="13"/>
        <v>0</v>
      </c>
      <c r="F46" s="286">
        <f t="shared" si="13"/>
        <v>0</v>
      </c>
      <c r="G46" s="286">
        <f t="shared" si="13"/>
        <v>0</v>
      </c>
      <c r="H46" s="286">
        <f t="shared" si="13"/>
        <v>0</v>
      </c>
      <c r="I46" s="289"/>
    </row>
    <row r="47" spans="1:10" s="5" customFormat="1" ht="9.9499999999999993" customHeight="1" x14ac:dyDescent="0.25">
      <c r="A47" s="2"/>
      <c r="B47" s="232"/>
      <c r="C47" s="232"/>
      <c r="D47" s="232"/>
      <c r="E47" s="232"/>
      <c r="F47" s="232"/>
      <c r="G47" s="232"/>
      <c r="H47" s="233"/>
      <c r="I47" s="234"/>
      <c r="J47" s="234"/>
    </row>
    <row r="48" spans="1:10" ht="9.9499999999999993" customHeight="1" thickBot="1" x14ac:dyDescent="0.3">
      <c r="B48" s="235"/>
      <c r="C48" s="235"/>
      <c r="D48" s="235"/>
      <c r="E48" s="235"/>
      <c r="F48" s="235"/>
      <c r="G48" s="235"/>
      <c r="H48" s="260"/>
    </row>
    <row r="49" spans="1:11" s="23" customFormat="1" ht="51" x14ac:dyDescent="0.25">
      <c r="A49" s="287" t="s">
        <v>237</v>
      </c>
      <c r="B49" s="267" t="s">
        <v>157</v>
      </c>
      <c r="C49" s="268" t="s">
        <v>253</v>
      </c>
      <c r="D49" s="268" t="str">
        <f>C28</f>
        <v>KLV-A Abklärung
 (500)</v>
      </c>
      <c r="E49" s="268" t="str">
        <f>D28</f>
        <v>KLV-B Unter-suchung
(501)</v>
      </c>
      <c r="F49" s="268" t="str">
        <f>E28</f>
        <v>KLV-C Grund-pflege 
(502, ohne Angehörige)</v>
      </c>
      <c r="G49" s="268" t="str">
        <f>F28</f>
        <v>KLV-C Angehörigen-pflege (502 Grundpflege)</v>
      </c>
      <c r="H49" s="268" t="s">
        <v>131</v>
      </c>
      <c r="I49" s="15"/>
      <c r="J49" s="15"/>
      <c r="K49" s="15"/>
    </row>
    <row r="50" spans="1:11" ht="20.100000000000001" customHeight="1" x14ac:dyDescent="0.25">
      <c r="A50" s="236" t="s">
        <v>194</v>
      </c>
      <c r="B50" s="237">
        <f>SUM(D50:H50)</f>
        <v>0</v>
      </c>
      <c r="C50" s="237">
        <f>SUM(D50:G50)</f>
        <v>0</v>
      </c>
      <c r="D50" s="237">
        <f>+B_Schlüssel!E41</f>
        <v>0</v>
      </c>
      <c r="E50" s="237">
        <f>+B_Schlüssel!F41</f>
        <v>0</v>
      </c>
      <c r="F50" s="237">
        <f>+B_Schlüssel!G41</f>
        <v>0</v>
      </c>
      <c r="G50" s="237">
        <f>+B_Schlüssel!H41</f>
        <v>0</v>
      </c>
      <c r="H50" s="238">
        <f>+B_Schlüssel!I41</f>
        <v>0</v>
      </c>
      <c r="K50" s="6"/>
    </row>
    <row r="51" spans="1:11" ht="20.100000000000001" customHeight="1" x14ac:dyDescent="0.25">
      <c r="A51" s="239" t="s">
        <v>192</v>
      </c>
      <c r="B51" s="240">
        <f>IFERROR(ROUND(B42/B50,2),0)</f>
        <v>0</v>
      </c>
      <c r="C51" s="240">
        <f>IFERROR(SUM(C42:F42)/C50,0)</f>
        <v>0</v>
      </c>
      <c r="D51" s="240">
        <f>IFERROR(ROUND(C42/D50,2),0)</f>
        <v>0</v>
      </c>
      <c r="E51" s="240">
        <f>IFERROR(ROUND(D42/E50,2),0)</f>
        <v>0</v>
      </c>
      <c r="F51" s="240">
        <f>IFERROR(ROUND(E42/F50,2),0)</f>
        <v>0</v>
      </c>
      <c r="G51" s="240">
        <f>IFERROR(ROUND(F42/G50,2),0)</f>
        <v>0</v>
      </c>
      <c r="H51" s="241">
        <f>IFERROR(ROUND(G42/H50,2),0)</f>
        <v>0</v>
      </c>
      <c r="K51" s="6"/>
    </row>
    <row r="52" spans="1:11" ht="20.100000000000001" customHeight="1" x14ac:dyDescent="0.25">
      <c r="A52" s="236" t="s">
        <v>193</v>
      </c>
      <c r="B52" s="242">
        <f>IFERROR(ROUND(B26/B50,2),0)</f>
        <v>0</v>
      </c>
      <c r="C52" s="242">
        <f>IFERROR(SUM(C26:F26)/C50,0)</f>
        <v>0</v>
      </c>
      <c r="D52" s="242">
        <f>IFERROR(ROUND(C26/D50,2),0)</f>
        <v>0</v>
      </c>
      <c r="E52" s="242">
        <f>IFERROR(ROUND(D26/E50,2),0)</f>
        <v>0</v>
      </c>
      <c r="F52" s="242">
        <f>IFERROR(ROUND(E26/F50,2),0)</f>
        <v>0</v>
      </c>
      <c r="G52" s="242">
        <f>IFERROR(ROUND(F26/G50,2),0)</f>
        <v>0</v>
      </c>
      <c r="H52" s="243">
        <f>IFERROR(ROUND(G26/H50,2),0)</f>
        <v>0</v>
      </c>
      <c r="K52" s="6"/>
    </row>
    <row r="53" spans="1:11" ht="20.100000000000001" customHeight="1" x14ac:dyDescent="0.25">
      <c r="A53" s="239" t="s">
        <v>252</v>
      </c>
      <c r="B53" s="240">
        <f>B52-B51</f>
        <v>0</v>
      </c>
      <c r="C53" s="240">
        <f t="shared" ref="C53:H53" si="14">C52-C51</f>
        <v>0</v>
      </c>
      <c r="D53" s="240">
        <f t="shared" si="14"/>
        <v>0</v>
      </c>
      <c r="E53" s="240">
        <f t="shared" si="14"/>
        <v>0</v>
      </c>
      <c r="F53" s="240">
        <f t="shared" si="14"/>
        <v>0</v>
      </c>
      <c r="G53" s="240">
        <f t="shared" si="14"/>
        <v>0</v>
      </c>
      <c r="H53" s="240">
        <f t="shared" si="14"/>
        <v>0</v>
      </c>
      <c r="K53" s="6"/>
    </row>
    <row r="54" spans="1:11" ht="9.9499999999999993" customHeight="1" thickBot="1" x14ac:dyDescent="0.3">
      <c r="A54" s="244"/>
      <c r="B54" s="245"/>
      <c r="C54" s="245"/>
      <c r="D54" s="245"/>
      <c r="E54" s="245"/>
      <c r="F54" s="245"/>
      <c r="G54" s="245"/>
      <c r="H54" s="246"/>
      <c r="K54" s="6"/>
    </row>
    <row r="55" spans="1:11" x14ac:dyDescent="0.25">
      <c r="A55" s="2"/>
    </row>
    <row r="56" spans="1:11" x14ac:dyDescent="0.25">
      <c r="A56" s="172" t="s">
        <v>294</v>
      </c>
      <c r="B56" s="35"/>
    </row>
    <row r="57" spans="1:11" x14ac:dyDescent="0.25">
      <c r="A57" s="481"/>
      <c r="B57" s="481"/>
      <c r="C57" s="481"/>
      <c r="D57" s="481"/>
      <c r="E57" s="481"/>
      <c r="F57" s="481"/>
      <c r="G57" s="481"/>
      <c r="H57" s="481"/>
    </row>
    <row r="58" spans="1:11" x14ac:dyDescent="0.25">
      <c r="A58" s="481"/>
      <c r="B58" s="481"/>
      <c r="C58" s="481"/>
      <c r="D58" s="481"/>
      <c r="E58" s="481"/>
      <c r="F58" s="481"/>
      <c r="G58" s="481"/>
      <c r="H58" s="481"/>
    </row>
    <row r="59" spans="1:11" x14ac:dyDescent="0.25">
      <c r="A59" s="247" t="s">
        <v>235</v>
      </c>
      <c r="B59" s="248">
        <f>Basis!B28+Basis!C28</f>
        <v>0</v>
      </c>
      <c r="C59" s="50"/>
      <c r="D59" s="248">
        <f>Basis!B41+Basis!C41</f>
        <v>0</v>
      </c>
      <c r="E59" s="50"/>
      <c r="F59" s="249">
        <f>Basis!B43++Basis!C43</f>
        <v>0</v>
      </c>
      <c r="G59" s="50"/>
    </row>
    <row r="60" spans="1:11" x14ac:dyDescent="0.25">
      <c r="A60" s="247" t="s">
        <v>136</v>
      </c>
      <c r="B60" s="248">
        <f>B42</f>
        <v>0</v>
      </c>
      <c r="C60" s="50"/>
      <c r="D60" s="248">
        <f>B26</f>
        <v>0</v>
      </c>
      <c r="E60" s="50"/>
      <c r="F60" s="249">
        <f>+B44</f>
        <v>0</v>
      </c>
      <c r="G60" s="50"/>
    </row>
    <row r="61" spans="1:11" x14ac:dyDescent="0.25">
      <c r="A61" s="247"/>
      <c r="B61" s="50"/>
      <c r="C61" s="50"/>
      <c r="D61" s="50"/>
      <c r="E61" s="50"/>
      <c r="F61" s="50"/>
      <c r="G61" s="50"/>
    </row>
    <row r="62" spans="1:11" x14ac:dyDescent="0.25">
      <c r="A62" s="247"/>
      <c r="B62" s="50"/>
      <c r="C62" s="50"/>
      <c r="D62" s="50"/>
      <c r="E62" s="50"/>
      <c r="F62" s="50"/>
      <c r="G62" s="50"/>
    </row>
    <row r="63" spans="1:11" x14ac:dyDescent="0.25">
      <c r="A63" s="250"/>
      <c r="B63" s="50"/>
      <c r="C63" s="50"/>
      <c r="D63" s="50"/>
      <c r="E63" s="50"/>
      <c r="F63" s="50"/>
      <c r="G63" s="50"/>
    </row>
    <row r="64" spans="1:11" x14ac:dyDescent="0.25">
      <c r="A64" s="247"/>
      <c r="B64" s="249"/>
      <c r="C64" s="50"/>
      <c r="D64" s="50"/>
      <c r="E64" s="50"/>
      <c r="F64" s="50"/>
      <c r="G64" s="50"/>
    </row>
    <row r="65" spans="1:7" x14ac:dyDescent="0.25">
      <c r="A65" s="247"/>
      <c r="B65" s="249"/>
      <c r="C65" s="50"/>
      <c r="D65" s="50"/>
      <c r="E65" s="50"/>
      <c r="F65" s="50"/>
      <c r="G65" s="50"/>
    </row>
    <row r="66" spans="1:7" x14ac:dyDescent="0.25">
      <c r="A66" s="2"/>
      <c r="B66" s="251"/>
    </row>
    <row r="67" spans="1:7" x14ac:dyDescent="0.25">
      <c r="A67" s="2"/>
      <c r="B67" s="252"/>
    </row>
  </sheetData>
  <sheetProtection password="FA05" sheet="1" selectLockedCells="1"/>
  <mergeCells count="3">
    <mergeCell ref="A10:H11"/>
    <mergeCell ref="A57:H58"/>
    <mergeCell ref="G7:H7"/>
  </mergeCells>
  <printOptions horizontalCentered="1"/>
  <pageMargins left="0.70866141732283472" right="0.70866141732283472" top="0.78740157480314965" bottom="0.78740157480314965" header="0.31496062992125984" footer="0.31496062992125984"/>
  <pageSetup paperSize="9" scale="68" orientation="portrait" r:id="rId1"/>
  <headerFooter>
    <oddFooter>&amp;L&amp;D&amp;R&amp;F/&amp;A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7">
    <pageSetUpPr fitToPage="1"/>
  </sheetPr>
  <dimension ref="A1:G75"/>
  <sheetViews>
    <sheetView showGridLines="0" view="pageLayout" zoomScaleNormal="100" zoomScaleSheetLayoutView="115" workbookViewId="0">
      <selection activeCell="C14" sqref="C14"/>
    </sheetView>
  </sheetViews>
  <sheetFormatPr baseColWidth="10" defaultRowHeight="15" x14ac:dyDescent="0.25"/>
  <cols>
    <col min="1" max="1" width="45.42578125" customWidth="1"/>
    <col min="2" max="5" width="19.85546875" customWidth="1"/>
    <col min="6" max="6" width="20.28515625" customWidth="1"/>
  </cols>
  <sheetData>
    <row r="1" spans="1:7" ht="18.75" x14ac:dyDescent="0.3">
      <c r="A1" t="s">
        <v>0</v>
      </c>
      <c r="F1" s="199" t="str">
        <f>Version</f>
        <v>Version 2025/2</v>
      </c>
    </row>
    <row r="3" spans="1:7" ht="15.75" x14ac:dyDescent="0.25">
      <c r="A3" s="26" t="s">
        <v>78</v>
      </c>
      <c r="D3" s="508" t="s">
        <v>299</v>
      </c>
      <c r="E3" s="508"/>
      <c r="F3" s="508"/>
    </row>
    <row r="4" spans="1:7" ht="15.75" x14ac:dyDescent="0.25">
      <c r="A4" s="26"/>
      <c r="D4" s="508"/>
      <c r="E4" s="508"/>
      <c r="F4" s="508"/>
    </row>
    <row r="5" spans="1:7" ht="31.5" customHeight="1" x14ac:dyDescent="0.5">
      <c r="A5" s="54" t="s">
        <v>178</v>
      </c>
      <c r="C5" s="153"/>
      <c r="D5" s="508"/>
      <c r="E5" s="508"/>
      <c r="F5" s="508"/>
    </row>
    <row r="6" spans="1:7" ht="20.100000000000001" customHeight="1" x14ac:dyDescent="0.5">
      <c r="A6" s="54"/>
      <c r="C6" s="153"/>
      <c r="D6" s="508"/>
      <c r="E6" s="508"/>
      <c r="F6" s="508"/>
    </row>
    <row r="7" spans="1:7" ht="18.75" x14ac:dyDescent="0.3">
      <c r="A7" s="342" t="s">
        <v>10</v>
      </c>
      <c r="B7" s="342"/>
      <c r="C7" s="351" t="str">
        <f>'A_ Personal'!C8</f>
        <v xml:space="preserve"> </v>
      </c>
      <c r="D7" s="482" t="str">
        <f>"ZSR "&amp;ZSR</f>
        <v xml:space="preserve">ZSR </v>
      </c>
      <c r="E7" s="482"/>
    </row>
    <row r="8" spans="1:7" ht="18.75" x14ac:dyDescent="0.3">
      <c r="A8" s="342" t="s">
        <v>11</v>
      </c>
      <c r="B8" s="342"/>
      <c r="C8" s="352">
        <f>akjahr</f>
        <v>2025</v>
      </c>
    </row>
    <row r="10" spans="1:7" s="156" customFormat="1" ht="26.25" customHeight="1" x14ac:dyDescent="0.35">
      <c r="B10" s="3"/>
      <c r="G10" s="157"/>
    </row>
    <row r="11" spans="1:7" s="1" customFormat="1" ht="18.75" x14ac:dyDescent="0.3">
      <c r="A11" s="67" t="s">
        <v>12</v>
      </c>
      <c r="B11" s="68"/>
      <c r="G11" s="159"/>
    </row>
    <row r="13" spans="1:7" ht="39" customHeight="1" x14ac:dyDescent="0.25">
      <c r="A13" s="253"/>
      <c r="B13" s="253" t="s">
        <v>2</v>
      </c>
      <c r="C13" s="253" t="s">
        <v>249</v>
      </c>
      <c r="D13" s="253" t="s">
        <v>245</v>
      </c>
      <c r="E13" s="253" t="s">
        <v>283</v>
      </c>
      <c r="F13" s="254" t="s">
        <v>284</v>
      </c>
    </row>
    <row r="14" spans="1:7" ht="20.100000000000001" customHeight="1" x14ac:dyDescent="0.25">
      <c r="A14" s="82" t="s">
        <v>3</v>
      </c>
      <c r="B14" s="255">
        <f t="shared" ref="B14:B20" si="0">SUM(C14:F14)</f>
        <v>0</v>
      </c>
      <c r="C14" s="20"/>
      <c r="D14" s="20"/>
      <c r="E14" s="20"/>
      <c r="F14" s="20"/>
    </row>
    <row r="15" spans="1:7" ht="20.100000000000001" customHeight="1" x14ac:dyDescent="0.25">
      <c r="A15" s="82" t="s">
        <v>4</v>
      </c>
      <c r="B15" s="255">
        <f t="shared" si="0"/>
        <v>0</v>
      </c>
      <c r="C15" s="255">
        <f t="shared" ref="C15:F15" si="1">SUM(C16:C18)</f>
        <v>0</v>
      </c>
      <c r="D15" s="255">
        <f t="shared" si="1"/>
        <v>0</v>
      </c>
      <c r="E15" s="255">
        <f t="shared" si="1"/>
        <v>0</v>
      </c>
      <c r="F15" s="255">
        <f t="shared" si="1"/>
        <v>0</v>
      </c>
    </row>
    <row r="16" spans="1:7" ht="20.100000000000001" customHeight="1" x14ac:dyDescent="0.25">
      <c r="A16" s="257" t="s">
        <v>80</v>
      </c>
      <c r="B16" s="255">
        <f t="shared" si="0"/>
        <v>0</v>
      </c>
      <c r="C16" s="20"/>
      <c r="D16" s="20"/>
      <c r="E16" s="20"/>
      <c r="F16" s="20"/>
    </row>
    <row r="17" spans="1:6" ht="20.100000000000001" customHeight="1" x14ac:dyDescent="0.25">
      <c r="A17" s="257" t="s">
        <v>5</v>
      </c>
      <c r="B17" s="255">
        <f t="shared" si="0"/>
        <v>0</v>
      </c>
      <c r="C17" s="20"/>
      <c r="D17" s="20"/>
      <c r="E17" s="20"/>
      <c r="F17" s="20"/>
    </row>
    <row r="18" spans="1:6" ht="20.100000000000001" customHeight="1" x14ac:dyDescent="0.25">
      <c r="A18" s="257" t="s">
        <v>6</v>
      </c>
      <c r="B18" s="255">
        <f t="shared" si="0"/>
        <v>0</v>
      </c>
      <c r="C18" s="20"/>
      <c r="D18" s="20"/>
      <c r="E18" s="20"/>
      <c r="F18" s="20"/>
    </row>
    <row r="19" spans="1:6" ht="20.100000000000001" customHeight="1" x14ac:dyDescent="0.25">
      <c r="A19" s="258" t="s">
        <v>180</v>
      </c>
      <c r="B19" s="255">
        <f t="shared" si="0"/>
        <v>0</v>
      </c>
      <c r="C19" s="255">
        <f>+C15-C14</f>
        <v>0</v>
      </c>
      <c r="D19" s="255">
        <f>+D15-D14</f>
        <v>0</v>
      </c>
      <c r="E19" s="255">
        <f>+E15-E14</f>
        <v>0</v>
      </c>
      <c r="F19" s="255">
        <f>+F15-F14</f>
        <v>0</v>
      </c>
    </row>
    <row r="20" spans="1:6" ht="20.100000000000001" customHeight="1" x14ac:dyDescent="0.25">
      <c r="A20" s="82" t="s">
        <v>128</v>
      </c>
      <c r="B20" s="259">
        <f t="shared" si="0"/>
        <v>0</v>
      </c>
      <c r="C20" s="21"/>
      <c r="D20" s="21"/>
      <c r="E20" s="21"/>
      <c r="F20" s="22"/>
    </row>
    <row r="21" spans="1:6" ht="20.100000000000001" customHeight="1" x14ac:dyDescent="0.25">
      <c r="A21" s="301" t="s">
        <v>248</v>
      </c>
      <c r="B21" s="344">
        <f>IFERROR(ROUND(B14/B20,2),0)</f>
        <v>0</v>
      </c>
      <c r="C21" s="344">
        <f>IFERROR(ROUND(C14/C20,2),0)</f>
        <v>0</v>
      </c>
      <c r="D21" s="344">
        <f>IFERROR(ROUND(D14/D20,2),0)</f>
        <v>0</v>
      </c>
      <c r="E21" s="344">
        <f>IFERROR(ROUND(E14/E20,2),0)</f>
        <v>0</v>
      </c>
      <c r="F21" s="344">
        <f>IFERROR(ROUND(F14/F20,2),0)</f>
        <v>0</v>
      </c>
    </row>
    <row r="22" spans="1:6" ht="20.100000000000001" customHeight="1" x14ac:dyDescent="0.25">
      <c r="A22" s="301" t="s">
        <v>254</v>
      </c>
      <c r="B22" s="344">
        <f>IFERROR(ROUND(B15/B20,2),0)</f>
        <v>0</v>
      </c>
      <c r="C22" s="344">
        <f t="shared" ref="C22:F22" si="2">IFERROR(ROUND(C15/C20,2),0)</f>
        <v>0</v>
      </c>
      <c r="D22" s="344">
        <f t="shared" si="2"/>
        <v>0</v>
      </c>
      <c r="E22" s="344">
        <f t="shared" si="2"/>
        <v>0</v>
      </c>
      <c r="F22" s="344">
        <f t="shared" si="2"/>
        <v>0</v>
      </c>
    </row>
    <row r="23" spans="1:6" ht="20.100000000000001" customHeight="1" x14ac:dyDescent="0.25">
      <c r="A23" s="300" t="s">
        <v>275</v>
      </c>
      <c r="B23" s="345">
        <f>B22-B21</f>
        <v>0</v>
      </c>
      <c r="C23" s="345">
        <f t="shared" ref="C23:F23" si="3">C22-C21</f>
        <v>0</v>
      </c>
      <c r="D23" s="345">
        <f t="shared" si="3"/>
        <v>0</v>
      </c>
      <c r="E23" s="345">
        <f t="shared" si="3"/>
        <v>0</v>
      </c>
      <c r="F23" s="345">
        <f t="shared" si="3"/>
        <v>0</v>
      </c>
    </row>
    <row r="24" spans="1:6" ht="20.100000000000001" customHeight="1" x14ac:dyDescent="0.25">
      <c r="A24" s="302" t="s">
        <v>276</v>
      </c>
      <c r="B24" s="346">
        <f>IFERROR(B23/B21,0)</f>
        <v>0</v>
      </c>
      <c r="C24" s="346">
        <f t="shared" ref="C24:F24" si="4">IFERROR(C23/C21,0)</f>
        <v>0</v>
      </c>
      <c r="D24" s="346">
        <f t="shared" si="4"/>
        <v>0</v>
      </c>
      <c r="E24" s="346">
        <f t="shared" si="4"/>
        <v>0</v>
      </c>
      <c r="F24" s="346">
        <f t="shared" si="4"/>
        <v>0</v>
      </c>
    </row>
    <row r="25" spans="1:6" ht="20.100000000000001" customHeight="1" x14ac:dyDescent="0.25">
      <c r="A25" s="294" t="s">
        <v>300</v>
      </c>
      <c r="B25" s="295"/>
      <c r="C25" s="296"/>
      <c r="D25" s="292"/>
      <c r="E25" s="292"/>
      <c r="F25" s="293"/>
    </row>
    <row r="26" spans="1:6" ht="21" customHeight="1" x14ac:dyDescent="0.25">
      <c r="A26" s="172"/>
      <c r="B26" s="347"/>
      <c r="C26" s="291"/>
      <c r="D26" s="292"/>
      <c r="E26" s="292"/>
      <c r="F26" s="293"/>
    </row>
    <row r="27" spans="1:6" ht="18.75" x14ac:dyDescent="0.25">
      <c r="A27" s="67" t="s">
        <v>190</v>
      </c>
    </row>
    <row r="29" spans="1:6" ht="39" customHeight="1" x14ac:dyDescent="0.25">
      <c r="A29" s="253"/>
      <c r="B29" s="253" t="s">
        <v>2</v>
      </c>
      <c r="C29" s="253" t="s">
        <v>249</v>
      </c>
      <c r="D29" s="253" t="s">
        <v>245</v>
      </c>
      <c r="E29" s="253" t="s">
        <v>283</v>
      </c>
      <c r="F29" s="254" t="s">
        <v>339</v>
      </c>
    </row>
    <row r="30" spans="1:6" ht="20.100000000000001" customHeight="1" x14ac:dyDescent="0.25">
      <c r="A30" s="82" t="s">
        <v>3</v>
      </c>
      <c r="B30" s="255">
        <f t="shared" ref="B30:B36" si="5">SUM(C30:F30)</f>
        <v>0</v>
      </c>
      <c r="C30" s="20"/>
      <c r="D30" s="20"/>
      <c r="E30" s="20"/>
      <c r="F30" s="20"/>
    </row>
    <row r="31" spans="1:6" ht="20.100000000000001" customHeight="1" x14ac:dyDescent="0.25">
      <c r="A31" s="82" t="s">
        <v>4</v>
      </c>
      <c r="B31" s="255">
        <f t="shared" si="5"/>
        <v>0</v>
      </c>
      <c r="C31" s="255">
        <f t="shared" ref="C31:F31" si="6">SUM(C32:C34)</f>
        <v>0</v>
      </c>
      <c r="D31" s="255">
        <f t="shared" si="6"/>
        <v>0</v>
      </c>
      <c r="E31" s="255">
        <f t="shared" si="6"/>
        <v>0</v>
      </c>
      <c r="F31" s="255">
        <f t="shared" si="6"/>
        <v>0</v>
      </c>
    </row>
    <row r="32" spans="1:6" ht="20.100000000000001" customHeight="1" x14ac:dyDescent="0.25">
      <c r="A32" s="257" t="s">
        <v>80</v>
      </c>
      <c r="B32" s="255">
        <f t="shared" si="5"/>
        <v>0</v>
      </c>
      <c r="C32" s="20"/>
      <c r="D32" s="20"/>
      <c r="E32" s="20"/>
      <c r="F32" s="20"/>
    </row>
    <row r="33" spans="1:6" ht="20.100000000000001" customHeight="1" x14ac:dyDescent="0.25">
      <c r="A33" s="257" t="s">
        <v>5</v>
      </c>
      <c r="B33" s="255">
        <f t="shared" si="5"/>
        <v>0</v>
      </c>
      <c r="C33" s="20"/>
      <c r="D33" s="20"/>
      <c r="E33" s="20"/>
      <c r="F33" s="20"/>
    </row>
    <row r="34" spans="1:6" ht="20.100000000000001" customHeight="1" x14ac:dyDescent="0.25">
      <c r="A34" s="257" t="s">
        <v>6</v>
      </c>
      <c r="B34" s="255">
        <f t="shared" si="5"/>
        <v>0</v>
      </c>
      <c r="C34" s="20"/>
      <c r="D34" s="20"/>
      <c r="E34" s="20"/>
      <c r="F34" s="20"/>
    </row>
    <row r="35" spans="1:6" ht="20.100000000000001" customHeight="1" x14ac:dyDescent="0.25">
      <c r="A35" s="258" t="s">
        <v>180</v>
      </c>
      <c r="B35" s="255">
        <f t="shared" si="5"/>
        <v>0</v>
      </c>
      <c r="C35" s="255">
        <f>+C31-C30</f>
        <v>0</v>
      </c>
      <c r="D35" s="255">
        <f>+D31-D30</f>
        <v>0</v>
      </c>
      <c r="E35" s="255">
        <f>+E31-E30</f>
        <v>0</v>
      </c>
      <c r="F35" s="255">
        <f>+F31-F30</f>
        <v>0</v>
      </c>
    </row>
    <row r="36" spans="1:6" ht="20.100000000000001" customHeight="1" x14ac:dyDescent="0.25">
      <c r="A36" s="82" t="s">
        <v>128</v>
      </c>
      <c r="B36" s="259">
        <f t="shared" si="5"/>
        <v>0</v>
      </c>
      <c r="C36" s="21"/>
      <c r="D36" s="21"/>
      <c r="E36" s="21"/>
      <c r="F36" s="22"/>
    </row>
    <row r="37" spans="1:6" ht="20.100000000000001" customHeight="1" x14ac:dyDescent="0.25">
      <c r="A37" s="301" t="s">
        <v>248</v>
      </c>
      <c r="B37" s="344">
        <f>IFERROR(ROUND(B30/B36,2),0)</f>
        <v>0</v>
      </c>
      <c r="C37" s="344">
        <f>IFERROR(ROUND(C30/C36,2),0)</f>
        <v>0</v>
      </c>
      <c r="D37" s="344">
        <f>IFERROR(ROUND(D30/D36,2),0)</f>
        <v>0</v>
      </c>
      <c r="E37" s="344">
        <f>IFERROR(ROUND(E30/E36,2),0)</f>
        <v>0</v>
      </c>
      <c r="F37" s="344">
        <f>IFERROR(ROUND(F30/F36,2),0)</f>
        <v>0</v>
      </c>
    </row>
    <row r="38" spans="1:6" ht="20.100000000000001" customHeight="1" x14ac:dyDescent="0.25">
      <c r="A38" s="301" t="s">
        <v>254</v>
      </c>
      <c r="B38" s="344">
        <f>IFERROR(ROUND(B31/B36,2),0)</f>
        <v>0</v>
      </c>
      <c r="C38" s="344">
        <f t="shared" ref="C38:F38" si="7">IFERROR(ROUND(C31/C36,2),0)</f>
        <v>0</v>
      </c>
      <c r="D38" s="344">
        <f t="shared" si="7"/>
        <v>0</v>
      </c>
      <c r="E38" s="344">
        <f t="shared" si="7"/>
        <v>0</v>
      </c>
      <c r="F38" s="344">
        <f t="shared" si="7"/>
        <v>0</v>
      </c>
    </row>
    <row r="39" spans="1:6" ht="20.100000000000001" customHeight="1" x14ac:dyDescent="0.25">
      <c r="A39" s="300" t="s">
        <v>275</v>
      </c>
      <c r="B39" s="345">
        <f>B38-B37</f>
        <v>0</v>
      </c>
      <c r="C39" s="345">
        <f t="shared" ref="C39" si="8">C38-C37</f>
        <v>0</v>
      </c>
      <c r="D39" s="345">
        <f t="shared" ref="D39" si="9">D38-D37</f>
        <v>0</v>
      </c>
      <c r="E39" s="345">
        <f t="shared" ref="E39" si="10">E38-E37</f>
        <v>0</v>
      </c>
      <c r="F39" s="345">
        <f t="shared" ref="F39" si="11">F38-F37</f>
        <v>0</v>
      </c>
    </row>
    <row r="40" spans="1:6" ht="20.100000000000001" customHeight="1" x14ac:dyDescent="0.25">
      <c r="A40" s="302" t="s">
        <v>276</v>
      </c>
      <c r="B40" s="346">
        <f>IFERROR(B39/B37,0)</f>
        <v>0</v>
      </c>
      <c r="C40" s="346">
        <f t="shared" ref="C40" si="12">IFERROR(C39/C37,0)</f>
        <v>0</v>
      </c>
      <c r="D40" s="346">
        <f t="shared" ref="D40" si="13">IFERROR(D39/D37,0)</f>
        <v>0</v>
      </c>
      <c r="E40" s="346">
        <f t="shared" ref="E40" si="14">IFERROR(E39/E37,0)</f>
        <v>0</v>
      </c>
      <c r="F40" s="346">
        <f t="shared" ref="F40" si="15">IFERROR(F39/F37,0)</f>
        <v>0</v>
      </c>
    </row>
    <row r="41" spans="1:6" ht="20.100000000000001" customHeight="1" x14ac:dyDescent="0.25">
      <c r="A41" s="298" t="s">
        <v>301</v>
      </c>
      <c r="B41" s="295"/>
      <c r="C41" s="296"/>
      <c r="D41" s="292"/>
      <c r="E41" s="292"/>
      <c r="F41" s="293"/>
    </row>
    <row r="42" spans="1:6" ht="20.100000000000001" customHeight="1" x14ac:dyDescent="0.25"/>
    <row r="43" spans="1:6" ht="24.95" customHeight="1" x14ac:dyDescent="0.25">
      <c r="A43" s="67" t="s">
        <v>274</v>
      </c>
    </row>
    <row r="44" spans="1:6" ht="11.25" customHeight="1" x14ac:dyDescent="0.25"/>
    <row r="45" spans="1:6" ht="32.25" customHeight="1" x14ac:dyDescent="0.25">
      <c r="A45" s="254"/>
      <c r="B45" s="254" t="s">
        <v>1</v>
      </c>
      <c r="C45" s="254" t="s">
        <v>131</v>
      </c>
      <c r="D45" s="254" t="s">
        <v>277</v>
      </c>
    </row>
    <row r="46" spans="1:6" ht="20.100000000000001" customHeight="1" x14ac:dyDescent="0.25">
      <c r="A46" s="82" t="s">
        <v>3</v>
      </c>
      <c r="B46" s="255">
        <f>SUM(C46:D46)</f>
        <v>0</v>
      </c>
      <c r="C46" s="20"/>
      <c r="D46" s="20"/>
    </row>
    <row r="47" spans="1:6" ht="20.100000000000001" customHeight="1" x14ac:dyDescent="0.25">
      <c r="A47" s="82" t="s">
        <v>4</v>
      </c>
      <c r="B47" s="255">
        <f t="shared" ref="B47:B51" si="16">SUM(C47:D47)</f>
        <v>0</v>
      </c>
      <c r="C47" s="256">
        <f>SUM(C48:C50)</f>
        <v>0</v>
      </c>
      <c r="D47" s="256">
        <f>SUM(D48:D50)</f>
        <v>0</v>
      </c>
    </row>
    <row r="48" spans="1:6" ht="20.100000000000001" customHeight="1" x14ac:dyDescent="0.25">
      <c r="A48" s="257" t="s">
        <v>80</v>
      </c>
      <c r="B48" s="255">
        <f t="shared" si="16"/>
        <v>0</v>
      </c>
      <c r="C48" s="20"/>
      <c r="D48" s="20"/>
    </row>
    <row r="49" spans="1:6" ht="20.100000000000001" customHeight="1" x14ac:dyDescent="0.25">
      <c r="A49" s="257" t="s">
        <v>5</v>
      </c>
      <c r="B49" s="255">
        <f t="shared" si="16"/>
        <v>0</v>
      </c>
      <c r="C49" s="20"/>
      <c r="D49" s="20"/>
    </row>
    <row r="50" spans="1:6" ht="20.100000000000001" customHeight="1" x14ac:dyDescent="0.25">
      <c r="A50" s="257" t="s">
        <v>6</v>
      </c>
      <c r="B50" s="255">
        <f t="shared" si="16"/>
        <v>0</v>
      </c>
      <c r="C50" s="20"/>
      <c r="D50" s="20"/>
    </row>
    <row r="51" spans="1:6" ht="20.100000000000001" customHeight="1" x14ac:dyDescent="0.25">
      <c r="A51" s="258" t="s">
        <v>180</v>
      </c>
      <c r="B51" s="255">
        <f t="shared" si="16"/>
        <v>0</v>
      </c>
      <c r="C51" s="256">
        <f>+C47-C46</f>
        <v>0</v>
      </c>
      <c r="D51" s="256">
        <f>+D47-D46</f>
        <v>0</v>
      </c>
    </row>
    <row r="52" spans="1:6" ht="20.100000000000001" customHeight="1" x14ac:dyDescent="0.25">
      <c r="A52" s="82" t="s">
        <v>128</v>
      </c>
      <c r="B52" s="259">
        <f>SUM(C52:D52)</f>
        <v>0</v>
      </c>
      <c r="C52" s="21"/>
      <c r="D52" s="21"/>
    </row>
    <row r="53" spans="1:6" ht="20.100000000000001" customHeight="1" x14ac:dyDescent="0.25">
      <c r="A53" s="299" t="s">
        <v>248</v>
      </c>
      <c r="B53" s="297"/>
      <c r="C53" s="297">
        <f>IFERROR(ROUND(C46/C52,2),0)</f>
        <v>0</v>
      </c>
      <c r="D53" s="297">
        <f>IFERROR(ROUND(D46/D52,2),0)</f>
        <v>0</v>
      </c>
    </row>
    <row r="54" spans="1:6" ht="20.100000000000001" customHeight="1" x14ac:dyDescent="0.25">
      <c r="A54" s="299" t="s">
        <v>254</v>
      </c>
      <c r="B54" s="297"/>
      <c r="C54" s="297">
        <f t="shared" ref="C54:D54" si="17">IFERROR(ROUND(C47/C52,2),0)</f>
        <v>0</v>
      </c>
      <c r="D54" s="297">
        <f t="shared" si="17"/>
        <v>0</v>
      </c>
    </row>
    <row r="55" spans="1:6" ht="20.100000000000001" customHeight="1" x14ac:dyDescent="0.25">
      <c r="A55" s="82" t="s">
        <v>302</v>
      </c>
      <c r="B55" s="149"/>
      <c r="C55" s="20"/>
      <c r="D55" s="292"/>
      <c r="E55" s="293"/>
      <c r="F55" s="347"/>
    </row>
    <row r="56" spans="1:6" ht="19.5" customHeight="1" x14ac:dyDescent="0.25">
      <c r="A56" s="172"/>
      <c r="B56" s="196"/>
      <c r="C56" s="197"/>
      <c r="D56" s="197"/>
      <c r="E56" s="292"/>
      <c r="F56" s="293"/>
    </row>
    <row r="57" spans="1:6" ht="18.75" x14ac:dyDescent="0.25">
      <c r="A57" s="67" t="s">
        <v>278</v>
      </c>
      <c r="B57" s="170"/>
    </row>
    <row r="58" spans="1:6" x14ac:dyDescent="0.25">
      <c r="B58" s="170"/>
    </row>
    <row r="59" spans="1:6" x14ac:dyDescent="0.25">
      <c r="A59" s="254"/>
      <c r="B59" s="254" t="s">
        <v>9</v>
      </c>
      <c r="D59" s="509" t="s">
        <v>293</v>
      </c>
      <c r="E59" s="509"/>
      <c r="F59" s="509"/>
    </row>
    <row r="60" spans="1:6" ht="20.100000000000001" customHeight="1" x14ac:dyDescent="0.25">
      <c r="A60" s="299" t="s">
        <v>3</v>
      </c>
      <c r="B60" s="297">
        <f>SUM(B14,B30,B46)</f>
        <v>0</v>
      </c>
      <c r="D60" s="509"/>
      <c r="E60" s="509"/>
      <c r="F60" s="509"/>
    </row>
    <row r="61" spans="1:6" ht="20.100000000000001" customHeight="1" x14ac:dyDescent="0.25">
      <c r="A61" s="299" t="s">
        <v>4</v>
      </c>
      <c r="B61" s="297">
        <f>SUM(B15,B31,B47)</f>
        <v>0</v>
      </c>
      <c r="D61" s="509"/>
      <c r="E61" s="509"/>
      <c r="F61" s="509"/>
    </row>
    <row r="62" spans="1:6" ht="20.100000000000001" customHeight="1" x14ac:dyDescent="0.25">
      <c r="A62" s="299" t="s">
        <v>7</v>
      </c>
      <c r="B62" s="297">
        <f>B61-B60</f>
        <v>0</v>
      </c>
    </row>
    <row r="63" spans="1:6" ht="20.100000000000001" customHeight="1" x14ac:dyDescent="0.25">
      <c r="A63" s="299" t="s">
        <v>280</v>
      </c>
      <c r="B63" s="303">
        <f>+B25+B41+C55</f>
        <v>0</v>
      </c>
    </row>
    <row r="64" spans="1:6" x14ac:dyDescent="0.25">
      <c r="A64" s="2"/>
    </row>
    <row r="65" spans="1:7" x14ac:dyDescent="0.25">
      <c r="A65" s="172" t="s">
        <v>294</v>
      </c>
      <c r="B65" s="35"/>
    </row>
    <row r="66" spans="1:7" x14ac:dyDescent="0.25">
      <c r="A66" s="481"/>
      <c r="B66" s="481"/>
      <c r="C66" s="481"/>
      <c r="D66" s="481"/>
      <c r="E66" s="481"/>
      <c r="F66" s="481"/>
    </row>
    <row r="67" spans="1:7" x14ac:dyDescent="0.25">
      <c r="A67" s="481"/>
      <c r="B67" s="481"/>
      <c r="C67" s="481"/>
      <c r="D67" s="481"/>
      <c r="E67" s="481"/>
      <c r="F67" s="481"/>
    </row>
    <row r="75" spans="1:7" x14ac:dyDescent="0.25">
      <c r="G75" s="2"/>
    </row>
  </sheetData>
  <sheetProtection password="FA05" sheet="1" selectLockedCells="1"/>
  <mergeCells count="4">
    <mergeCell ref="D3:F6"/>
    <mergeCell ref="D59:F61"/>
    <mergeCell ref="A66:F67"/>
    <mergeCell ref="D7:E7"/>
  </mergeCells>
  <printOptions horizontalCentered="1" verticalCentered="1"/>
  <pageMargins left="0.23622047244094491" right="0.23622047244094491" top="0.39370078740157483" bottom="0.74803149606299213" header="0.39370078740157483" footer="0.31496062992125984"/>
  <pageSetup paperSize="9" scale="58" orientation="portrait" r:id="rId1"/>
  <headerFooter>
    <oddFooter>&amp;L&amp;D&amp;R&amp;F/&amp;A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8">
    <pageSetUpPr fitToPage="1"/>
  </sheetPr>
  <dimension ref="A1:M46"/>
  <sheetViews>
    <sheetView showGridLines="0" view="pageBreakPreview" zoomScale="115" zoomScaleNormal="100" zoomScaleSheetLayoutView="115" workbookViewId="0">
      <pane xSplit="2" ySplit="11" topLeftCell="C12" activePane="bottomRight" state="frozen"/>
      <selection activeCell="I81" sqref="I81"/>
      <selection pane="topRight" activeCell="I81" sqref="I81"/>
      <selection pane="bottomLeft" activeCell="I81" sqref="I81"/>
      <selection pane="bottomRight" activeCell="C12" sqref="C12"/>
    </sheetView>
  </sheetViews>
  <sheetFormatPr baseColWidth="10" defaultRowHeight="15" x14ac:dyDescent="0.25"/>
  <cols>
    <col min="1" max="1" width="7.85546875" style="4" customWidth="1"/>
    <col min="2" max="2" width="24.85546875" customWidth="1"/>
    <col min="3" max="6" width="15.5703125" customWidth="1"/>
    <col min="8" max="8" width="4" customWidth="1"/>
  </cols>
  <sheetData>
    <row r="1" spans="1:13" x14ac:dyDescent="0.25">
      <c r="A1" s="2" t="s">
        <v>0</v>
      </c>
      <c r="B1" s="2"/>
      <c r="M1" s="34" t="str">
        <f>Version</f>
        <v>Version 2025/2</v>
      </c>
    </row>
    <row r="2" spans="1:13" x14ac:dyDescent="0.25">
      <c r="A2" s="2"/>
      <c r="B2" s="2"/>
    </row>
    <row r="3" spans="1:13" ht="23.25" x14ac:dyDescent="0.35">
      <c r="A3" s="328" t="str">
        <f>D2_eigene_KORE!$A$3</f>
        <v>Spitex-Kennzahlenset</v>
      </c>
      <c r="B3" s="52"/>
      <c r="M3" s="39"/>
    </row>
    <row r="4" spans="1:13" x14ac:dyDescent="0.25">
      <c r="A4" s="2"/>
      <c r="B4" s="2"/>
    </row>
    <row r="5" spans="1:13" ht="21" x14ac:dyDescent="0.35">
      <c r="A5" s="60" t="s">
        <v>338</v>
      </c>
      <c r="B5" s="2"/>
      <c r="H5" s="305"/>
      <c r="M5" s="34"/>
    </row>
    <row r="6" spans="1:13" ht="20.100000000000001" customHeight="1" x14ac:dyDescent="0.5">
      <c r="A6" s="329"/>
      <c r="B6" s="2"/>
      <c r="C6" s="153"/>
    </row>
    <row r="7" spans="1:13" s="5" customFormat="1" ht="18.75" x14ac:dyDescent="0.3">
      <c r="A7" s="341" t="s">
        <v>10</v>
      </c>
      <c r="B7" s="341"/>
      <c r="C7" s="351" t="str">
        <f>'A_ Personal'!C8</f>
        <v xml:space="preserve"> </v>
      </c>
      <c r="F7" s="482" t="str">
        <f>"ZSR "&amp;ZSR</f>
        <v xml:space="preserve">ZSR </v>
      </c>
      <c r="G7" s="482"/>
    </row>
    <row r="8" spans="1:13" s="5" customFormat="1" ht="18.75" x14ac:dyDescent="0.3">
      <c r="A8" s="341" t="s">
        <v>11</v>
      </c>
      <c r="B8" s="341"/>
      <c r="C8" s="352">
        <f>akjahr</f>
        <v>2025</v>
      </c>
    </row>
    <row r="9" spans="1:13" x14ac:dyDescent="0.25">
      <c r="A9"/>
    </row>
    <row r="10" spans="1:13" ht="51.95" customHeight="1" x14ac:dyDescent="0.25">
      <c r="A10" s="261"/>
      <c r="B10" s="262"/>
      <c r="C10" s="510" t="s">
        <v>279</v>
      </c>
      <c r="D10" s="511"/>
      <c r="E10" s="511"/>
      <c r="F10" s="511"/>
      <c r="G10" s="512"/>
      <c r="I10" s="513" t="s">
        <v>305</v>
      </c>
      <c r="J10" s="513"/>
      <c r="K10" s="513"/>
      <c r="L10" s="513"/>
      <c r="M10" s="513"/>
    </row>
    <row r="11" spans="1:13" ht="90" x14ac:dyDescent="0.25">
      <c r="A11" s="306" t="s">
        <v>281</v>
      </c>
      <c r="B11" s="307" t="s">
        <v>48</v>
      </c>
      <c r="C11" s="306" t="s">
        <v>244</v>
      </c>
      <c r="D11" s="306" t="s">
        <v>245</v>
      </c>
      <c r="E11" s="306" t="s">
        <v>246</v>
      </c>
      <c r="F11" s="306" t="s">
        <v>247</v>
      </c>
      <c r="G11" s="306" t="s">
        <v>49</v>
      </c>
      <c r="H11" s="4"/>
      <c r="I11" s="353" t="s">
        <v>244</v>
      </c>
      <c r="J11" s="353" t="s">
        <v>245</v>
      </c>
      <c r="K11" s="353" t="s">
        <v>246</v>
      </c>
      <c r="L11" s="353" t="s">
        <v>247</v>
      </c>
      <c r="M11" s="353" t="s">
        <v>295</v>
      </c>
    </row>
    <row r="12" spans="1:13" x14ac:dyDescent="0.25">
      <c r="A12" s="263">
        <v>1</v>
      </c>
      <c r="B12" s="309" t="s">
        <v>22</v>
      </c>
      <c r="C12" s="313"/>
      <c r="D12" s="313"/>
      <c r="E12" s="313"/>
      <c r="F12" s="313"/>
      <c r="G12" s="314">
        <f>+SUM(C12:F12)</f>
        <v>0</v>
      </c>
      <c r="I12" s="455" t="str">
        <f>IF(C12="","",C12/$G12)</f>
        <v/>
      </c>
      <c r="J12" s="459" t="str">
        <f>IF(D12="","",D12/$G12)</f>
        <v/>
      </c>
      <c r="K12" s="459" t="str">
        <f>IF(E12="","",E12/$G12)</f>
        <v/>
      </c>
      <c r="L12" s="457" t="str">
        <f>IF(F12="","",F12/$G12)</f>
        <v/>
      </c>
      <c r="M12" s="308">
        <f>+SUM(I12:L12)</f>
        <v>0</v>
      </c>
    </row>
    <row r="13" spans="1:13" x14ac:dyDescent="0.25">
      <c r="A13" s="264">
        <f>+A12+1</f>
        <v>2</v>
      </c>
      <c r="B13" s="310" t="s">
        <v>23</v>
      </c>
      <c r="C13" s="315"/>
      <c r="D13" s="315"/>
      <c r="E13" s="315"/>
      <c r="F13" s="315"/>
      <c r="G13" s="316">
        <f>+SUM(C13:F13)</f>
        <v>0</v>
      </c>
      <c r="I13" s="456" t="str">
        <f t="shared" ref="I13:I38" si="0">IF(C13="","",C13/$G13)</f>
        <v/>
      </c>
      <c r="J13" s="320" t="str">
        <f t="shared" ref="J13:J38" si="1">IF(D13="","",D13/$G13)</f>
        <v/>
      </c>
      <c r="K13" s="320" t="str">
        <f t="shared" ref="K13:K38" si="2">IF(E13="","",E13/$G13)</f>
        <v/>
      </c>
      <c r="L13" s="458" t="str">
        <f t="shared" ref="L13:L38" si="3">IF(F13="","",F13/$G13)</f>
        <v/>
      </c>
      <c r="M13" s="308">
        <f t="shared" ref="M13:M38" si="4">+SUM(I13:L13)</f>
        <v>0</v>
      </c>
    </row>
    <row r="14" spans="1:13" x14ac:dyDescent="0.25">
      <c r="A14" s="264">
        <f t="shared" ref="A14:A38" si="5">+A13+1</f>
        <v>3</v>
      </c>
      <c r="B14" s="310" t="s">
        <v>24</v>
      </c>
      <c r="C14" s="315"/>
      <c r="D14" s="315"/>
      <c r="E14" s="315"/>
      <c r="F14" s="315"/>
      <c r="G14" s="316">
        <f t="shared" ref="G14:G38" si="6">+SUM(C14:F14)</f>
        <v>0</v>
      </c>
      <c r="I14" s="456" t="str">
        <f t="shared" si="0"/>
        <v/>
      </c>
      <c r="J14" s="320" t="str">
        <f t="shared" si="1"/>
        <v/>
      </c>
      <c r="K14" s="320" t="str">
        <f t="shared" si="2"/>
        <v/>
      </c>
      <c r="L14" s="458" t="str">
        <f t="shared" si="3"/>
        <v/>
      </c>
      <c r="M14" s="308">
        <f t="shared" si="4"/>
        <v>0</v>
      </c>
    </row>
    <row r="15" spans="1:13" x14ac:dyDescent="0.25">
      <c r="A15" s="264">
        <f t="shared" si="5"/>
        <v>4</v>
      </c>
      <c r="B15" s="310" t="s">
        <v>25</v>
      </c>
      <c r="C15" s="315"/>
      <c r="D15" s="315"/>
      <c r="E15" s="315"/>
      <c r="F15" s="315"/>
      <c r="G15" s="316">
        <f t="shared" si="6"/>
        <v>0</v>
      </c>
      <c r="I15" s="456" t="str">
        <f t="shared" si="0"/>
        <v/>
      </c>
      <c r="J15" s="320" t="str">
        <f t="shared" si="1"/>
        <v/>
      </c>
      <c r="K15" s="320" t="str">
        <f t="shared" si="2"/>
        <v/>
      </c>
      <c r="L15" s="458" t="str">
        <f t="shared" si="3"/>
        <v/>
      </c>
      <c r="M15" s="308">
        <f t="shared" si="4"/>
        <v>0</v>
      </c>
    </row>
    <row r="16" spans="1:13" x14ac:dyDescent="0.25">
      <c r="A16" s="264">
        <f t="shared" si="5"/>
        <v>5</v>
      </c>
      <c r="B16" s="310" t="s">
        <v>26</v>
      </c>
      <c r="C16" s="315"/>
      <c r="D16" s="315"/>
      <c r="E16" s="315"/>
      <c r="F16" s="315"/>
      <c r="G16" s="316">
        <f t="shared" si="6"/>
        <v>0</v>
      </c>
      <c r="I16" s="320" t="str">
        <f t="shared" si="0"/>
        <v/>
      </c>
      <c r="J16" s="320" t="str">
        <f t="shared" si="1"/>
        <v/>
      </c>
      <c r="K16" s="320" t="str">
        <f t="shared" si="2"/>
        <v/>
      </c>
      <c r="L16" s="320" t="str">
        <f t="shared" si="3"/>
        <v/>
      </c>
      <c r="M16" s="319">
        <f t="shared" si="4"/>
        <v>0</v>
      </c>
    </row>
    <row r="17" spans="1:13" x14ac:dyDescent="0.25">
      <c r="A17" s="264">
        <f t="shared" si="5"/>
        <v>6</v>
      </c>
      <c r="B17" s="310" t="s">
        <v>27</v>
      </c>
      <c r="C17" s="315"/>
      <c r="D17" s="315"/>
      <c r="E17" s="315"/>
      <c r="F17" s="315"/>
      <c r="G17" s="316">
        <f t="shared" si="6"/>
        <v>0</v>
      </c>
      <c r="I17" s="320" t="str">
        <f t="shared" si="0"/>
        <v/>
      </c>
      <c r="J17" s="320" t="str">
        <f t="shared" si="1"/>
        <v/>
      </c>
      <c r="K17" s="320" t="str">
        <f t="shared" si="2"/>
        <v/>
      </c>
      <c r="L17" s="320" t="str">
        <f t="shared" si="3"/>
        <v/>
      </c>
      <c r="M17" s="319">
        <f t="shared" si="4"/>
        <v>0</v>
      </c>
    </row>
    <row r="18" spans="1:13" x14ac:dyDescent="0.25">
      <c r="A18" s="264">
        <f t="shared" si="5"/>
        <v>7</v>
      </c>
      <c r="B18" s="310" t="s">
        <v>28</v>
      </c>
      <c r="C18" s="315"/>
      <c r="D18" s="315"/>
      <c r="E18" s="315"/>
      <c r="F18" s="315"/>
      <c r="G18" s="316">
        <f t="shared" si="6"/>
        <v>0</v>
      </c>
      <c r="I18" s="320" t="str">
        <f t="shared" si="0"/>
        <v/>
      </c>
      <c r="J18" s="320" t="str">
        <f t="shared" si="1"/>
        <v/>
      </c>
      <c r="K18" s="320" t="str">
        <f t="shared" si="2"/>
        <v/>
      </c>
      <c r="L18" s="320" t="str">
        <f t="shared" si="3"/>
        <v/>
      </c>
      <c r="M18" s="319">
        <f t="shared" si="4"/>
        <v>0</v>
      </c>
    </row>
    <row r="19" spans="1:13" x14ac:dyDescent="0.25">
      <c r="A19" s="265">
        <f t="shared" si="5"/>
        <v>8</v>
      </c>
      <c r="B19" s="311" t="s">
        <v>29</v>
      </c>
      <c r="C19" s="315"/>
      <c r="D19" s="315"/>
      <c r="E19" s="315"/>
      <c r="F19" s="315"/>
      <c r="G19" s="316">
        <f t="shared" si="6"/>
        <v>0</v>
      </c>
      <c r="I19" s="320" t="str">
        <f t="shared" si="0"/>
        <v/>
      </c>
      <c r="J19" s="320" t="str">
        <f t="shared" si="1"/>
        <v/>
      </c>
      <c r="K19" s="320" t="str">
        <f t="shared" si="2"/>
        <v/>
      </c>
      <c r="L19" s="320" t="str">
        <f t="shared" si="3"/>
        <v/>
      </c>
      <c r="M19" s="319">
        <f t="shared" si="4"/>
        <v>0</v>
      </c>
    </row>
    <row r="20" spans="1:13" x14ac:dyDescent="0.25">
      <c r="A20" s="265">
        <f t="shared" si="5"/>
        <v>9</v>
      </c>
      <c r="B20" s="311" t="s">
        <v>30</v>
      </c>
      <c r="C20" s="315"/>
      <c r="D20" s="315"/>
      <c r="E20" s="315"/>
      <c r="F20" s="315"/>
      <c r="G20" s="316">
        <f t="shared" si="6"/>
        <v>0</v>
      </c>
      <c r="I20" s="320" t="str">
        <f t="shared" si="0"/>
        <v/>
      </c>
      <c r="J20" s="320" t="str">
        <f t="shared" si="1"/>
        <v/>
      </c>
      <c r="K20" s="320" t="str">
        <f t="shared" si="2"/>
        <v/>
      </c>
      <c r="L20" s="320" t="str">
        <f t="shared" si="3"/>
        <v/>
      </c>
      <c r="M20" s="319">
        <f t="shared" si="4"/>
        <v>0</v>
      </c>
    </row>
    <row r="21" spans="1:13" x14ac:dyDescent="0.25">
      <c r="A21" s="265">
        <f t="shared" si="5"/>
        <v>10</v>
      </c>
      <c r="B21" s="311" t="s">
        <v>31</v>
      </c>
      <c r="C21" s="315"/>
      <c r="D21" s="315"/>
      <c r="E21" s="315"/>
      <c r="F21" s="315"/>
      <c r="G21" s="316">
        <f t="shared" si="6"/>
        <v>0</v>
      </c>
      <c r="I21" s="320" t="str">
        <f t="shared" si="0"/>
        <v/>
      </c>
      <c r="J21" s="320" t="str">
        <f t="shared" si="1"/>
        <v/>
      </c>
      <c r="K21" s="320" t="str">
        <f t="shared" si="2"/>
        <v/>
      </c>
      <c r="L21" s="320" t="str">
        <f t="shared" si="3"/>
        <v/>
      </c>
      <c r="M21" s="319">
        <f t="shared" si="4"/>
        <v>0</v>
      </c>
    </row>
    <row r="22" spans="1:13" x14ac:dyDescent="0.25">
      <c r="A22" s="265">
        <f t="shared" si="5"/>
        <v>11</v>
      </c>
      <c r="B22" s="311" t="s">
        <v>32</v>
      </c>
      <c r="C22" s="315"/>
      <c r="D22" s="315"/>
      <c r="E22" s="315"/>
      <c r="F22" s="315"/>
      <c r="G22" s="316">
        <f t="shared" si="6"/>
        <v>0</v>
      </c>
      <c r="I22" s="320" t="str">
        <f t="shared" si="0"/>
        <v/>
      </c>
      <c r="J22" s="320" t="str">
        <f t="shared" si="1"/>
        <v/>
      </c>
      <c r="K22" s="320" t="str">
        <f t="shared" si="2"/>
        <v/>
      </c>
      <c r="L22" s="320" t="str">
        <f t="shared" si="3"/>
        <v/>
      </c>
      <c r="M22" s="319">
        <f t="shared" si="4"/>
        <v>0</v>
      </c>
    </row>
    <row r="23" spans="1:13" x14ac:dyDescent="0.25">
      <c r="A23" s="265">
        <f t="shared" si="5"/>
        <v>12</v>
      </c>
      <c r="B23" s="311" t="s">
        <v>33</v>
      </c>
      <c r="C23" s="315"/>
      <c r="D23" s="315"/>
      <c r="E23" s="315"/>
      <c r="F23" s="315"/>
      <c r="G23" s="316">
        <f t="shared" si="6"/>
        <v>0</v>
      </c>
      <c r="I23" s="320" t="str">
        <f t="shared" si="0"/>
        <v/>
      </c>
      <c r="J23" s="320" t="str">
        <f t="shared" si="1"/>
        <v/>
      </c>
      <c r="K23" s="320" t="str">
        <f t="shared" si="2"/>
        <v/>
      </c>
      <c r="L23" s="320" t="str">
        <f t="shared" si="3"/>
        <v/>
      </c>
      <c r="M23" s="319">
        <f t="shared" si="4"/>
        <v>0</v>
      </c>
    </row>
    <row r="24" spans="1:13" x14ac:dyDescent="0.25">
      <c r="A24" s="265">
        <f t="shared" si="5"/>
        <v>13</v>
      </c>
      <c r="B24" s="311" t="s">
        <v>34</v>
      </c>
      <c r="C24" s="315"/>
      <c r="D24" s="315"/>
      <c r="E24" s="315"/>
      <c r="F24" s="315"/>
      <c r="G24" s="316">
        <f t="shared" si="6"/>
        <v>0</v>
      </c>
      <c r="I24" s="320" t="str">
        <f t="shared" si="0"/>
        <v/>
      </c>
      <c r="J24" s="320" t="str">
        <f t="shared" si="1"/>
        <v/>
      </c>
      <c r="K24" s="320" t="str">
        <f t="shared" si="2"/>
        <v/>
      </c>
      <c r="L24" s="320" t="str">
        <f t="shared" si="3"/>
        <v/>
      </c>
      <c r="M24" s="319">
        <f t="shared" si="4"/>
        <v>0</v>
      </c>
    </row>
    <row r="25" spans="1:13" x14ac:dyDescent="0.25">
      <c r="A25" s="265">
        <f t="shared" si="5"/>
        <v>14</v>
      </c>
      <c r="B25" s="311" t="s">
        <v>35</v>
      </c>
      <c r="C25" s="315"/>
      <c r="D25" s="315"/>
      <c r="E25" s="315"/>
      <c r="F25" s="315"/>
      <c r="G25" s="316">
        <f t="shared" si="6"/>
        <v>0</v>
      </c>
      <c r="I25" s="320" t="str">
        <f t="shared" si="0"/>
        <v/>
      </c>
      <c r="J25" s="320" t="str">
        <f t="shared" si="1"/>
        <v/>
      </c>
      <c r="K25" s="320" t="str">
        <f t="shared" si="2"/>
        <v/>
      </c>
      <c r="L25" s="320" t="str">
        <f t="shared" si="3"/>
        <v/>
      </c>
      <c r="M25" s="319">
        <f t="shared" si="4"/>
        <v>0</v>
      </c>
    </row>
    <row r="26" spans="1:13" x14ac:dyDescent="0.25">
      <c r="A26" s="265">
        <f t="shared" si="5"/>
        <v>15</v>
      </c>
      <c r="B26" s="311" t="s">
        <v>36</v>
      </c>
      <c r="C26" s="315"/>
      <c r="D26" s="315"/>
      <c r="E26" s="315"/>
      <c r="F26" s="315"/>
      <c r="G26" s="316">
        <f t="shared" si="6"/>
        <v>0</v>
      </c>
      <c r="I26" s="320" t="str">
        <f t="shared" si="0"/>
        <v/>
      </c>
      <c r="J26" s="320" t="str">
        <f t="shared" si="1"/>
        <v/>
      </c>
      <c r="K26" s="320" t="str">
        <f t="shared" si="2"/>
        <v/>
      </c>
      <c r="L26" s="320" t="str">
        <f t="shared" si="3"/>
        <v/>
      </c>
      <c r="M26" s="319">
        <f t="shared" si="4"/>
        <v>0</v>
      </c>
    </row>
    <row r="27" spans="1:13" x14ac:dyDescent="0.25">
      <c r="A27" s="265">
        <f t="shared" si="5"/>
        <v>16</v>
      </c>
      <c r="B27" s="311" t="s">
        <v>37</v>
      </c>
      <c r="C27" s="315"/>
      <c r="D27" s="315"/>
      <c r="E27" s="315"/>
      <c r="F27" s="315"/>
      <c r="G27" s="316">
        <f t="shared" si="6"/>
        <v>0</v>
      </c>
      <c r="I27" s="320" t="str">
        <f t="shared" si="0"/>
        <v/>
      </c>
      <c r="J27" s="320" t="str">
        <f t="shared" si="1"/>
        <v/>
      </c>
      <c r="K27" s="320" t="str">
        <f t="shared" si="2"/>
        <v/>
      </c>
      <c r="L27" s="320" t="str">
        <f t="shared" si="3"/>
        <v/>
      </c>
      <c r="M27" s="319">
        <f t="shared" si="4"/>
        <v>0</v>
      </c>
    </row>
    <row r="28" spans="1:13" x14ac:dyDescent="0.25">
      <c r="A28" s="265">
        <f t="shared" si="5"/>
        <v>17</v>
      </c>
      <c r="B28" s="311" t="s">
        <v>38</v>
      </c>
      <c r="C28" s="315"/>
      <c r="D28" s="315"/>
      <c r="E28" s="315"/>
      <c r="F28" s="315"/>
      <c r="G28" s="316">
        <f t="shared" si="6"/>
        <v>0</v>
      </c>
      <c r="I28" s="320" t="str">
        <f t="shared" si="0"/>
        <v/>
      </c>
      <c r="J28" s="320" t="str">
        <f t="shared" si="1"/>
        <v/>
      </c>
      <c r="K28" s="320" t="str">
        <f t="shared" si="2"/>
        <v/>
      </c>
      <c r="L28" s="320" t="str">
        <f t="shared" si="3"/>
        <v/>
      </c>
      <c r="M28" s="319">
        <f t="shared" si="4"/>
        <v>0</v>
      </c>
    </row>
    <row r="29" spans="1:13" x14ac:dyDescent="0.25">
      <c r="A29" s="265">
        <f t="shared" si="5"/>
        <v>18</v>
      </c>
      <c r="B29" s="311" t="s">
        <v>39</v>
      </c>
      <c r="C29" s="315"/>
      <c r="D29" s="315"/>
      <c r="E29" s="315"/>
      <c r="F29" s="315"/>
      <c r="G29" s="316">
        <f t="shared" si="6"/>
        <v>0</v>
      </c>
      <c r="I29" s="320" t="str">
        <f t="shared" si="0"/>
        <v/>
      </c>
      <c r="J29" s="320" t="str">
        <f t="shared" si="1"/>
        <v/>
      </c>
      <c r="K29" s="320" t="str">
        <f t="shared" si="2"/>
        <v/>
      </c>
      <c r="L29" s="320" t="str">
        <f t="shared" si="3"/>
        <v/>
      </c>
      <c r="M29" s="319">
        <f t="shared" si="4"/>
        <v>0</v>
      </c>
    </row>
    <row r="30" spans="1:13" x14ac:dyDescent="0.25">
      <c r="A30" s="265">
        <f t="shared" si="5"/>
        <v>19</v>
      </c>
      <c r="B30" s="311" t="s">
        <v>40</v>
      </c>
      <c r="C30" s="315"/>
      <c r="D30" s="315"/>
      <c r="E30" s="315"/>
      <c r="F30" s="315"/>
      <c r="G30" s="316">
        <f t="shared" si="6"/>
        <v>0</v>
      </c>
      <c r="I30" s="320" t="str">
        <f t="shared" si="0"/>
        <v/>
      </c>
      <c r="J30" s="320" t="str">
        <f t="shared" si="1"/>
        <v/>
      </c>
      <c r="K30" s="320" t="str">
        <f t="shared" si="2"/>
        <v/>
      </c>
      <c r="L30" s="320" t="str">
        <f t="shared" si="3"/>
        <v/>
      </c>
      <c r="M30" s="319">
        <f t="shared" si="4"/>
        <v>0</v>
      </c>
    </row>
    <row r="31" spans="1:13" x14ac:dyDescent="0.25">
      <c r="A31" s="265">
        <f t="shared" si="5"/>
        <v>20</v>
      </c>
      <c r="B31" s="311" t="s">
        <v>41</v>
      </c>
      <c r="C31" s="315"/>
      <c r="D31" s="315"/>
      <c r="E31" s="315"/>
      <c r="F31" s="315"/>
      <c r="G31" s="316">
        <f t="shared" si="6"/>
        <v>0</v>
      </c>
      <c r="I31" s="320" t="str">
        <f t="shared" si="0"/>
        <v/>
      </c>
      <c r="J31" s="320" t="str">
        <f t="shared" si="1"/>
        <v/>
      </c>
      <c r="K31" s="320" t="str">
        <f t="shared" si="2"/>
        <v/>
      </c>
      <c r="L31" s="320" t="str">
        <f t="shared" si="3"/>
        <v/>
      </c>
      <c r="M31" s="319">
        <f t="shared" si="4"/>
        <v>0</v>
      </c>
    </row>
    <row r="32" spans="1:13" x14ac:dyDescent="0.25">
      <c r="A32" s="265">
        <f t="shared" si="5"/>
        <v>21</v>
      </c>
      <c r="B32" s="311" t="s">
        <v>42</v>
      </c>
      <c r="C32" s="315"/>
      <c r="D32" s="315"/>
      <c r="E32" s="315"/>
      <c r="F32" s="315"/>
      <c r="G32" s="316">
        <f t="shared" si="6"/>
        <v>0</v>
      </c>
      <c r="I32" s="320" t="str">
        <f t="shared" si="0"/>
        <v/>
      </c>
      <c r="J32" s="320" t="str">
        <f t="shared" si="1"/>
        <v/>
      </c>
      <c r="K32" s="320" t="str">
        <f t="shared" si="2"/>
        <v/>
      </c>
      <c r="L32" s="320" t="str">
        <f t="shared" si="3"/>
        <v/>
      </c>
      <c r="M32" s="319">
        <f t="shared" si="4"/>
        <v>0</v>
      </c>
    </row>
    <row r="33" spans="1:13" x14ac:dyDescent="0.25">
      <c r="A33" s="265">
        <f t="shared" si="5"/>
        <v>22</v>
      </c>
      <c r="B33" s="311" t="s">
        <v>43</v>
      </c>
      <c r="C33" s="315"/>
      <c r="D33" s="315"/>
      <c r="E33" s="315"/>
      <c r="F33" s="315"/>
      <c r="G33" s="316">
        <f t="shared" si="6"/>
        <v>0</v>
      </c>
      <c r="I33" s="320" t="str">
        <f t="shared" si="0"/>
        <v/>
      </c>
      <c r="J33" s="320" t="str">
        <f t="shared" si="1"/>
        <v/>
      </c>
      <c r="K33" s="320" t="str">
        <f t="shared" si="2"/>
        <v/>
      </c>
      <c r="L33" s="320" t="str">
        <f t="shared" si="3"/>
        <v/>
      </c>
      <c r="M33" s="319">
        <f t="shared" si="4"/>
        <v>0</v>
      </c>
    </row>
    <row r="34" spans="1:13" x14ac:dyDescent="0.25">
      <c r="A34" s="265">
        <f t="shared" si="5"/>
        <v>23</v>
      </c>
      <c r="B34" s="311" t="s">
        <v>44</v>
      </c>
      <c r="C34" s="315"/>
      <c r="D34" s="315"/>
      <c r="E34" s="315"/>
      <c r="F34" s="315"/>
      <c r="G34" s="316">
        <f t="shared" si="6"/>
        <v>0</v>
      </c>
      <c r="I34" s="320" t="str">
        <f t="shared" si="0"/>
        <v/>
      </c>
      <c r="J34" s="320" t="str">
        <f t="shared" si="1"/>
        <v/>
      </c>
      <c r="K34" s="320" t="str">
        <f t="shared" si="2"/>
        <v/>
      </c>
      <c r="L34" s="320" t="str">
        <f t="shared" si="3"/>
        <v/>
      </c>
      <c r="M34" s="319">
        <f t="shared" si="4"/>
        <v>0</v>
      </c>
    </row>
    <row r="35" spans="1:13" x14ac:dyDescent="0.25">
      <c r="A35" s="265">
        <f t="shared" si="5"/>
        <v>24</v>
      </c>
      <c r="B35" s="311" t="s">
        <v>45</v>
      </c>
      <c r="C35" s="315"/>
      <c r="D35" s="315"/>
      <c r="E35" s="315"/>
      <c r="F35" s="315"/>
      <c r="G35" s="316">
        <f t="shared" si="6"/>
        <v>0</v>
      </c>
      <c r="I35" s="320" t="str">
        <f t="shared" si="0"/>
        <v/>
      </c>
      <c r="J35" s="320" t="str">
        <f t="shared" si="1"/>
        <v/>
      </c>
      <c r="K35" s="320" t="str">
        <f t="shared" si="2"/>
        <v/>
      </c>
      <c r="L35" s="320" t="str">
        <f t="shared" si="3"/>
        <v/>
      </c>
      <c r="M35" s="319">
        <f t="shared" si="4"/>
        <v>0</v>
      </c>
    </row>
    <row r="36" spans="1:13" x14ac:dyDescent="0.25">
      <c r="A36" s="265">
        <f t="shared" si="5"/>
        <v>25</v>
      </c>
      <c r="B36" s="311" t="s">
        <v>46</v>
      </c>
      <c r="C36" s="315"/>
      <c r="D36" s="315"/>
      <c r="E36" s="315"/>
      <c r="F36" s="315"/>
      <c r="G36" s="316">
        <f t="shared" si="6"/>
        <v>0</v>
      </c>
      <c r="I36" s="320" t="str">
        <f t="shared" si="0"/>
        <v/>
      </c>
      <c r="J36" s="320" t="str">
        <f t="shared" si="1"/>
        <v/>
      </c>
      <c r="K36" s="320" t="str">
        <f t="shared" si="2"/>
        <v/>
      </c>
      <c r="L36" s="320" t="str">
        <f t="shared" si="3"/>
        <v/>
      </c>
      <c r="M36" s="319">
        <f t="shared" si="4"/>
        <v>0</v>
      </c>
    </row>
    <row r="37" spans="1:13" x14ac:dyDescent="0.25">
      <c r="A37" s="265">
        <f t="shared" si="5"/>
        <v>26</v>
      </c>
      <c r="B37" s="311" t="s">
        <v>47</v>
      </c>
      <c r="C37" s="315"/>
      <c r="D37" s="315"/>
      <c r="E37" s="315"/>
      <c r="F37" s="315"/>
      <c r="G37" s="316">
        <f t="shared" si="6"/>
        <v>0</v>
      </c>
      <c r="I37" s="320" t="str">
        <f t="shared" si="0"/>
        <v/>
      </c>
      <c r="J37" s="320" t="str">
        <f t="shared" si="1"/>
        <v/>
      </c>
      <c r="K37" s="320" t="str">
        <f t="shared" si="2"/>
        <v/>
      </c>
      <c r="L37" s="320" t="str">
        <f t="shared" si="3"/>
        <v/>
      </c>
      <c r="M37" s="319">
        <f t="shared" si="4"/>
        <v>0</v>
      </c>
    </row>
    <row r="38" spans="1:13" x14ac:dyDescent="0.25">
      <c r="A38" s="266">
        <f t="shared" si="5"/>
        <v>27</v>
      </c>
      <c r="B38" s="312" t="s">
        <v>79</v>
      </c>
      <c r="C38" s="317"/>
      <c r="D38" s="317"/>
      <c r="E38" s="317"/>
      <c r="F38" s="317"/>
      <c r="G38" s="318">
        <f t="shared" si="6"/>
        <v>0</v>
      </c>
      <c r="I38" s="321" t="str">
        <f t="shared" si="0"/>
        <v/>
      </c>
      <c r="J38" s="321" t="str">
        <f t="shared" si="1"/>
        <v/>
      </c>
      <c r="K38" s="321" t="str">
        <f t="shared" si="2"/>
        <v/>
      </c>
      <c r="L38" s="321" t="str">
        <f t="shared" si="3"/>
        <v/>
      </c>
      <c r="M38" s="319">
        <f t="shared" si="4"/>
        <v>0</v>
      </c>
    </row>
    <row r="39" spans="1:13" s="120" customFormat="1" ht="26.25" customHeight="1" x14ac:dyDescent="0.25">
      <c r="A39" s="322"/>
      <c r="B39" s="323" t="s">
        <v>49</v>
      </c>
      <c r="C39" s="324">
        <f>+SUM(C12:C38)</f>
        <v>0</v>
      </c>
      <c r="D39" s="324">
        <f>+SUM(D12:D38)</f>
        <v>0</v>
      </c>
      <c r="E39" s="324">
        <f>+SUM(E12:E38)</f>
        <v>0</v>
      </c>
      <c r="F39" s="324">
        <f>+SUM(F12:F38)</f>
        <v>0</v>
      </c>
      <c r="G39" s="324">
        <f>+SUM(G12:G38)</f>
        <v>0</v>
      </c>
      <c r="H39" s="327"/>
      <c r="I39" s="325" t="str">
        <f>IF(C39=0,"",C39/$G39)</f>
        <v/>
      </c>
      <c r="J39" s="325" t="str">
        <f>IF(D39=0,"",D39/$G39)</f>
        <v/>
      </c>
      <c r="K39" s="325" t="str">
        <f>IF(E39=0,"",E39/$G39)</f>
        <v/>
      </c>
      <c r="L39" s="325" t="str">
        <f>IF(F39=0,"",F39/$G39)</f>
        <v/>
      </c>
      <c r="M39" s="326">
        <f>+SUM(I39:L39)</f>
        <v>0</v>
      </c>
    </row>
    <row r="41" spans="1:13" x14ac:dyDescent="0.25">
      <c r="A41" s="2" t="s">
        <v>282</v>
      </c>
    </row>
    <row r="44" spans="1:13" x14ac:dyDescent="0.25">
      <c r="A44" s="172" t="s">
        <v>294</v>
      </c>
      <c r="B44" s="35"/>
    </row>
    <row r="45" spans="1:13" x14ac:dyDescent="0.25">
      <c r="A45" s="481"/>
      <c r="B45" s="481"/>
      <c r="C45" s="481"/>
      <c r="D45" s="481"/>
      <c r="E45" s="481"/>
      <c r="F45" s="481"/>
      <c r="G45" s="481"/>
      <c r="H45" s="481"/>
      <c r="I45" s="481"/>
      <c r="J45" s="481"/>
      <c r="K45" s="481"/>
      <c r="L45" s="481"/>
      <c r="M45" s="481"/>
    </row>
    <row r="46" spans="1:13" x14ac:dyDescent="0.25">
      <c r="A46" s="481"/>
      <c r="B46" s="481"/>
      <c r="C46" s="481"/>
      <c r="D46" s="481"/>
      <c r="E46" s="481"/>
      <c r="F46" s="481"/>
      <c r="G46" s="481"/>
      <c r="H46" s="481"/>
      <c r="I46" s="481"/>
      <c r="J46" s="481"/>
      <c r="K46" s="481"/>
      <c r="L46" s="481"/>
      <c r="M46" s="481"/>
    </row>
  </sheetData>
  <sheetProtection password="FA05" sheet="1" selectLockedCells="1"/>
  <mergeCells count="4">
    <mergeCell ref="C10:G10"/>
    <mergeCell ref="I10:M10"/>
    <mergeCell ref="A45:M46"/>
    <mergeCell ref="F7:G7"/>
  </mergeCells>
  <pageMargins left="0.70866141732283472" right="0.70866141732283472" top="0.78740157480314965" bottom="0.78740157480314965" header="0.31496062992125984" footer="0.31496062992125984"/>
  <pageSetup paperSize="9" scale="52" orientation="portrait" r:id="rId1"/>
  <headerFooter>
    <oddFooter>&amp;L&amp;D&amp;R&amp;F/&amp;A</oddFooter>
  </headerFooter>
  <colBreaks count="1" manualBreakCount="1">
    <brk id="14"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9"/>
  <dimension ref="A1:L30"/>
  <sheetViews>
    <sheetView view="pageBreakPreview" zoomScaleNormal="100" zoomScaleSheetLayoutView="100" workbookViewId="0">
      <pane xSplit="1" ySplit="12" topLeftCell="B13" activePane="bottomRight" state="frozen"/>
      <selection pane="topRight" activeCell="B1" sqref="B1"/>
      <selection pane="bottomLeft" activeCell="A8" sqref="A8"/>
      <selection pane="bottomRight" activeCell="R24" sqref="R24"/>
    </sheetView>
  </sheetViews>
  <sheetFormatPr baseColWidth="10" defaultColWidth="11.42578125" defaultRowHeight="15" x14ac:dyDescent="0.25"/>
  <cols>
    <col min="1" max="1" width="33.85546875" style="6" customWidth="1"/>
    <col min="2" max="2" width="11.42578125" style="6"/>
    <col min="3" max="3" width="11.7109375" style="6" bestFit="1" customWidth="1"/>
    <col min="4" max="5" width="11.5703125" style="6" bestFit="1" customWidth="1"/>
    <col min="6" max="16384" width="11.42578125" style="6"/>
  </cols>
  <sheetData>
    <row r="1" spans="1:12" x14ac:dyDescent="0.25">
      <c r="A1" s="6" t="s">
        <v>0</v>
      </c>
      <c r="D1" s="6" t="s">
        <v>20</v>
      </c>
    </row>
    <row r="3" spans="1:12" ht="23.25" x14ac:dyDescent="0.35">
      <c r="A3" s="7" t="str">
        <f>D2_eigene_KORE!$A$3</f>
        <v>Spitex-Kennzahlenset</v>
      </c>
      <c r="B3" s="7"/>
    </row>
    <row r="5" spans="1:12" ht="23.25" x14ac:dyDescent="0.25">
      <c r="A5" s="8" t="s">
        <v>109</v>
      </c>
    </row>
    <row r="6" spans="1:12" ht="43.5" customHeight="1" x14ac:dyDescent="0.3">
      <c r="A6" s="9" t="s">
        <v>10</v>
      </c>
      <c r="B6" s="9" t="str">
        <f>D2_eigene_KORE!C7</f>
        <v xml:space="preserve"> </v>
      </c>
      <c r="C6" s="9"/>
    </row>
    <row r="7" spans="1:12" ht="18.75" x14ac:dyDescent="0.3">
      <c r="A7" s="9" t="s">
        <v>11</v>
      </c>
      <c r="B7" s="10">
        <f>D2_eigene_KORE!C8</f>
        <v>2025</v>
      </c>
      <c r="C7" s="9"/>
    </row>
    <row r="8" spans="1:12" ht="23.25" x14ac:dyDescent="0.25">
      <c r="A8" s="8"/>
    </row>
    <row r="9" spans="1:12" ht="80.099999999999994" customHeight="1" x14ac:dyDescent="0.5">
      <c r="B9" s="514" t="s">
        <v>110</v>
      </c>
      <c r="C9" s="515"/>
      <c r="D9" s="515"/>
      <c r="E9" s="515"/>
      <c r="F9" s="515"/>
      <c r="G9" s="515"/>
      <c r="H9" s="515"/>
      <c r="I9" s="515"/>
      <c r="J9" s="515"/>
      <c r="K9" s="515"/>
      <c r="L9" s="515"/>
    </row>
    <row r="11" spans="1:12" s="11" customFormat="1" ht="60" x14ac:dyDescent="0.25">
      <c r="B11" s="12" t="s">
        <v>21</v>
      </c>
      <c r="C11" s="12" t="s">
        <v>50</v>
      </c>
      <c r="D11" s="12" t="s">
        <v>51</v>
      </c>
      <c r="E11" s="12" t="s">
        <v>52</v>
      </c>
      <c r="F11" s="12" t="s">
        <v>67</v>
      </c>
      <c r="G11" s="12" t="s">
        <v>68</v>
      </c>
      <c r="H11" s="12" t="s">
        <v>65</v>
      </c>
      <c r="I11" s="12" t="s">
        <v>66</v>
      </c>
      <c r="J11" s="12" t="s">
        <v>69</v>
      </c>
      <c r="K11" s="12" t="s">
        <v>70</v>
      </c>
      <c r="L11" s="12" t="s">
        <v>71</v>
      </c>
    </row>
    <row r="12" spans="1:12" s="11" customFormat="1" x14ac:dyDescent="0.25">
      <c r="B12" s="13"/>
      <c r="C12" s="13" t="s">
        <v>72</v>
      </c>
      <c r="D12" s="13"/>
      <c r="E12" s="13"/>
      <c r="F12" s="13">
        <v>160</v>
      </c>
      <c r="G12" s="13">
        <v>165</v>
      </c>
      <c r="H12" s="13">
        <v>200</v>
      </c>
      <c r="I12" s="13">
        <v>201</v>
      </c>
      <c r="J12" s="13">
        <v>202</v>
      </c>
      <c r="K12" s="13">
        <v>261</v>
      </c>
      <c r="L12" s="13" t="s">
        <v>73</v>
      </c>
    </row>
    <row r="13" spans="1:12" x14ac:dyDescent="0.25">
      <c r="A13" s="6" t="s">
        <v>77</v>
      </c>
      <c r="B13" s="14"/>
      <c r="C13" s="14"/>
      <c r="D13" s="14"/>
      <c r="E13" s="14"/>
      <c r="F13" s="14"/>
      <c r="G13" s="14"/>
      <c r="H13" s="14"/>
      <c r="I13" s="14"/>
      <c r="J13" s="14"/>
      <c r="K13" s="14"/>
      <c r="L13" s="14"/>
    </row>
    <row r="14" spans="1:12" s="15" customFormat="1" ht="35.1" customHeight="1" x14ac:dyDescent="0.25">
      <c r="A14" s="15" t="s">
        <v>53</v>
      </c>
      <c r="B14" s="16"/>
      <c r="C14" s="17"/>
      <c r="D14" s="17"/>
      <c r="E14" s="17"/>
      <c r="F14" s="17"/>
      <c r="G14" s="17"/>
      <c r="H14" s="17"/>
      <c r="I14" s="17"/>
      <c r="J14" s="17"/>
      <c r="K14" s="17"/>
      <c r="L14" s="17"/>
    </row>
    <row r="15" spans="1:12" s="15" customFormat="1" ht="35.1" customHeight="1" x14ac:dyDescent="0.25">
      <c r="A15" s="15" t="s">
        <v>54</v>
      </c>
      <c r="B15" s="17"/>
      <c r="C15" s="16"/>
      <c r="D15" s="16"/>
      <c r="E15" s="16"/>
      <c r="F15" s="16"/>
      <c r="G15" s="16"/>
      <c r="H15" s="16"/>
      <c r="I15" s="16"/>
      <c r="J15" s="16"/>
      <c r="K15" s="16"/>
      <c r="L15" s="16"/>
    </row>
    <row r="16" spans="1:12" s="15" customFormat="1" ht="35.1" customHeight="1" x14ac:dyDescent="0.25">
      <c r="A16" s="15" t="s">
        <v>55</v>
      </c>
      <c r="B16" s="16"/>
      <c r="C16" s="16"/>
      <c r="D16" s="16"/>
      <c r="E16" s="16"/>
      <c r="F16" s="16"/>
      <c r="G16" s="16"/>
      <c r="H16" s="16"/>
      <c r="I16" s="16"/>
      <c r="J16" s="16"/>
      <c r="K16" s="16"/>
      <c r="L16" s="16"/>
    </row>
    <row r="17" spans="1:12" s="15" customFormat="1" ht="35.1" customHeight="1" x14ac:dyDescent="0.25">
      <c r="A17" s="15" t="s">
        <v>56</v>
      </c>
      <c r="B17" s="16"/>
      <c r="C17" s="16"/>
      <c r="D17" s="16"/>
      <c r="E17" s="16"/>
      <c r="F17" s="16"/>
      <c r="G17" s="16"/>
      <c r="H17" s="16"/>
      <c r="I17" s="16"/>
      <c r="J17" s="16"/>
      <c r="K17" s="16"/>
      <c r="L17" s="16"/>
    </row>
    <row r="18" spans="1:12" s="15" customFormat="1" ht="35.1" customHeight="1" x14ac:dyDescent="0.25">
      <c r="A18" s="15" t="s">
        <v>57</v>
      </c>
      <c r="B18" s="16"/>
      <c r="C18" s="17"/>
      <c r="D18" s="17"/>
      <c r="E18" s="17"/>
      <c r="F18" s="17"/>
      <c r="G18" s="17"/>
      <c r="H18" s="17"/>
      <c r="I18" s="17"/>
      <c r="J18" s="17"/>
      <c r="K18" s="17"/>
      <c r="L18" s="17"/>
    </row>
    <row r="19" spans="1:12" s="15" customFormat="1" ht="35.1" customHeight="1" x14ac:dyDescent="0.25">
      <c r="A19" s="15" t="s">
        <v>58</v>
      </c>
      <c r="B19" s="16"/>
      <c r="C19" s="17"/>
      <c r="D19" s="17"/>
      <c r="E19" s="17"/>
      <c r="F19" s="17"/>
      <c r="G19" s="17"/>
      <c r="H19" s="17"/>
      <c r="I19" s="17"/>
      <c r="J19" s="17"/>
      <c r="K19" s="17"/>
      <c r="L19" s="17"/>
    </row>
    <row r="20" spans="1:12" s="15" customFormat="1" ht="35.1" customHeight="1" x14ac:dyDescent="0.25">
      <c r="A20" s="15" t="s">
        <v>59</v>
      </c>
      <c r="B20" s="16"/>
      <c r="C20" s="16"/>
      <c r="D20" s="16"/>
      <c r="E20" s="16"/>
      <c r="F20" s="16"/>
      <c r="G20" s="16"/>
      <c r="H20" s="16"/>
      <c r="I20" s="16"/>
      <c r="J20" s="16"/>
      <c r="K20" s="16"/>
      <c r="L20" s="16"/>
    </row>
    <row r="21" spans="1:12" s="15" customFormat="1" ht="35.1" customHeight="1" x14ac:dyDescent="0.25">
      <c r="A21" s="15" t="s">
        <v>60</v>
      </c>
      <c r="B21" s="17"/>
      <c r="C21" s="16"/>
      <c r="D21" s="16"/>
      <c r="E21" s="16"/>
      <c r="F21" s="16"/>
      <c r="G21" s="16"/>
      <c r="H21" s="16"/>
      <c r="I21" s="16"/>
      <c r="J21" s="16"/>
      <c r="K21" s="16"/>
      <c r="L21" s="16"/>
    </row>
    <row r="22" spans="1:12" s="15" customFormat="1" ht="35.1" customHeight="1" x14ac:dyDescent="0.25">
      <c r="A22" s="15" t="s">
        <v>75</v>
      </c>
      <c r="B22" s="17"/>
      <c r="C22" s="17"/>
      <c r="D22" s="17"/>
      <c r="E22" s="17"/>
      <c r="F22" s="17"/>
      <c r="G22" s="17"/>
      <c r="H22" s="16"/>
      <c r="I22" s="17"/>
      <c r="J22" s="17"/>
      <c r="K22" s="17"/>
      <c r="L22" s="17"/>
    </row>
    <row r="23" spans="1:12" s="15" customFormat="1" ht="35.1" customHeight="1" x14ac:dyDescent="0.25">
      <c r="A23" s="15" t="s">
        <v>74</v>
      </c>
      <c r="B23" s="17"/>
      <c r="C23" s="17"/>
      <c r="D23" s="17"/>
      <c r="E23" s="17"/>
      <c r="F23" s="17"/>
      <c r="G23" s="17"/>
      <c r="H23" s="16"/>
      <c r="I23" s="16"/>
      <c r="J23" s="16"/>
      <c r="K23" s="16"/>
      <c r="L23" s="17"/>
    </row>
    <row r="24" spans="1:12" s="15" customFormat="1" ht="35.1" customHeight="1" x14ac:dyDescent="0.25">
      <c r="A24" s="15" t="s">
        <v>61</v>
      </c>
      <c r="B24" s="16"/>
      <c r="C24" s="17"/>
      <c r="D24" s="17"/>
      <c r="E24" s="17"/>
      <c r="F24" s="17"/>
      <c r="G24" s="17"/>
      <c r="H24" s="17"/>
      <c r="I24" s="17"/>
      <c r="J24" s="17"/>
      <c r="K24" s="17"/>
      <c r="L24" s="17"/>
    </row>
    <row r="25" spans="1:12" s="15" customFormat="1" ht="35.1" customHeight="1" x14ac:dyDescent="0.25">
      <c r="A25" s="15" t="s">
        <v>62</v>
      </c>
      <c r="B25" s="16"/>
      <c r="C25" s="16"/>
      <c r="D25" s="16"/>
      <c r="E25" s="16"/>
      <c r="F25" s="16"/>
      <c r="G25" s="16"/>
      <c r="H25" s="16"/>
      <c r="I25" s="16"/>
      <c r="J25" s="16"/>
      <c r="K25" s="16"/>
      <c r="L25" s="16"/>
    </row>
    <row r="26" spans="1:12" s="15" customFormat="1" ht="35.1" customHeight="1" x14ac:dyDescent="0.25">
      <c r="A26" s="15" t="s">
        <v>63</v>
      </c>
      <c r="B26" s="16"/>
      <c r="C26" s="17"/>
      <c r="D26" s="17"/>
      <c r="E26" s="17"/>
      <c r="F26" s="17"/>
      <c r="G26" s="17"/>
      <c r="H26" s="17"/>
      <c r="I26" s="17"/>
      <c r="J26" s="17"/>
      <c r="K26" s="17"/>
      <c r="L26" s="17"/>
    </row>
    <row r="27" spans="1:12" s="15" customFormat="1" ht="35.1" customHeight="1" x14ac:dyDescent="0.25">
      <c r="A27" s="15" t="s">
        <v>64</v>
      </c>
      <c r="B27" s="18"/>
      <c r="C27" s="18"/>
      <c r="D27" s="18"/>
      <c r="E27" s="18"/>
      <c r="F27" s="18"/>
      <c r="G27" s="18"/>
      <c r="H27" s="18"/>
      <c r="I27" s="18"/>
      <c r="J27" s="18"/>
      <c r="K27" s="18"/>
      <c r="L27" s="18"/>
    </row>
    <row r="28" spans="1:12" s="15" customFormat="1" ht="35.1" customHeight="1" x14ac:dyDescent="0.25"/>
    <row r="29" spans="1:12" s="15" customFormat="1" ht="35.1" customHeight="1" x14ac:dyDescent="0.25">
      <c r="A29" s="19" t="s">
        <v>76</v>
      </c>
    </row>
    <row r="30" spans="1:12" ht="35.1" customHeight="1" x14ac:dyDescent="0.25"/>
  </sheetData>
  <mergeCells count="1">
    <mergeCell ref="B9:L9"/>
  </mergeCells>
  <pageMargins left="0.7" right="0.7" top="0.78740157499999996" bottom="0.78740157499999996" header="0.3" footer="0.3"/>
  <pageSetup paperSize="9" scale="54"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9</vt:i4>
      </vt:variant>
      <vt:variant>
        <vt:lpstr>Benannte Bereiche</vt:lpstr>
      </vt:variant>
      <vt:variant>
        <vt:i4>16</vt:i4>
      </vt:variant>
    </vt:vector>
  </HeadingPairs>
  <TitlesOfParts>
    <vt:vector size="25" baseType="lpstr">
      <vt:lpstr>A_ Personal</vt:lpstr>
      <vt:lpstr>Hilfsblatt Stunden</vt:lpstr>
      <vt:lpstr>B_Schlüssel</vt:lpstr>
      <vt:lpstr>C_Betriebsrechnung</vt:lpstr>
      <vt:lpstr>Basis</vt:lpstr>
      <vt:lpstr>D1_KORE</vt:lpstr>
      <vt:lpstr>D2_eigene_KORE</vt:lpstr>
      <vt:lpstr>E_Minuten_Gde</vt:lpstr>
      <vt:lpstr>KST KOA</vt:lpstr>
      <vt:lpstr>akjahr</vt:lpstr>
      <vt:lpstr>'A_ Personal'!Druckbereich</vt:lpstr>
      <vt:lpstr>B_Schlüssel!Druckbereich</vt:lpstr>
      <vt:lpstr>Basis!Druckbereich</vt:lpstr>
      <vt:lpstr>C_Betriebsrechnung!Druckbereich</vt:lpstr>
      <vt:lpstr>D1_KORE!Druckbereich</vt:lpstr>
      <vt:lpstr>D2_eigene_KORE!Druckbereich</vt:lpstr>
      <vt:lpstr>E_Minuten_Gde!Druckbereich</vt:lpstr>
      <vt:lpstr>Ein_A</vt:lpstr>
      <vt:lpstr>Ein_B</vt:lpstr>
      <vt:lpstr>Ein_C</vt:lpstr>
      <vt:lpstr>Ein_CA</vt:lpstr>
      <vt:lpstr>SozL</vt:lpstr>
      <vt:lpstr>stellen</vt:lpstr>
      <vt:lpstr>Version</vt:lpstr>
      <vt:lpstr>ZSR</vt:lpstr>
    </vt:vector>
  </TitlesOfParts>
  <Company>KSD Schaffhausen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dc:creator>
  <cp:lastModifiedBy>Marcel</cp:lastModifiedBy>
  <cp:lastPrinted>2026-01-30T08:53:47Z</cp:lastPrinted>
  <dcterms:created xsi:type="dcterms:W3CDTF">2025-08-05T06:34:02Z</dcterms:created>
  <dcterms:modified xsi:type="dcterms:W3CDTF">2026-02-03T11:51:56Z</dcterms:modified>
</cp:coreProperties>
</file>