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06 Gewaesser\05 FH\09_Gewässerunterhalt\05_Ökologischer Bachunterhalt\01_Grundlagen\"/>
    </mc:Choice>
  </mc:AlternateContent>
  <bookViews>
    <workbookView xWindow="0" yWindow="0" windowWidth="7665" windowHeight="13710"/>
  </bookViews>
  <sheets>
    <sheet name="Tabelle1" sheetId="1" r:id="rId1"/>
    <sheet name="Tabelle2" sheetId="2" r:id="rId2"/>
  </sheets>
  <definedNames>
    <definedName name="_xlnm.Print_Area" localSheetId="0">Tabelle1!$A$1:$K$30</definedName>
    <definedName name="Z_A3AFCC32_431F_47E6_B0AD_C6F84CE9D14D_.wvu.PrintArea" localSheetId="0" hidden="1">Tabelle1!$A$1:$K$30</definedName>
  </definedNames>
  <calcPr calcId="162913"/>
  <customWorkbookViews>
    <customWorkbookView name="Schwarz Roland - Persönliche Ansicht" guid="{A3AFCC32-431F-47E6-B0AD-C6F84CE9D14D}" mergeInterval="0" personalView="1" xWindow="31" yWindow="2" windowWidth="1045" windowHeight="1119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28" i="1"/>
  <c r="I27" i="1"/>
  <c r="I26" i="1"/>
  <c r="I25" i="1"/>
  <c r="I24" i="1"/>
  <c r="I23" i="1"/>
  <c r="I22" i="1"/>
  <c r="I21" i="1"/>
  <c r="I20" i="1"/>
  <c r="I19" i="1"/>
  <c r="K28" i="1" l="1"/>
  <c r="K26" i="1"/>
  <c r="K25" i="1"/>
  <c r="K24" i="1"/>
  <c r="K23" i="1"/>
  <c r="K22" i="1"/>
  <c r="K21" i="1"/>
  <c r="K20" i="1"/>
  <c r="K19" i="1"/>
  <c r="K27" i="1"/>
  <c r="I29" i="1" l="1"/>
  <c r="K18" i="1"/>
  <c r="K29" i="1" s="1"/>
</calcChain>
</file>

<file path=xl/sharedStrings.xml><?xml version="1.0" encoding="utf-8"?>
<sst xmlns="http://schemas.openxmlformats.org/spreadsheetml/2006/main" count="35" uniqueCount="31">
  <si>
    <t>Beitragsgesuch mit Kostenschätzung für den ökologischen Bachunterhalt</t>
  </si>
  <si>
    <t>Zuschläge</t>
  </si>
  <si>
    <t>dicht</t>
  </si>
  <si>
    <t>aufgelockert</t>
  </si>
  <si>
    <t>locker</t>
  </si>
  <si>
    <t>Bestockung</t>
  </si>
  <si>
    <t>Beitrags-</t>
  </si>
  <si>
    <t>%</t>
  </si>
  <si>
    <t>Kantons-</t>
  </si>
  <si>
    <t>Gefälle</t>
  </si>
  <si>
    <t>Kosten</t>
  </si>
  <si>
    <t>Datum:</t>
  </si>
  <si>
    <t xml:space="preserve">Gemeinde: </t>
  </si>
  <si>
    <t>Bachname</t>
  </si>
  <si>
    <t>Schweizersbildstr. 69</t>
  </si>
  <si>
    <t>CH-8200 Schaffhausen</t>
  </si>
  <si>
    <t>Total CHF</t>
  </si>
  <si>
    <t>Unterhaltsjahr:</t>
  </si>
  <si>
    <t>Unterschrift:</t>
  </si>
  <si>
    <t>lfm</t>
  </si>
  <si>
    <t>** vorbehältlich der Budgetgenehmigung durch den Kantonsrat</t>
  </si>
  <si>
    <t>* gemäss Checkliste</t>
  </si>
  <si>
    <t>beitrag**</t>
  </si>
  <si>
    <t>satz*</t>
  </si>
  <si>
    <t>≥ 10 %</t>
  </si>
  <si>
    <t>Unterhaltslänge</t>
  </si>
  <si>
    <t>Mahd, Be-</t>
  </si>
  <si>
    <t>stockung</t>
  </si>
  <si>
    <t>KANTON SCHAFFHAUSEN</t>
  </si>
  <si>
    <t>Abteilung Gewässer und Materialabbau</t>
  </si>
  <si>
    <t>Gesamte Bach-länge auf Gemeindegebiet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</si>
</sst>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CHF]\ #,##0.00;[$CHF]\ \-#,##0.00"/>
  </numFmts>
  <fonts count="7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lightGray">
        <fgColor theme="4" tint="0.39991454817346722"/>
        <bgColor auto="1"/>
      </patternFill>
    </fill>
  </fills>
  <borders count="5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5" fillId="0" borderId="0" xfId="0" applyFont="1" applyProtection="1"/>
    <xf numFmtId="0" fontId="1" fillId="0" borderId="0" xfId="0" applyFont="1" applyProtection="1"/>
    <xf numFmtId="0" fontId="0" fillId="0" borderId="0" xfId="0" applyProtection="1"/>
    <xf numFmtId="0" fontId="0" fillId="0" borderId="18" xfId="0" applyBorder="1" applyProtection="1"/>
    <xf numFmtId="0" fontId="0" fillId="0" borderId="39" xfId="0" applyBorder="1" applyProtection="1"/>
    <xf numFmtId="0" fontId="0" fillId="0" borderId="31" xfId="0" applyBorder="1" applyProtection="1"/>
    <xf numFmtId="0" fontId="0" fillId="0" borderId="25" xfId="0" applyBorder="1" applyAlignment="1" applyProtection="1">
      <alignment horizontal="center"/>
    </xf>
    <xf numFmtId="0" fontId="0" fillId="0" borderId="21" xfId="0" applyBorder="1" applyProtection="1"/>
    <xf numFmtId="0" fontId="0" fillId="0" borderId="26" xfId="0" applyBorder="1" applyProtection="1"/>
    <xf numFmtId="0" fontId="0" fillId="0" borderId="20" xfId="0" applyBorder="1" applyProtection="1"/>
    <xf numFmtId="0" fontId="0" fillId="0" borderId="0" xfId="0" applyBorder="1" applyProtection="1"/>
    <xf numFmtId="0" fontId="0" fillId="0" borderId="22" xfId="0" applyBorder="1" applyProtection="1"/>
    <xf numFmtId="0" fontId="0" fillId="0" borderId="35" xfId="0" applyBorder="1" applyAlignment="1" applyProtection="1">
      <alignment horizontal="centerContinuous"/>
    </xf>
    <xf numFmtId="0" fontId="0" fillId="0" borderId="23" xfId="0" applyBorder="1" applyAlignment="1" applyProtection="1">
      <alignment horizontal="centerContinuous"/>
    </xf>
    <xf numFmtId="0" fontId="0" fillId="0" borderId="24" xfId="0" applyBorder="1" applyAlignment="1" applyProtection="1">
      <alignment horizontal="center"/>
    </xf>
    <xf numFmtId="0" fontId="0" fillId="0" borderId="23" xfId="0" applyBorder="1" applyProtection="1"/>
    <xf numFmtId="0" fontId="0" fillId="0" borderId="30" xfId="0" applyBorder="1" applyProtection="1"/>
    <xf numFmtId="0" fontId="0" fillId="0" borderId="11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164" fontId="0" fillId="0" borderId="8" xfId="0" applyNumberFormat="1" applyBorder="1" applyProtection="1"/>
    <xf numFmtId="164" fontId="0" fillId="0" borderId="3" xfId="0" applyNumberFormat="1" applyBorder="1" applyProtection="1"/>
    <xf numFmtId="164" fontId="0" fillId="0" borderId="1" xfId="0" applyNumberFormat="1" applyBorder="1" applyProtection="1"/>
    <xf numFmtId="164" fontId="0" fillId="0" borderId="6" xfId="0" applyNumberFormat="1" applyBorder="1" applyProtection="1"/>
    <xf numFmtId="0" fontId="0" fillId="0" borderId="19" xfId="0" applyBorder="1" applyProtection="1"/>
    <xf numFmtId="0" fontId="0" fillId="0" borderId="40" xfId="0" applyBorder="1" applyProtection="1"/>
    <xf numFmtId="0" fontId="0" fillId="0" borderId="32" xfId="0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0" fontId="0" fillId="0" borderId="16" xfId="0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0" fillId="0" borderId="28" xfId="0" applyBorder="1" applyAlignment="1" applyProtection="1">
      <alignment horizontal="center"/>
    </xf>
    <xf numFmtId="0" fontId="0" fillId="0" borderId="29" xfId="0" applyBorder="1" applyAlignment="1" applyProtection="1">
      <alignment horizontal="center"/>
    </xf>
    <xf numFmtId="4" fontId="4" fillId="0" borderId="11" xfId="0" applyNumberFormat="1" applyFont="1" applyBorder="1" applyProtection="1"/>
    <xf numFmtId="4" fontId="4" fillId="0" borderId="12" xfId="0" applyNumberFormat="1" applyFont="1" applyBorder="1" applyProtection="1"/>
    <xf numFmtId="4" fontId="4" fillId="0" borderId="17" xfId="0" applyNumberFormat="1" applyFont="1" applyBorder="1" applyProtection="1"/>
    <xf numFmtId="4" fontId="4" fillId="0" borderId="38" xfId="0" applyNumberFormat="1" applyFont="1" applyBorder="1" applyProtection="1"/>
    <xf numFmtId="4" fontId="4" fillId="0" borderId="36" xfId="0" applyNumberFormat="1" applyFont="1" applyBorder="1" applyProtection="1"/>
    <xf numFmtId="0" fontId="1" fillId="0" borderId="39" xfId="0" applyFont="1" applyBorder="1" applyProtection="1"/>
    <xf numFmtId="0" fontId="1" fillId="0" borderId="37" xfId="0" applyFont="1" applyBorder="1" applyProtection="1"/>
    <xf numFmtId="0" fontId="1" fillId="0" borderId="0" xfId="0" applyFont="1" applyBorder="1" applyProtection="1"/>
    <xf numFmtId="0" fontId="1" fillId="2" borderId="7" xfId="0" applyFont="1" applyFill="1" applyBorder="1" applyProtection="1">
      <protection locked="0"/>
    </xf>
    <xf numFmtId="0" fontId="1" fillId="2" borderId="41" xfId="0" applyFont="1" applyFill="1" applyBorder="1" applyProtection="1">
      <protection locked="0"/>
    </xf>
    <xf numFmtId="0" fontId="1" fillId="2" borderId="33" xfId="0" applyFont="1" applyFill="1" applyBorder="1" applyProtection="1">
      <protection locked="0"/>
    </xf>
    <xf numFmtId="0" fontId="1" fillId="2" borderId="8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1" fillId="2" borderId="9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2" borderId="3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2" borderId="43" xfId="0" applyFont="1" applyFill="1" applyBorder="1" applyProtection="1">
      <protection locked="0"/>
    </xf>
    <xf numFmtId="0" fontId="1" fillId="2" borderId="44" xfId="0" applyFont="1" applyFill="1" applyBorder="1" applyProtection="1">
      <protection locked="0"/>
    </xf>
    <xf numFmtId="0" fontId="1" fillId="2" borderId="45" xfId="0" applyFont="1" applyFill="1" applyBorder="1" applyProtection="1">
      <protection locked="0"/>
    </xf>
    <xf numFmtId="0" fontId="1" fillId="2" borderId="46" xfId="0" applyFont="1" applyFill="1" applyBorder="1" applyProtection="1">
      <protection locked="0"/>
    </xf>
    <xf numFmtId="0" fontId="1" fillId="2" borderId="47" xfId="0" applyFont="1" applyFill="1" applyBorder="1" applyProtection="1">
      <protection locked="0"/>
    </xf>
    <xf numFmtId="0" fontId="1" fillId="2" borderId="48" xfId="0" applyFont="1" applyFill="1" applyBorder="1" applyProtection="1">
      <protection locked="0"/>
    </xf>
    <xf numFmtId="0" fontId="1" fillId="2" borderId="14" xfId="0" applyFont="1" applyFill="1" applyBorder="1" applyProtection="1">
      <protection locked="0"/>
    </xf>
    <xf numFmtId="0" fontId="0" fillId="0" borderId="22" xfId="0" applyBorder="1" applyAlignment="1" applyProtection="1">
      <alignment horizontal="center" vertical="center"/>
    </xf>
    <xf numFmtId="4" fontId="4" fillId="0" borderId="13" xfId="0" applyNumberFormat="1" applyFont="1" applyBorder="1" applyProtection="1"/>
    <xf numFmtId="0" fontId="0" fillId="0" borderId="22" xfId="0" applyFont="1" applyBorder="1" applyAlignment="1" applyProtection="1">
      <alignment horizontal="center" vertical="center"/>
    </xf>
    <xf numFmtId="0" fontId="4" fillId="0" borderId="42" xfId="0" applyFont="1" applyBorder="1" applyAlignment="1" applyProtection="1">
      <alignment horizontal="right"/>
    </xf>
    <xf numFmtId="0" fontId="0" fillId="0" borderId="24" xfId="0" applyBorder="1" applyAlignment="1" applyProtection="1">
      <alignment horizontal="centerContinuous"/>
    </xf>
    <xf numFmtId="0" fontId="0" fillId="0" borderId="35" xfId="0" applyBorder="1" applyAlignment="1" applyProtection="1">
      <alignment horizontal="center"/>
    </xf>
    <xf numFmtId="0" fontId="0" fillId="0" borderId="39" xfId="0" applyBorder="1" applyAlignment="1" applyProtection="1">
      <alignment horizontal="centerContinuous"/>
    </xf>
    <xf numFmtId="0" fontId="0" fillId="0" borderId="50" xfId="0" applyBorder="1" applyAlignment="1" applyProtection="1">
      <alignment horizontal="centerContinuous"/>
    </xf>
    <xf numFmtId="0" fontId="0" fillId="0" borderId="49" xfId="0" applyBorder="1" applyAlignment="1" applyProtection="1">
      <alignment horizontal="centerContinuous" vertical="center"/>
    </xf>
    <xf numFmtId="14" fontId="0" fillId="2" borderId="0" xfId="0" applyNumberFormat="1" applyFill="1" applyAlignment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6" fillId="0" borderId="24" xfId="0" applyFont="1" applyBorder="1" applyAlignment="1" applyProtection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0</xdr:row>
      <xdr:rowOff>0</xdr:rowOff>
    </xdr:from>
    <xdr:to>
      <xdr:col>10</xdr:col>
      <xdr:colOff>942975</xdr:colOff>
      <xdr:row>4</xdr:row>
      <xdr:rowOff>0</xdr:rowOff>
    </xdr:to>
    <xdr:pic>
      <xdr:nvPicPr>
        <xdr:cNvPr id="2" name="Grafik 1" descr="shch_logo_2c_n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0"/>
          <a:ext cx="2628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138113</xdr:colOff>
      <xdr:row>11</xdr:row>
      <xdr:rowOff>90487</xdr:rowOff>
    </xdr:from>
    <xdr:to>
      <xdr:col>7</xdr:col>
      <xdr:colOff>728662</xdr:colOff>
      <xdr:row>11</xdr:row>
      <xdr:rowOff>90488</xdr:rowOff>
    </xdr:to>
    <xdr:cxnSp macro="">
      <xdr:nvCxnSpPr>
        <xdr:cNvPr id="4" name="Gerade Verbindung mit Pfeil 3"/>
        <xdr:cNvCxnSpPr/>
      </xdr:nvCxnSpPr>
      <xdr:spPr>
        <a:xfrm flipV="1">
          <a:off x="5300663" y="2157412"/>
          <a:ext cx="132397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4763</xdr:colOff>
      <xdr:row>11</xdr:row>
      <xdr:rowOff>95250</xdr:rowOff>
    </xdr:from>
    <xdr:to>
      <xdr:col>4</xdr:col>
      <xdr:colOff>509588</xdr:colOff>
      <xdr:row>11</xdr:row>
      <xdr:rowOff>95250</xdr:rowOff>
    </xdr:to>
    <xdr:cxnSp macro="">
      <xdr:nvCxnSpPr>
        <xdr:cNvPr id="7" name="Gerade Verbindung mit Pfeil 6"/>
        <xdr:cNvCxnSpPr/>
      </xdr:nvCxnSpPr>
      <xdr:spPr>
        <a:xfrm flipH="1">
          <a:off x="2824163" y="2162175"/>
          <a:ext cx="1304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357187</xdr:colOff>
      <xdr:row>12</xdr:row>
      <xdr:rowOff>90488</xdr:rowOff>
    </xdr:from>
    <xdr:to>
      <xdr:col>7</xdr:col>
      <xdr:colOff>719137</xdr:colOff>
      <xdr:row>12</xdr:row>
      <xdr:rowOff>90488</xdr:rowOff>
    </xdr:to>
    <xdr:cxnSp macro="">
      <xdr:nvCxnSpPr>
        <xdr:cNvPr id="9" name="Gerade Verbindung mit Pfeil 8"/>
        <xdr:cNvCxnSpPr/>
      </xdr:nvCxnSpPr>
      <xdr:spPr>
        <a:xfrm>
          <a:off x="5519737" y="2338388"/>
          <a:ext cx="1095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12</xdr:row>
      <xdr:rowOff>95250</xdr:rowOff>
    </xdr:from>
    <xdr:to>
      <xdr:col>5</xdr:col>
      <xdr:colOff>390525</xdr:colOff>
      <xdr:row>12</xdr:row>
      <xdr:rowOff>95250</xdr:rowOff>
    </xdr:to>
    <xdr:cxnSp macro="">
      <xdr:nvCxnSpPr>
        <xdr:cNvPr id="11" name="Gerade Verbindung mit Pfeil 10"/>
        <xdr:cNvCxnSpPr/>
      </xdr:nvCxnSpPr>
      <xdr:spPr>
        <a:xfrm flipH="1">
          <a:off x="3629025" y="2343150"/>
          <a:ext cx="1114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Normal="100" workbookViewId="0">
      <selection activeCell="F18" sqref="F18"/>
    </sheetView>
  </sheetViews>
  <sheetFormatPr baseColWidth="10" defaultRowHeight="14.25" x14ac:dyDescent="0.2"/>
  <cols>
    <col min="1" max="1" width="14.75" style="5" customWidth="1"/>
    <col min="2" max="2" width="9.75" style="5" customWidth="1"/>
    <col min="3" max="3" width="13.75" style="5" customWidth="1"/>
    <col min="4" max="4" width="10.5" style="5" bestFit="1" customWidth="1"/>
    <col min="5" max="5" width="9.625" style="5" customWidth="1"/>
    <col min="6" max="6" width="10.625" style="5" customWidth="1"/>
    <col min="7" max="8" width="9.625" style="5" customWidth="1"/>
    <col min="9" max="9" width="12.625" style="5" customWidth="1"/>
    <col min="10" max="10" width="7.625" style="5" customWidth="1"/>
    <col min="11" max="11" width="12.625" style="5" customWidth="1"/>
    <col min="12" max="16384" width="11" style="5"/>
  </cols>
  <sheetData>
    <row r="1" spans="1:11" x14ac:dyDescent="0.2">
      <c r="A1" s="1" t="s">
        <v>28</v>
      </c>
      <c r="B1" s="1"/>
    </row>
    <row r="2" spans="1:11" x14ac:dyDescent="0.2">
      <c r="A2" s="1" t="s">
        <v>29</v>
      </c>
      <c r="B2" s="1"/>
    </row>
    <row r="3" spans="1:11" x14ac:dyDescent="0.2">
      <c r="A3" s="2" t="s">
        <v>14</v>
      </c>
      <c r="B3" s="2"/>
    </row>
    <row r="4" spans="1:11" x14ac:dyDescent="0.2">
      <c r="A4" s="2" t="s">
        <v>15</v>
      </c>
      <c r="B4" s="2"/>
    </row>
    <row r="6" spans="1:11" ht="18" x14ac:dyDescent="0.25">
      <c r="A6" s="3" t="s">
        <v>0</v>
      </c>
      <c r="B6" s="4"/>
    </row>
    <row r="8" spans="1:11" ht="15" x14ac:dyDescent="0.2">
      <c r="A8" s="4" t="s">
        <v>12</v>
      </c>
      <c r="B8" s="77"/>
      <c r="C8" s="77"/>
      <c r="G8" s="4"/>
      <c r="I8" s="5" t="s">
        <v>11</v>
      </c>
      <c r="J8" s="75"/>
      <c r="K8" s="75"/>
    </row>
    <row r="10" spans="1:11" ht="15" x14ac:dyDescent="0.2">
      <c r="A10" s="4" t="s">
        <v>17</v>
      </c>
      <c r="B10" s="77"/>
      <c r="C10" s="77"/>
      <c r="G10" s="4"/>
      <c r="I10" s="5" t="s">
        <v>18</v>
      </c>
      <c r="J10" s="76"/>
      <c r="K10" s="76"/>
    </row>
    <row r="11" spans="1:11" ht="15" thickBot="1" x14ac:dyDescent="0.25"/>
    <row r="12" spans="1:11" x14ac:dyDescent="0.2">
      <c r="A12" s="6"/>
      <c r="B12" s="7"/>
      <c r="C12" s="8"/>
      <c r="D12" s="74" t="s">
        <v>25</v>
      </c>
      <c r="E12" s="72"/>
      <c r="F12" s="72"/>
      <c r="G12" s="72"/>
      <c r="H12" s="73"/>
      <c r="I12" s="9"/>
      <c r="J12" s="10"/>
      <c r="K12" s="11"/>
    </row>
    <row r="13" spans="1:11" ht="14.25" customHeight="1" x14ac:dyDescent="0.2">
      <c r="A13" s="12" t="s">
        <v>13</v>
      </c>
      <c r="B13" s="13"/>
      <c r="C13" s="78" t="s">
        <v>30</v>
      </c>
      <c r="D13" s="66"/>
      <c r="E13" s="15" t="s">
        <v>1</v>
      </c>
      <c r="F13" s="16"/>
      <c r="G13" s="16"/>
      <c r="H13" s="70"/>
      <c r="I13" s="71" t="s">
        <v>10</v>
      </c>
      <c r="J13" s="18" t="s">
        <v>6</v>
      </c>
      <c r="K13" s="19" t="s">
        <v>8</v>
      </c>
    </row>
    <row r="14" spans="1:11" x14ac:dyDescent="0.2">
      <c r="A14" s="12"/>
      <c r="B14" s="13"/>
      <c r="C14" s="78"/>
      <c r="D14" s="66" t="s">
        <v>26</v>
      </c>
      <c r="E14" s="15" t="s">
        <v>5</v>
      </c>
      <c r="F14" s="16"/>
      <c r="G14" s="16"/>
      <c r="H14" s="17" t="s">
        <v>9</v>
      </c>
      <c r="I14" s="14"/>
      <c r="J14" s="18" t="s">
        <v>23</v>
      </c>
      <c r="K14" s="19" t="s">
        <v>22</v>
      </c>
    </row>
    <row r="15" spans="1:11" x14ac:dyDescent="0.2">
      <c r="A15" s="12"/>
      <c r="B15" s="13"/>
      <c r="C15" s="78"/>
      <c r="D15" s="68" t="s">
        <v>27</v>
      </c>
      <c r="E15" s="20" t="s">
        <v>2</v>
      </c>
      <c r="F15" s="21" t="s">
        <v>3</v>
      </c>
      <c r="G15" s="21" t="s">
        <v>4</v>
      </c>
      <c r="H15" s="22" t="s">
        <v>24</v>
      </c>
      <c r="I15" s="14"/>
      <c r="J15" s="18"/>
      <c r="K15" s="19"/>
    </row>
    <row r="16" spans="1:11" x14ac:dyDescent="0.2">
      <c r="A16" s="12"/>
      <c r="B16" s="13"/>
      <c r="C16" s="78"/>
      <c r="D16" s="23">
        <v>5</v>
      </c>
      <c r="E16" s="24">
        <v>10</v>
      </c>
      <c r="F16" s="25">
        <v>5</v>
      </c>
      <c r="G16" s="25">
        <v>2.5</v>
      </c>
      <c r="H16" s="26">
        <v>2.5</v>
      </c>
      <c r="I16" s="14"/>
      <c r="J16" s="18"/>
      <c r="K16" s="19"/>
    </row>
    <row r="17" spans="1:11" x14ac:dyDescent="0.2">
      <c r="A17" s="27"/>
      <c r="B17" s="28"/>
      <c r="C17" s="29" t="s">
        <v>19</v>
      </c>
      <c r="D17" s="30" t="s">
        <v>19</v>
      </c>
      <c r="E17" s="31" t="s">
        <v>19</v>
      </c>
      <c r="F17" s="32" t="s">
        <v>19</v>
      </c>
      <c r="G17" s="32" t="s">
        <v>19</v>
      </c>
      <c r="H17" s="33"/>
      <c r="I17" s="34"/>
      <c r="J17" s="35" t="s">
        <v>7</v>
      </c>
      <c r="K17" s="36"/>
    </row>
    <row r="18" spans="1:11" ht="21" customHeight="1" x14ac:dyDescent="0.25">
      <c r="A18" s="45"/>
      <c r="B18" s="46"/>
      <c r="C18" s="47"/>
      <c r="D18" s="48"/>
      <c r="E18" s="49"/>
      <c r="F18" s="50"/>
      <c r="G18" s="50"/>
      <c r="H18" s="51"/>
      <c r="I18" s="37" t="str">
        <f>IF(C18&gt;0,SUM(D18*D$16+E18*E$16+F18*F$16+G18*G$16+H18*H$16),"")</f>
        <v/>
      </c>
      <c r="J18" s="50"/>
      <c r="K18" s="38" t="str">
        <f t="shared" ref="K18:K23" si="0">IF(J18&gt;0,(I18*J18%),"")</f>
        <v/>
      </c>
    </row>
    <row r="19" spans="1:11" ht="21" customHeight="1" x14ac:dyDescent="0.25">
      <c r="A19" s="52"/>
      <c r="B19" s="53"/>
      <c r="C19" s="54"/>
      <c r="D19" s="55"/>
      <c r="E19" s="56"/>
      <c r="F19" s="57"/>
      <c r="G19" s="57"/>
      <c r="H19" s="58"/>
      <c r="I19" s="37" t="str">
        <f t="shared" ref="I19:I28" si="1">IF(C19&gt;0,SUM(D19*D$16+E19*E$16+F19*F$16+G19*G$16+H19*H$16),"")</f>
        <v/>
      </c>
      <c r="J19" s="57"/>
      <c r="K19" s="38" t="str">
        <f t="shared" si="0"/>
        <v/>
      </c>
    </row>
    <row r="20" spans="1:11" ht="21" customHeight="1" x14ac:dyDescent="0.25">
      <c r="A20" s="52"/>
      <c r="B20" s="53"/>
      <c r="C20" s="54"/>
      <c r="D20" s="55"/>
      <c r="E20" s="53"/>
      <c r="F20" s="57"/>
      <c r="G20" s="57"/>
      <c r="H20" s="58"/>
      <c r="I20" s="37" t="str">
        <f t="shared" si="1"/>
        <v/>
      </c>
      <c r="J20" s="57"/>
      <c r="K20" s="38" t="str">
        <f t="shared" si="0"/>
        <v/>
      </c>
    </row>
    <row r="21" spans="1:11" ht="21" customHeight="1" x14ac:dyDescent="0.25">
      <c r="A21" s="52"/>
      <c r="B21" s="53"/>
      <c r="C21" s="54"/>
      <c r="D21" s="55"/>
      <c r="E21" s="56"/>
      <c r="F21" s="57"/>
      <c r="G21" s="57"/>
      <c r="H21" s="58"/>
      <c r="I21" s="37" t="str">
        <f t="shared" si="1"/>
        <v/>
      </c>
      <c r="J21" s="57"/>
      <c r="K21" s="38" t="str">
        <f t="shared" si="0"/>
        <v/>
      </c>
    </row>
    <row r="22" spans="1:11" ht="21" customHeight="1" x14ac:dyDescent="0.25">
      <c r="A22" s="52"/>
      <c r="B22" s="53"/>
      <c r="C22" s="54"/>
      <c r="D22" s="55"/>
      <c r="E22" s="56"/>
      <c r="F22" s="57"/>
      <c r="G22" s="57"/>
      <c r="H22" s="58"/>
      <c r="I22" s="37" t="str">
        <f t="shared" si="1"/>
        <v/>
      </c>
      <c r="J22" s="57"/>
      <c r="K22" s="38" t="str">
        <f t="shared" si="0"/>
        <v/>
      </c>
    </row>
    <row r="23" spans="1:11" ht="21" customHeight="1" x14ac:dyDescent="0.25">
      <c r="A23" s="52"/>
      <c r="B23" s="53"/>
      <c r="C23" s="54"/>
      <c r="D23" s="55"/>
      <c r="E23" s="57"/>
      <c r="F23" s="57"/>
      <c r="G23" s="57"/>
      <c r="H23" s="58"/>
      <c r="I23" s="37" t="str">
        <f t="shared" si="1"/>
        <v/>
      </c>
      <c r="J23" s="57"/>
      <c r="K23" s="38" t="str">
        <f t="shared" si="0"/>
        <v/>
      </c>
    </row>
    <row r="24" spans="1:11" ht="21" customHeight="1" x14ac:dyDescent="0.25">
      <c r="A24" s="52"/>
      <c r="B24" s="53"/>
      <c r="C24" s="54"/>
      <c r="D24" s="55"/>
      <c r="E24" s="57"/>
      <c r="F24" s="57"/>
      <c r="G24" s="57"/>
      <c r="H24" s="58"/>
      <c r="I24" s="37" t="str">
        <f t="shared" si="1"/>
        <v/>
      </c>
      <c r="J24" s="57"/>
      <c r="K24" s="38" t="str">
        <f t="shared" ref="K24:K28" si="2">IF(J24&gt;0,(I24*J24%),"")</f>
        <v/>
      </c>
    </row>
    <row r="25" spans="1:11" ht="21" customHeight="1" x14ac:dyDescent="0.25">
      <c r="A25" s="52"/>
      <c r="B25" s="53"/>
      <c r="C25" s="54"/>
      <c r="D25" s="55"/>
      <c r="E25" s="57"/>
      <c r="F25" s="57"/>
      <c r="G25" s="57"/>
      <c r="H25" s="58"/>
      <c r="I25" s="37" t="str">
        <f t="shared" si="1"/>
        <v/>
      </c>
      <c r="J25" s="57"/>
      <c r="K25" s="38" t="str">
        <f t="shared" si="2"/>
        <v/>
      </c>
    </row>
    <row r="26" spans="1:11" ht="21" customHeight="1" x14ac:dyDescent="0.25">
      <c r="A26" s="52"/>
      <c r="B26" s="53"/>
      <c r="C26" s="54"/>
      <c r="D26" s="55"/>
      <c r="E26" s="57"/>
      <c r="F26" s="57"/>
      <c r="G26" s="57"/>
      <c r="H26" s="58"/>
      <c r="I26" s="37" t="str">
        <f t="shared" si="1"/>
        <v/>
      </c>
      <c r="J26" s="57"/>
      <c r="K26" s="38" t="str">
        <f t="shared" si="2"/>
        <v/>
      </c>
    </row>
    <row r="27" spans="1:11" ht="21" customHeight="1" x14ac:dyDescent="0.25">
      <c r="A27" s="52"/>
      <c r="B27" s="53"/>
      <c r="C27" s="54"/>
      <c r="D27" s="55"/>
      <c r="E27" s="57"/>
      <c r="F27" s="57"/>
      <c r="G27" s="57"/>
      <c r="H27" s="58"/>
      <c r="I27" s="37" t="str">
        <f t="shared" si="1"/>
        <v/>
      </c>
      <c r="J27" s="57"/>
      <c r="K27" s="38" t="str">
        <f t="shared" si="2"/>
        <v/>
      </c>
    </row>
    <row r="28" spans="1:11" ht="21" customHeight="1" thickBot="1" x14ac:dyDescent="0.3">
      <c r="A28" s="59"/>
      <c r="B28" s="60"/>
      <c r="C28" s="61"/>
      <c r="D28" s="62"/>
      <c r="E28" s="63"/>
      <c r="F28" s="63"/>
      <c r="G28" s="63"/>
      <c r="H28" s="64"/>
      <c r="I28" s="67" t="str">
        <f t="shared" si="1"/>
        <v/>
      </c>
      <c r="J28" s="65"/>
      <c r="K28" s="39" t="str">
        <f t="shared" si="2"/>
        <v/>
      </c>
    </row>
    <row r="29" spans="1:11" ht="21" customHeight="1" thickBot="1" x14ac:dyDescent="0.3">
      <c r="A29" s="42" t="s">
        <v>21</v>
      </c>
      <c r="B29" s="42"/>
      <c r="C29" s="42"/>
      <c r="D29" s="42"/>
      <c r="E29" s="42"/>
      <c r="F29" s="42"/>
      <c r="G29" s="42"/>
      <c r="H29" s="69" t="s">
        <v>16</v>
      </c>
      <c r="I29" s="41">
        <f>IF(I18&gt;0,SUM(I18:I28),"")</f>
        <v>0</v>
      </c>
      <c r="J29" s="43"/>
      <c r="K29" s="40">
        <f>IF(K18&gt;0,SUM(K18:K28),"")</f>
        <v>0</v>
      </c>
    </row>
    <row r="30" spans="1:11" ht="15" x14ac:dyDescent="0.2">
      <c r="A30" s="44" t="s">
        <v>20</v>
      </c>
    </row>
  </sheetData>
  <sheetProtection algorithmName="SHA-512" hashValue="k3mxEdUMnkqLDH2nhoh6fNLEBpd5jyUq1XKm39zSUb/nUXtgqBtOrivzg2nb6X+A9LXBtH/AVg0+jvO9uMELjg==" saltValue="3Czob2KqsvlwsYfWDBdJAA==" spinCount="100000" sheet="1" objects="1" scenarios="1" selectLockedCells="1"/>
  <customSheetViews>
    <customSheetView guid="{A3AFCC32-431F-47E6-B0AD-C6F84CE9D14D}">
      <selection activeCell="B9" sqref="B9"/>
      <pageMargins left="0.70866141732283472" right="0.70866141732283472" top="0.78740157480314965" bottom="0.59055118110236227" header="0" footer="0.31496062992125984"/>
      <printOptions horizontalCentered="1"/>
      <pageSetup paperSize="9" orientation="landscape" r:id="rId1"/>
      <headerFooter>
        <oddFooter>&amp;R5.2016</oddFooter>
      </headerFooter>
    </customSheetView>
  </customSheetViews>
  <mergeCells count="5">
    <mergeCell ref="J8:K8"/>
    <mergeCell ref="J10:K10"/>
    <mergeCell ref="B8:C8"/>
    <mergeCell ref="B10:C10"/>
    <mergeCell ref="C13:C16"/>
  </mergeCells>
  <printOptions horizontalCentered="1"/>
  <pageMargins left="0.70866141732283472" right="0.70866141732283472" top="0.78740157480314965" bottom="0.59055118110236227" header="0" footer="0.31496062992125984"/>
  <pageSetup paperSize="9" orientation="landscape" r:id="rId2"/>
  <headerFooter>
    <oddFooter>&amp;R3.2017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customSheetViews>
    <customSheetView guid="{A3AFCC32-431F-47E6-B0AD-C6F84CE9D14D}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 Roland</dc:creator>
  <cp:lastModifiedBy>Hablützel Fabian</cp:lastModifiedBy>
  <cp:lastPrinted>2018-04-05T14:29:56Z</cp:lastPrinted>
  <dcterms:created xsi:type="dcterms:W3CDTF">2016-02-11T13:49:34Z</dcterms:created>
  <dcterms:modified xsi:type="dcterms:W3CDTF">2023-03-06T14:24:42Z</dcterms:modified>
</cp:coreProperties>
</file>